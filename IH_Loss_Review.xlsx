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H Loss Review" sheetId="1" state="visible" r:id="rId3"/>
  </sheets>
  <definedNames>
    <definedName function="false" hidden="true" localSheetId="0" name="_xlnm._FilterDatabase" vbProcedure="false">'IH Loss Review'!$A$159:$T$418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<sst xmlns="http://schemas.openxmlformats.org/spreadsheetml/2006/main" count="2214" uniqueCount="792">
  <si>
    <t xml:space="preserve">In-house (IH) Loss Review: Zone Summary and Store Findings</t>
  </si>
  <si>
    <t xml:space="preserve">Source: Store IH loss report (Inventory_Review_2, Shrinkage tab) and SKU shrink tracker (Book2, top 50 IH loss stores). Aisle view for other stores from aisle-level net loss query (sqllab_untitled_query_136). Positive = loss, negative = gain.</t>
  </si>
  <si>
    <t xml:space="preserve">1. Headline</t>
  </si>
  <si>
    <t xml:space="preserve">Metric</t>
  </si>
  <si>
    <t xml:space="preserve">Value</t>
  </si>
  <si>
    <t xml:space="preserve">Total IH loss (₹)</t>
  </si>
  <si>
    <t xml:space="preserve">Total IH loss, mapped stores (₹)</t>
  </si>
  <si>
    <t xml:space="preserve">Stores mapped</t>
  </si>
  <si>
    <t xml:space="preserve">Stores with net loss</t>
  </si>
  <si>
    <t xml:space="preserve">Top 10 stores share of IH loss</t>
  </si>
  <si>
    <t xml:space="preserve">Top 25 stores share of IH loss</t>
  </si>
  <si>
    <t xml:space="preserve">2. Loss by bucket</t>
  </si>
  <si>
    <t xml:space="preserve">Net across all stores. % of total = bucket / total IH loss.</t>
  </si>
  <si>
    <t xml:space="preserve">Bucket</t>
  </si>
  <si>
    <t xml:space="preserve">Net ₹</t>
  </si>
  <si>
    <t xml:space="preserve">% of total</t>
  </si>
  <si>
    <t xml:space="preserve">Loss in stores (₹, +ve only)</t>
  </si>
  <si>
    <t xml:space="preserve">Adjustment</t>
  </si>
  <si>
    <t xml:space="preserve">FCC bin</t>
  </si>
  <si>
    <t xml:space="preserve">Other bins</t>
  </si>
  <si>
    <t xml:space="preserve">Shortpick</t>
  </si>
  <si>
    <t xml:space="preserve">RTO loss</t>
  </si>
  <si>
    <t xml:space="preserve">PO short closure</t>
  </si>
  <si>
    <t xml:space="preserve">STO short receipt</t>
  </si>
  <si>
    <t xml:space="preserve">PO cancel</t>
  </si>
  <si>
    <t xml:space="preserve">Total</t>
  </si>
  <si>
    <t xml:space="preserve">3. Focus stores: top 15 by IH loss</t>
  </si>
  <si>
    <t xml:space="preserve">Store</t>
  </si>
  <si>
    <t xml:space="preserve">CLM</t>
  </si>
  <si>
    <t xml:space="preserve">IM</t>
  </si>
  <si>
    <t xml:space="preserve">IH loss ₹</t>
  </si>
  <si>
    <t xml:space="preserve">Contribution %</t>
  </si>
  <si>
    <t xml:space="preserve">Main driver</t>
  </si>
  <si>
    <t xml:space="preserve">Top aisle</t>
  </si>
  <si>
    <t xml:space="preserve">BLR-Shivaji Nagar SS</t>
  </si>
  <si>
    <t xml:space="preserve">Arun Raj</t>
  </si>
  <si>
    <t xml:space="preserve">Simon Manoharan</t>
  </si>
  <si>
    <t xml:space="preserve">FCC bin ₹75.6K (49%)</t>
  </si>
  <si>
    <t xml:space="preserve">O (₹32.2K)</t>
  </si>
  <si>
    <t xml:space="preserve">BLR-RICHMOND TOWN SS</t>
  </si>
  <si>
    <t xml:space="preserve">FCC bin ₹1.16L (86%)</t>
  </si>
  <si>
    <t xml:space="preserve">J (₹29.9K)</t>
  </si>
  <si>
    <t xml:space="preserve">BLR-Mathikere</t>
  </si>
  <si>
    <t xml:space="preserve">Manoj Kj</t>
  </si>
  <si>
    <t xml:space="preserve">Srittam Dhal</t>
  </si>
  <si>
    <t xml:space="preserve">Shortpick ₹1.92L (173%)</t>
  </si>
  <si>
    <t xml:space="preserve">K (₹35)</t>
  </si>
  <si>
    <t xml:space="preserve">BLR-SHIVAJI NAGAR Network</t>
  </si>
  <si>
    <t xml:space="preserve">Vijay M</t>
  </si>
  <si>
    <t xml:space="preserve">Kantha Kumar</t>
  </si>
  <si>
    <t xml:space="preserve">FCC bin ₹61.1K (58%)</t>
  </si>
  <si>
    <t xml:space="preserve">A (₹20.9K)</t>
  </si>
  <si>
    <t xml:space="preserve">BLR-Dooravani Nagar</t>
  </si>
  <si>
    <t xml:space="preserve">Rizwan Ahmed</t>
  </si>
  <si>
    <t xml:space="preserve">Un Mapped</t>
  </si>
  <si>
    <t xml:space="preserve">FCC bin ₹66.1K (70%)</t>
  </si>
  <si>
    <t xml:space="preserve">A (₹37.4K)</t>
  </si>
  <si>
    <t xml:space="preserve">BLR-Kalkere</t>
  </si>
  <si>
    <t xml:space="preserve">Adjustment ₹71.6K (86%)</t>
  </si>
  <si>
    <t xml:space="preserve">E (₹17.0K)</t>
  </si>
  <si>
    <t xml:space="preserve">BLR-HSR-3</t>
  </si>
  <si>
    <t xml:space="preserve">Saddam Hussain</t>
  </si>
  <si>
    <t xml:space="preserve">FCC bin ₹43.0K (63%)</t>
  </si>
  <si>
    <t xml:space="preserve">H (₹14.6K)</t>
  </si>
  <si>
    <t xml:space="preserve">BLR-Malleshwaram SS</t>
  </si>
  <si>
    <t xml:space="preserve">FCC bin ₹38.9K (66%)</t>
  </si>
  <si>
    <t xml:space="preserve">I (₹22.6K)</t>
  </si>
  <si>
    <t xml:space="preserve">BLR-BASAVANAPURA NETWORK 2</t>
  </si>
  <si>
    <t xml:space="preserve">Richard Harris</t>
  </si>
  <si>
    <t xml:space="preserve">Adjustment ₹41.4K (72%)</t>
  </si>
  <si>
    <t xml:space="preserve">K (₹15.9K)</t>
  </si>
  <si>
    <t xml:space="preserve">BLR-Mico layout New</t>
  </si>
  <si>
    <t xml:space="preserve">Keshav G</t>
  </si>
  <si>
    <t xml:space="preserve">FCC bin ₹29.8K (55%)</t>
  </si>
  <si>
    <t xml:space="preserve">L (₹11.3K)</t>
  </si>
  <si>
    <t xml:space="preserve">BLR-HSR Layout New</t>
  </si>
  <si>
    <t xml:space="preserve">FCC bin ₹23.7K (44%)</t>
  </si>
  <si>
    <t xml:space="preserve">C (₹10.9K)</t>
  </si>
  <si>
    <t xml:space="preserve">BLR-Siddapura</t>
  </si>
  <si>
    <t xml:space="preserve">Basil Scariya</t>
  </si>
  <si>
    <t xml:space="preserve">Prakash BS</t>
  </si>
  <si>
    <t xml:space="preserve">Adjustment ₹37.0K (71%)</t>
  </si>
  <si>
    <t xml:space="preserve">D (₹15.4K)</t>
  </si>
  <si>
    <t xml:space="preserve">BLR-Narayanapura</t>
  </si>
  <si>
    <t xml:space="preserve">Adhavan Subramani</t>
  </si>
  <si>
    <t xml:space="preserve">Mohammed Akbar</t>
  </si>
  <si>
    <t xml:space="preserve">FCC bin ₹27.6K (53%)</t>
  </si>
  <si>
    <t xml:space="preserve">I (₹16.6K)</t>
  </si>
  <si>
    <t xml:space="preserve">BLR-Challakere</t>
  </si>
  <si>
    <t xml:space="preserve">Girish N</t>
  </si>
  <si>
    <t xml:space="preserve">Adjustment ₹34.2K (69%)</t>
  </si>
  <si>
    <t xml:space="preserve">J (₹13.8K)</t>
  </si>
  <si>
    <t xml:space="preserve">BLR-Banjara Layout</t>
  </si>
  <si>
    <t xml:space="preserve">Adjustment ₹31.1K (64%)</t>
  </si>
  <si>
    <t xml:space="preserve">M (₹43.8K)</t>
  </si>
  <si>
    <t xml:space="preserve">4. Focus aisles: top store-aisle combinations by bin-level loss (non-perishable)</t>
  </si>
  <si>
    <t xml:space="preserve">From adj_from_bins and fcc_from_bins in SKU tracker, valued at SKU unit value. Aisle = 2nd part of bin code. Aisles where perishables are 50%+ of loss are excluded.</t>
  </si>
  <si>
    <t xml:space="preserve">Aisle</t>
  </si>
  <si>
    <t xml:space="preserve">Bin-level loss ₹</t>
  </si>
  <si>
    <t xml:space="preserve">% of store bin loss</t>
  </si>
  <si>
    <t xml:space="preserve">Top sub-category</t>
  </si>
  <si>
    <t xml:space="preserve">Sub-category ₹</t>
  </si>
  <si>
    <t xml:space="preserve">A</t>
  </si>
  <si>
    <t xml:space="preserve">Ghee</t>
  </si>
  <si>
    <t xml:space="preserve">BLR-Vijay Nagar Network</t>
  </si>
  <si>
    <t xml:space="preserve">Namkeens</t>
  </si>
  <si>
    <t xml:space="preserve">O</t>
  </si>
  <si>
    <t xml:space="preserve">Cat Food</t>
  </si>
  <si>
    <t xml:space="preserve">BLR-Hope Farm New</t>
  </si>
  <si>
    <t xml:space="preserve">D</t>
  </si>
  <si>
    <t xml:space="preserve">Rice &amp; More</t>
  </si>
  <si>
    <t xml:space="preserve">J</t>
  </si>
  <si>
    <t xml:space="preserve">Plant &amp; Vegan Protein</t>
  </si>
  <si>
    <t xml:space="preserve">P</t>
  </si>
  <si>
    <t xml:space="preserve">Lips Makeup</t>
  </si>
  <si>
    <t xml:space="preserve">Men's Bottomwear</t>
  </si>
  <si>
    <t xml:space="preserve">C</t>
  </si>
  <si>
    <t xml:space="preserve">Home Furnishing</t>
  </si>
  <si>
    <t xml:space="preserve">I</t>
  </si>
  <si>
    <t xml:space="preserve">Dog Food</t>
  </si>
  <si>
    <t xml:space="preserve">Pressure Cooker</t>
  </si>
  <si>
    <t xml:space="preserve">BLR-Kadarenahalli</t>
  </si>
  <si>
    <t xml:space="preserve">H</t>
  </si>
  <si>
    <t xml:space="preserve">Baby Diapering</t>
  </si>
  <si>
    <t xml:space="preserve">BLR-Dasarahalli</t>
  </si>
  <si>
    <t xml:space="preserve">Chips &amp; Crisps</t>
  </si>
  <si>
    <t xml:space="preserve">BLR-Sattava East</t>
  </si>
  <si>
    <t xml:space="preserve">Oil</t>
  </si>
  <si>
    <t xml:space="preserve">BLR-Nikoo Home New</t>
  </si>
  <si>
    <t xml:space="preserve">E</t>
  </si>
  <si>
    <t xml:space="preserve">Whey Protein</t>
  </si>
  <si>
    <t xml:space="preserve">BLR-Marathahalli-3</t>
  </si>
  <si>
    <t xml:space="preserve">Dry Fruits &amp; Nuts</t>
  </si>
  <si>
    <t xml:space="preserve">BLR-Jakkur Network</t>
  </si>
  <si>
    <t xml:space="preserve">Muesli &amp; Oats</t>
  </si>
  <si>
    <t xml:space="preserve">Chocolates</t>
  </si>
  <si>
    <t xml:space="preserve">5. Category pareto up to 80% of SKU-level loss</t>
  </si>
  <si>
    <t xml:space="preserve">SKU-level net loss across 50 stores: ₹13.16L. Perishable = FnV, DBE, meat, ice cream, frozen, bakery, mithai, batters.</t>
  </si>
  <si>
    <t xml:space="preserve">Category</t>
  </si>
  <si>
    <t xml:space="preserve">Net loss ₹</t>
  </si>
  <si>
    <t xml:space="preserve">% of SKU loss</t>
  </si>
  <si>
    <t xml:space="preserve">Cumulative %</t>
  </si>
  <si>
    <t xml:space="preserve">Perishable</t>
  </si>
  <si>
    <t xml:space="preserve">Share in category</t>
  </si>
  <si>
    <t xml:space="preserve">Ice Creams &amp; More</t>
  </si>
  <si>
    <t xml:space="preserve">Yes</t>
  </si>
  <si>
    <t xml:space="preserve">Cones</t>
  </si>
  <si>
    <t xml:space="preserve">Dairy, Bread &amp; Eggs</t>
  </si>
  <si>
    <t xml:space="preserve">Milk</t>
  </si>
  <si>
    <t xml:space="preserve">Munchies</t>
  </si>
  <si>
    <t xml:space="preserve">No</t>
  </si>
  <si>
    <t xml:space="preserve">Fruits &amp; Vegetables</t>
  </si>
  <si>
    <t xml:space="preserve">Fresh Vegetables</t>
  </si>
  <si>
    <t xml:space="preserve">Cold Drinks &amp; Juices</t>
  </si>
  <si>
    <t xml:space="preserve">Fruit Juices &amp; Drinks</t>
  </si>
  <si>
    <t xml:space="preserve">Sweet Cravings</t>
  </si>
  <si>
    <t xml:space="preserve">Partly</t>
  </si>
  <si>
    <t xml:space="preserve">Apparel &amp; Lifestyle</t>
  </si>
  <si>
    <t xml:space="preserve">Men's Topwear</t>
  </si>
  <si>
    <t xml:space="preserve">Atta, Rice, Oil &amp; Dals</t>
  </si>
  <si>
    <t xml:space="preserve">Protein &amp; Nutrition</t>
  </si>
  <si>
    <t xml:space="preserve">Paan Corner</t>
  </si>
  <si>
    <t xml:space="preserve">Cigarettes</t>
  </si>
  <si>
    <t xml:space="preserve">Frozen Food</t>
  </si>
  <si>
    <t xml:space="preserve">Veg Snacks</t>
  </si>
  <si>
    <t xml:space="preserve">6. Top non-perishable sub-categories</t>
  </si>
  <si>
    <t xml:space="preserve">Sub-category</t>
  </si>
  <si>
    <t xml:space="preserve">Stores hit</t>
  </si>
  <si>
    <t xml:space="preserve">Top store</t>
  </si>
  <si>
    <t xml:space="preserve">Top store ₹</t>
  </si>
  <si>
    <t xml:space="preserve">BLR-Bagalakunte</t>
  </si>
  <si>
    <t xml:space="preserve">BLR-Thyagaraja Nagar</t>
  </si>
  <si>
    <t xml:space="preserve">BLR-Doddakannelli</t>
  </si>
  <si>
    <t xml:space="preserve">Soft Drinks</t>
  </si>
  <si>
    <t xml:space="preserve">Milk Drinks</t>
  </si>
  <si>
    <t xml:space="preserve">BLR-Jakkur New</t>
  </si>
  <si>
    <t xml:space="preserve">Cleaning Aids</t>
  </si>
  <si>
    <t xml:space="preserve">Home Needs</t>
  </si>
  <si>
    <t xml:space="preserve">Cookies</t>
  </si>
  <si>
    <t xml:space="preserve">Biscuits</t>
  </si>
  <si>
    <t xml:space="preserve">Dry Fruits &amp; Nuts Munchies</t>
  </si>
  <si>
    <t xml:space="preserve">Whole Spices &amp; Seasonings</t>
  </si>
  <si>
    <t xml:space="preserve">Masala, Dry Fruits &amp; More</t>
  </si>
  <si>
    <t xml:space="preserve">7. Two-day action plan</t>
  </si>
  <si>
    <t xml:space="preserve">Action</t>
  </si>
  <si>
    <t xml:space="preserve">Scope</t>
  </si>
  <si>
    <t xml:space="preserve">Value ₹</t>
  </si>
  <si>
    <t xml:space="preserve">Owner</t>
  </si>
  <si>
    <t xml:space="preserve">Timeline</t>
  </si>
  <si>
    <t xml:space="preserve">Clear FCC bins. Traced stock goes back to bin and posts as adjustment gain</t>
  </si>
  <si>
    <t xml:space="preserve">209 stores</t>
  </si>
  <si>
    <t xml:space="preserve">DHM, CCA</t>
  </si>
  <si>
    <t xml:space="preserve">Day 1 EOD</t>
  </si>
  <si>
    <t xml:space="preserve">Recount top 3 non-perishable loss SKUs and match with last GRN qty</t>
  </si>
  <si>
    <t xml:space="preserve">50 SKU-tracker stores</t>
  </si>
  <si>
    <t xml:space="preserve">Day 1</t>
  </si>
  <si>
    <t xml:space="preserve">W2W audit of top 2 non-perishable aisles where Adjustment is ₹3K+</t>
  </si>
  <si>
    <t xml:space="preserve">70 stores, aisles named in Recovery Plan</t>
  </si>
  <si>
    <t xml:space="preserve">Squad, IM</t>
  </si>
  <si>
    <t xml:space="preserve">Day 1 to Day 2</t>
  </si>
  <si>
    <t xml:space="preserve">Cycle count of shortpick bins</t>
  </si>
  <si>
    <t xml:space="preserve">44 stores with ₹1K+ shortpick</t>
  </si>
  <si>
    <t xml:space="preserve">CCA, SI</t>
  </si>
  <si>
    <t xml:space="preserve">Reconcile RTO loss with LM</t>
  </si>
  <si>
    <t xml:space="preserve">Stores with RTO ₹500+</t>
  </si>
  <si>
    <t xml:space="preserve">IM, LM</t>
  </si>
  <si>
    <t xml:space="preserve">Day 2</t>
  </si>
  <si>
    <t xml:space="preserve">Reconcile STO short receipt with MH and DH</t>
  </si>
  <si>
    <t xml:space="preserve">Stores with STO ₹500+</t>
  </si>
  <si>
    <t xml:space="preserve">IM, MH, DH</t>
  </si>
  <si>
    <t xml:space="preserve">Reconcile PO short closure and PO cancel with procurement</t>
  </si>
  <si>
    <t xml:space="preserve">Stores with PO ₹500+</t>
  </si>
  <si>
    <t xml:space="preserve">IM, Procurement</t>
  </si>
  <si>
    <t xml:space="preserve">Validate adjustment gains against GRN and STO inward</t>
  </si>
  <si>
    <t xml:space="preserve">111 net positive stores</t>
  </si>
  <si>
    <t xml:space="preserve">IM, CLM</t>
  </si>
  <si>
    <t xml:space="preserve">Daily closing count of theft-prone SKUs</t>
  </si>
  <si>
    <t xml:space="preserve">37 stores flagged</t>
  </si>
  <si>
    <t xml:space="preserve">DHM</t>
  </si>
  <si>
    <t xml:space="preserve">Daily from Day 1</t>
  </si>
  <si>
    <t xml:space="preserve">Perishable loss through QA checks and DHM night-shift receiving</t>
  </si>
  <si>
    <t xml:space="preserve">All stores</t>
  </si>
  <si>
    <t xml:space="preserve">QA, DHM</t>
  </si>
  <si>
    <t xml:space="preserve">Share ground RCA (manpower, DHM/SI changes, theft) for stores marked Pending</t>
  </si>
  <si>
    <t xml:space="preserve">All stores with loss</t>
  </si>
  <si>
    <t xml:space="preserve">8. Recovery target check (IM committed vs data)</t>
  </si>
  <si>
    <t xml:space="preserve">Committed = Expected Recovery by 11th Oct (IM input). Perishable SKU loss from SKU tracker (top 50 stores only, else 0). Non-perishable pool = IH loss less perishable SKU loss.</t>
  </si>
  <si>
    <t xml:space="preserve">IM committed ₹</t>
  </si>
  <si>
    <t xml:space="preserve">Perishable SKU loss ₹</t>
  </si>
  <si>
    <t xml:space="preserve">Non-perishable pool ₹</t>
  </si>
  <si>
    <t xml:space="preserve">Committed vs pool</t>
  </si>
  <si>
    <t xml:space="preserve">Flag</t>
  </si>
  <si>
    <t xml:space="preserve">BLR-Murugeshpalya</t>
  </si>
  <si>
    <t xml:space="preserve">BLR-Electronic city network</t>
  </si>
  <si>
    <t xml:space="preserve">BLR-VIJAY NAGAR</t>
  </si>
  <si>
    <t xml:space="preserve">BLR-INDIRANAGAR NEW</t>
  </si>
  <si>
    <t xml:space="preserve">BLR-Kannamangala</t>
  </si>
  <si>
    <t xml:space="preserve">BLR-Marathalli SS</t>
  </si>
  <si>
    <t xml:space="preserve">BLR-Bellandur 6</t>
  </si>
  <si>
    <t xml:space="preserve">HOS-Hosur</t>
  </si>
  <si>
    <t xml:space="preserve">BLR-Jayanagar 9th block</t>
  </si>
  <si>
    <t xml:space="preserve">BLR-Brookfield Network-2</t>
  </si>
  <si>
    <t xml:space="preserve">HBL-Keshwapura</t>
  </si>
  <si>
    <t xml:space="preserve">BLR-Avalahalli Main</t>
  </si>
  <si>
    <t xml:space="preserve">BLR-JAYANAGAR New</t>
  </si>
  <si>
    <t xml:space="preserve">BLR-Banashankari New</t>
  </si>
  <si>
    <t xml:space="preserve">BEL-Khanapur Road</t>
  </si>
  <si>
    <t xml:space="preserve">BLR-Chandapura</t>
  </si>
  <si>
    <t xml:space="preserve">BLR-Electronic City New</t>
  </si>
  <si>
    <t xml:space="preserve">BLR-Doddathoguru</t>
  </si>
  <si>
    <t xml:space="preserve">BLR-Kengeri</t>
  </si>
  <si>
    <t xml:space="preserve">HBL-Vidhya Nagar</t>
  </si>
  <si>
    <t xml:space="preserve">BLR-Chamrajpet</t>
  </si>
  <si>
    <t xml:space="preserve">BLR-Ullal</t>
  </si>
  <si>
    <t xml:space="preserve">STORE REPORT</t>
  </si>
  <si>
    <t xml:space="preserve">Zone</t>
  </si>
  <si>
    <t xml:space="preserve">city_name_</t>
  </si>
  <si>
    <t xml:space="preserve">Store Name</t>
  </si>
  <si>
    <t xml:space="preserve">locationtype2</t>
  </si>
  <si>
    <t xml:space="preserve">Adj_Amt</t>
  </si>
  <si>
    <t xml:space="preserve">FCC_Bin_Amt</t>
  </si>
  <si>
    <t xml:space="preserve">Other_Bin_Amt</t>
  </si>
  <si>
    <t xml:space="preserve">Shortpick_Amt</t>
  </si>
  <si>
    <t xml:space="preserve">RTO_Loss</t>
  </si>
  <si>
    <t xml:space="preserve">PP PO Closed (curr+prev)</t>
  </si>
  <si>
    <t xml:space="preserve">PP STO Closed (curr+prev)</t>
  </si>
  <si>
    <t xml:space="preserve">PP Canc Closed (curr+prev)</t>
  </si>
  <si>
    <t xml:space="preserve">Total Inhouse</t>
  </si>
  <si>
    <t xml:space="preserve">Contribution % of Total Inhouse</t>
  </si>
  <si>
    <t xml:space="preserve">RCA &amp; Action Plan</t>
  </si>
  <si>
    <t xml:space="preserve">SLP Ticket ID / Mail</t>
  </si>
  <si>
    <t xml:space="preserve">SLP Recovery</t>
  </si>
  <si>
    <t xml:space="preserve">Expected Recovery by 11th Oct</t>
  </si>
  <si>
    <t xml:space="preserve">South1</t>
  </si>
  <si>
    <t xml:space="preserve">Bengaluru</t>
  </si>
  <si>
    <t xml:space="preserve">SUPERSTORE</t>
  </si>
  <si>
    <t xml:space="preserve">* Total IH loss is ₹1.56L, mainly from FCC bin ₹75.6K and Adjustment ₹69.3K.
* Top loss categories: Apparel &amp; Lifestyle ₹20.6K (18%), Whey Protein (Protein &amp; Nutrition) ₹16.0K (14%), Pet Care ₹12.0K (11%), Sports &amp; Fitness (Toys &amp; Sports) ₹10.2K (9%), Home Needs ₹8.9K (8%). Share is of ₹1.13L net loss across loss-making categories.
* Loss is spread across 706 SKUs and the top 10 make 15% of SKU-level loss.
* Theft-prone SKUs show net loss of ₹16.5K, led by whey ₹15.0K, chargers ₹567 and deos ₹567.
* DHM adherence gap and SBC completion pending.
* LSS racks over capacity, pickers unable to locate stock in aisle.
* SLP theft investigation: ₹15,000 recovery.
* Clear FCC bin of ₹75.6K by tomorrow. Stock traced goes back to its bin and posts as adjustment gain.
* Recount Isopure Whey Protein Isolate (₹6.2K), Zippo Armor Brushed Chrome (₹5.9K) and TrueBasics Clean Whey Pure Protein (₹5.1K) and match with last GRN qty.
* Daily closing count of whey, chargers and deos SKUs, signed off by DHM.
* W2W audit of aisles O and P as Adjustment is ₹69.3K.
* Reconcile RTO ₹1.4K with LM and PO cancel ₹9.0K with procurement and DH.</t>
  </si>
  <si>
    <t xml:space="preserve">Theft Investigation – Recovery of ₹15,000</t>
  </si>
  <si>
    <t xml:space="preserve">* Total IH loss is ₹1.35L, mainly from FCC bin ₹1.16L, Adjustment ₹18.1K and RTO loss ₹14.7K.
* Majority impact is from FCC bin of ₹1.16L. Excluding this, the store is ₹19.3K in loss.
* Top loss categories: Apparel &amp; Lifestyle ₹48.3K (39%), Home Needs ₹25.6K (21%), Electronics &amp; Appliances ₹9.0K (7%), Toys &amp; Sports ₹8.8K (7%), Plant &amp; Vegan Protein (Protein &amp; Nutrition) ₹7.2K (6%). Share is of ₹1.25L net loss across loss-making categories.
* Loss is spread across 657 SKUs and the top 10 make 11% of SKU-level loss.
* Theft-prone SKUs show net loss of ₹18.8K, led by whey ₹3.7K, earphones ₹3.4K and speakers ₹3.0K.
* Stock movement in progress for 1st floor expansion, aisle I fully moved to 2nd floor.
* SLP investigation ongoing, wrong adjustments identified.
* Clear FCC bin of ₹1.16L by tomorrow. Stock traced goes back to its bin and posts as adjustment gain.
* Recount Safari Textured ABS (₹6.8K), Cosmix No-Nonsense Pro Plant (₹3.9K) and boAt Nirvana Ivy Pro Head (₹3.4K) and match with last GRN qty.
* Daily closing count of whey, earphones and speakers SKUs, signed off by DHM.
* W2W audit of aisles J and A as Adjustment is ₹18.1K.
* Reconcile RTO ₹14.7K with LM.</t>
  </si>
  <si>
    <t xml:space="preserve">SLP Investigation is ongoing</t>
  </si>
  <si>
    <t xml:space="preserve">RETAIL_STORE</t>
  </si>
  <si>
    <t xml:space="preserve">* Total IH loss is ₹1.11L, mainly from Shortpick ₹1.92L.
* Majority impact is from Shortpick of ₹1.92L. Excluding this, the store is ₹81.2K positive.
* Adjustment is a gain of ₹82.7K, which offsets part of the loss in other buckets.
* SKU-level net is a gain of ₹99.5K, under 10% of IH loss, so the gap is not category driven and sits in Shortpick.
* MP shortage last month: LC1 packers did putaway after store closing, associates marked shortpick during recirculation and STO picking.
* SLP theft investigation: ₹25,000 recovery.
* Cycle count the shortpick bins against the ₹1.92L shortpick value.
* Reconcile PO cancel ₹1.5K with procurement and DH.
* DHM to review every adjustment entry before posting for the next 7 days.
* IM to share ground RCA on manpower, DHM/SI changes and theft incidents by tomorrow.</t>
  </si>
  <si>
    <t xml:space="preserve">Theft Investigation – Recovery 25,000
Last month due to mp issue all LC1 packer done wrong put away after store closer. whel picking recirculation and STO associate markd short pick</t>
  </si>
  <si>
    <t xml:space="preserve">* Total IH loss is ₹1.05L, mainly from FCC bin ₹61.1K and Adjustment ₹40.0K.
* Top loss categories: Chips &amp; Crisps (Munchies) ₹8.3K (14%), Atta, Rice, Oil &amp; Dals ₹8.0K (14%), Masala, Dry Fruits &amp; More ₹5.7K (10%), Fruits &amp; Vegetables ₹5.5K (9%), Noodles &amp; Vermicelli (Packaged Food) ₹4.8K (8%). Share is of ₹58.3K net loss across loss-making categories.
* Loss is spread across 1271 SKUs and the top 10 make 7% of SKU-level loss.
* Theft-prone SKUs show net loss of ₹4.5K, led by dry fruits &amp; nuts ₹2.1K, cigarettes ₹966 and premium chocolates ₹749.
* Aisles A and B hold ₹34.7K, 59% of bin-level loss.
* Wrong putaway incidents last month with suspected theft.
* Escalated to SLP, investigation in progress.
* Clear FCC bin of ₹61.1K by tomorrow. Stock traced goes back to its bin and posts as adjustment gain.
* Recount Sri Lalitha HMT Rice (₹1.9K), Sunpure Rice Bran Health Oil Pouch (₹1.4K) and Coca-Cola Zero Sugar PET Cola (₹1.1K) and match with last GRN qty.
* Daily closing count of dry fruits &amp; nuts, cigarettes and premium chocolates SKUs, signed off by DHM.
* W2W audit of aisles A and B as Adjustment is ₹40.0K.
* Reconcile RTO ₹1.5K with LM and STO short receipt ₹1.7K with MH and DH.</t>
  </si>
  <si>
    <t xml:space="preserve">Wrong putaway incidents were identified during the last month, with a suspected theft involvement. The matter has been escalated to the SLP Team, and the investigation is currently under process.</t>
  </si>
  <si>
    <t xml:space="preserve">* Total IH loss is ₹94.5K, mainly from FCC bin ₹66.1K and Adjustment ₹22.3K.
* Majority impact is from FCC bin of ₹66.1K. Excluding this, the store is ₹28.4K in loss.
* Top loss categories: Dairy, Bread &amp; Eggs ₹10.4K (14%), Cold Drinks &amp; Juices ₹8.2K (11%), Frozen Food ₹6.7K (9%), Munchies ₹5.8K (8%), Creatine (Protein &amp; Nutrition) ₹4.0K (6%). Share is of ₹72.1K net loss across loss-making categories.
* Loss is spread across 1315 SKUs and the top 10 make 8% of SKU-level loss.
* Theft-prone SKUs show net loss of ₹4.7K, led by creatine ₹2.1K, condoms ₹1.2K and serums ₹604.
* Aisles A and I hold ₹54.0K, 57% of bin-level loss.
* Clear FCC bin of ₹66.1K by tomorrow. Stock traced goes back to its bin and posts as adjustment gain.
* Recount SuperYou Pro Fermented Yeast (₹1.9K), Sundrop Heart Reduce Cholesterol (₹1.8K) and Mamypoko Extra Absorb Pant Style (₹1.8K) and match with last GRN qty.
* Daily closing count of creatine, condoms and serums SKUs, signed off by DHM.
* W2W audit of aisles A and E as Adjustment is ₹22.3K.
* Reconcile RTO ₹763 with LM and STO short receipt ₹4.5K with MH and DH.</t>
  </si>
  <si>
    <t xml:space="preserve">* Total IH loss is ₹83.2K, mainly from Adjustment ₹71.6K and FCC bin ₹9.2K.
* Top loss categories: Rice &amp; More (Atta, Rice, Oil &amp; Dals) ₹15.2K (17%), Cleaning Essentials ₹11.1K (13%), Cups (Ice Creams &amp; More) ₹8.6K (10%), Dairy, Bread &amp; Eggs ₹7.6K (9%), Home Needs ₹7.3K (8%). Share is of ₹88.3K net loss across loss-making categories.
* Loss is spread across 1035 SKUs and the top 10 make 13% of SKU-level loss.
* Theft-prone SKUs show net loss of ₹7.6K, led by dry fruits &amp; nuts ₹3.2K, cigarettes ₹1.7K and premium chocolates ₹862.
* Clear FCC bin of ₹9.2K by tomorrow. Stock traced goes back to its bin and posts as adjustment gain.
* Recount Royal Bullet Sona Masuri Steamed (₹8.9K), Daily Good Sona Masoori Boiled Rice (₹1.6K) and Surf Excel Matic Front Load (₹1.4K) and match with last GRN qty.
* Daily closing count of dry fruits &amp; nuts, cigarettes and premium chocolates SKUs, signed off by DHM.
* W2W audit of aisles E and B as Adjustment is ₹71.6K.
* Reconcile STO short receipt ₹2.0K with MH and DH.</t>
  </si>
  <si>
    <t xml:space="preserve">* Total IH loss is ₹67.8K, mainly from FCC bin ₹43.0K and Adjustment ₹15.9K.
* Majority impact is from FCC bin of ₹43.0K. Excluding this, the store is ₹24.8K in loss.
* Top loss categories: Ice Creams &amp; More ₹19.4K (27%), Cold Drinks &amp; Juices ₹10.8K (15%), Dry Fruits &amp; Nuts (Masala, Dry Fruits &amp; More) ₹9.9K (14%), Chips &amp; Crisps (Munchies) ₹6.5K (9%), Detergent Powder &amp; Bars (Cleaning Essentials) ₹5.8K (8%). Share is of ₹71.0K net loss across loss-making categories.
* Loss is spread across 1299 SKUs and the top 10 make 11% of SKU-level loss.
* Theft-prone SKUs show net loss of ₹10.7K, led by dry fruits &amp; nuts ₹7.5K, cigarettes ₹1.7K and creatine ₹567.
* Aisles H and B hold ₹27.6K, 58% of bin-level loss.
* Clear FCC bin of ₹43.0K by tomorrow. Stock traced goes back to its bin and posts as adjustment gain.
* Cycle count the shortpick bins against the ₹2.6K shortpick value.
* Recount Wonderland Foods Australian Almonds (₹4.3K), Tide Plus Jasmine &amp; Rose Detergent (₹3.7K) and Oneplus Nord Buds 3 Pro in Ear TWS (₹2.3K) and match with last GRN qty.
* Daily closing count of dry fruits &amp; nuts, cigarettes and creatine SKUs, signed off by DHM.
* W2W audit of aisles B and A as Adjustment is ₹15.9K.
* Reconcile RTO ₹3.9K with LM and STO short receipt ₹680 with MH and DH.</t>
  </si>
  <si>
    <t xml:space="preserve">* Total IH loss is ₹58.9K, mainly from FCC bin ₹38.9K and Adjustment ₹19.5K.
* Majority impact is from FCC bin of ₹38.9K. Excluding this, the store is ₹20.0K in loss.
* Top loss categories: Apparel &amp; Lifestyle ₹16.5K (25%), Dog Food (Pet Care) ₹10.7K (16%), Home Needs ₹8.5K (13%), Plant &amp; Vegan Protein (Protein &amp; Nutrition) ₹3.9K (6%), Skincare ₹3.7K (6%). Share is of ₹65.6K net loss across loss-making categories.
* Loss is spread across 354 SKUs and the top 10 make 19% of SKU-level loss.
* Theft-prone SKUs show net loss of ₹3.2K, led by earphones ₹1.2K, creatine ₹1.0K and dry fruits &amp; nuts ₹418.
* MP delta of 7.
* Only 50% of store audited last month.
* SSM confirms stock available in store.
* Clear FCC bin of ₹38.9K by tomorrow. Stock traced goes back to its bin and posts as adjustment gain.
* Recount Royal Canin Labrador Retriever (₹4.2K), Daawat Sona Masuri Raw (₹3.0K) and TrueBasics Clean Plant Protein (₹2.4K) and match with last GRN qty.
* Daily closing count of earphones, creatine and dry fruits &amp; nuts SKUs, signed off by DHM.
* W2W audit of aisles I and G as Adjustment is ₹19.5K.
* Reconcile RTO ₹530 with LM.</t>
  </si>
  <si>
    <t xml:space="preserve">* Total IH loss is ₹57.8K, mainly from Adjustment ₹41.4K and FCC bin ₹12.8K.
* Top loss categories: Dairy, Bread &amp; Eggs ₹12.3K (20%), Ice Creams &amp; More ₹8.2K (13%), Fruits &amp; Vegetables ₹7.5K (12%), Chocolates (Sweet Cravings) ₹6.1K (10%), Frozen Food ₹5.6K (9%). Share is of ₹61.9K net loss across loss-making categories.
* Loss is spread across 790 SKUs and the top 10 make 8% of SKU-level loss.
* Theft-prone SKUs show net loss of ₹4.5K, led by cigarettes ₹1.6K, dry fruits &amp; nuts ₹1.3K and pen drives ₹1.1K.
* Aisles K and B hold ₹30.1K, 51% of bin-level loss.
* DHM adherence gap, SBC completion pending.
* Clear FCC bin of ₹12.8K by tomorrow. Stock traced goes back to its bin and posts as adjustment gain.
* Cycle count the shortpick bins against the ₹2.4K shortpick value.
* Recount HP 64GB MicroSD Memory Card SDXC (₹1.1K), Baby Sebamed Shampoo pH 5.5 Ideal (₹829) and Fabelle Open Secret Dark Chocolate (₹819) and match with last GRN qty.
* Daily closing count of cigarettes, dry fruits &amp; nuts and pen drives SKUs, signed off by DHM.
* W2W audit of aisles B and A as Adjustment is ₹41.4K.
* Reconcile RTO ₹948 with LM.</t>
  </si>
  <si>
    <t xml:space="preserve">* Total IH loss is ₹54.1K, mainly from FCC bin ₹29.8K, PO cancel ₹13.3K and Adjustment ₹5.8K.
* Top loss categories: Dairy, Bread &amp; Eggs ₹12.0K (22%), Fruits &amp; Vegetables ₹7.4K (14%), Ice Creams &amp; More ₹6.0K (11%), Medical Devices (Pharma &amp; Wellness) ₹4.1K (8%), Baking Mixes &amp; Ingredients (Packaged Food) ₹3.3K (6%). Share is of ₹53.4K net loss across loss-making categories.
* Loss is spread across 681 SKUs and the top 10 make 16% of SKU-level loss.
* Aisles L and A hold ₹22.5K, 54% of bin-level loss.
* Clear FCC bin of ₹29.8K by tomorrow. Stock traced goes back to its bin and posts as adjustment gain.
* Cycle count the shortpick bins against the ₹1.4K shortpick value.
* Recount Dr Trust USA ICheck Pro 116 (₹2.9K), Minimalist B12 Repair Complex Face (₹1.8K) and Morde Dark Compound Suitable (₹1.5K) and match with last GRN qty.
* W2W audit of aisles A and H as Adjustment is ₹5.8K.
* Reconcile RTO ₹3.8K with LM and PO cancel ₹13.3K with procurement and DH.</t>
  </si>
  <si>
    <t xml:space="preserve">* Total IH loss is ₹54.1K, mainly from FCC bin ₹23.7K, Adjustment ₹20.5K and Shortpick ₹7.7K.
* Top loss categories: Whey Protein (Protein &amp; Nutrition) ₹7.0K (15%), Kitchen Appliances (Electronics &amp; Appliances) ₹6.4K (14%), Cold Drinks &amp; Juices ₹5.2K (11%), Rice &amp; More (Atta, Rice, Oil &amp; Dals) ₹3.9K (9%), Frozen Food ₹3.8K (8%). Share is of ₹45.6K net loss across loss-making categories.
* Loss is spread across 546 SKUs and the top 10 make 27% of SKU-level loss.
* Theft-prone SKUs show net loss of ₹9.6K, led by whey ₹7.6K, premium chocolates ₹1.6K and cigarettes ₹475.
* Clear FCC bin of ₹23.7K by tomorrow. Stock traced goes back to its bin and posts as adjustment gain.
* Cycle count the shortpick bins against the ₹7.7K shortpick value.
* Recount Only What's Needed 24g Whey (₹4.2K), Philips Air Fryer NA120/00, 1500W (₹3.7K) and MuscleBlaze Raw Whey Protein (₹3.4K) and match with last GRN qty.
* Daily closing count of whey, premium chocolates and cigarettes SKUs, signed off by DHM.
* W2W audit of aisles C and I as Adjustment is ₹20.5K.
* Reconcile RTO ₹584 with LM and STO short receipt ₹1.6K with MH and DH.</t>
  </si>
  <si>
    <t xml:space="preserve">* Total IH loss is ₹52.2K, mainly from Adjustment ₹37.0K and FCC bin ₹13.7K.
* Top loss categories: Ice Creams &amp; More ₹7.8K (15%), Cigarettes (Paan Corner) ₹6.3K (12%), Dairy, Bread &amp; Eggs ₹6.0K (12%), Frozen Food ₹5.8K (11%), Rice &amp; More (Atta, Rice, Oil &amp; Dals) ₹5.1K (10%). Share is of ₹52.1K net loss across loss-making categories.
* Loss is spread across 696 SKUs and the top 10 make 16% of SKU-level loss.
* Theft-prone SKUs show net loss of ₹8.0K, led by cigarettes ₹6.1K, creatine ₹1.1K and dry fruits &amp; nuts ₹787.
* Aisles D and O hold ₹30.1K, 53% of bin-level loss.
* Clear FCC bin of ₹13.7K by tomorrow. Stock traced goes back to its bin and posts as adjustment gain.
* Recount Bigmuscles Nutrition Premium Gold (₹2.9K), Marlboro Gold Advance Cigarettes (₹2.3K) and Players Minty Cool Fresh Taste (₹2.0K) and match with last GRN qty.
* Daily closing count of cigarettes, creatine and dry fruits &amp; nuts SKUs, signed off by DHM.
* W2W audit of aisles D and C as Adjustment is ₹37.0K.
* Reconcile STO short receipt ₹1.4K with MH and DH.</t>
  </si>
  <si>
    <t xml:space="preserve">* Total IH loss is ₹51.8K, mainly from FCC bin ₹27.6K, Adjustment ₹16.8K and Shortpick ₹5.8K.
* Top loss categories: Dairy, Bread &amp; Eggs ₹12.0K (23%), Chocolates (Sweet Cravings) ₹11.1K (22%), Fruits &amp; Vegetables ₹6.3K (12%), Cold Drinks &amp; Juices ₹6.2K (12%), Cigarettes (Paan Corner) ₹3.5K (7%). Share is of ₹51.7K net loss across loss-making categories.
* Loss is spread across 896 SKUs and the top 10 make 14% of SKU-level loss.
* Theft-prone SKUs show net loss of ₹6.9K, led by cigarettes ₹3.3K, premium chocolates ₹1.9K and whey ₹1.2K.
* Aisles I and H hold ₹32.8K, 67% of bin-level loss.
* CCA delta of 3, SBC not done.
* Wrong putaway led to stock spread across bins and high FC.
* Clear FCC bin of ₹27.6K by tomorrow. Stock traced goes back to its bin and posts as adjustment gain.
* Cycle count the shortpick bins against the ₹5.8K shortpick value.
* Recount Classic Ice Burst Fresh Mint (₹2.9K), Logitech Pebble Keys 2 (₹2.6K) and Superior MP Wheat Atta, 0% Maida (₹2.0K) and match with last GRN qty.
* Daily closing count of cigarettes, premium chocolates and whey SKUs, signed off by DHM.
* W2W audit of aisles H and N as Adjustment is ₹16.8K.
* Reconcile RTO ₹1.6K with LM.</t>
  </si>
  <si>
    <t xml:space="preserve">* Total IH loss is ₹49.5K, mainly from Adjustment ₹34.2K and FCC bin ₹13.5K.
* Top loss categories: Chocolates (Sweet Cravings) ₹10.9K (25%), Ice Creams &amp; More ₹8.3K (19%), Atta, Rice, Oil &amp; Dals ₹6.7K (15%), Chips &amp; Crisps (Munchies) ₹4.0K (9%), Fruits &amp; Vegetables ₹2.9K (7%). Share is of ₹43.6K net loss across loss-making categories.
* Loss is spread across 808 SKUs and the top 10 make 15% of SKU-level loss.
* Theft-prone SKUs show net loss of ₹7.2K, led by premium chocolates ₹4.4K, dry fruits &amp; nuts ₹1.6K and earphones ₹1.0K.
* Aisles J and K hold ₹17.0K, 59% of bin-level loss.
* Clear FCC bin of ₹13.5K by tomorrow. Stock traced goes back to its bin and posts as adjustment gain.
* Recount Royal Bullet Sona Masuri Steamed (₹1.8K), Gala No Dust Floor Cleaning Broom (₹1.5K) and Mr. Gold Groundnut Oil Pouch (₹929) and match with last GRN qty.
* Daily closing count of premium chocolates, dry fruits &amp; nuts and earphones SKUs, signed off by DHM.
* W2W audit of aisles J and D as Adjustment is ₹34.2K.
* Reconcile RTO ₹541 with LM.
* Close out Other bins stock of ₹1.3K and post it back to inventory.</t>
  </si>
  <si>
    <t xml:space="preserve">* Total IH loss is ₹48.9K, mainly from Adjustment ₹31.1K and FCC bin ₹16.9K.
* Top loss categories: Ice Creams &amp; More ₹21.3K (30%), Frozen Food ₹20.2K (29%), Dairy, Bread &amp; Eggs ₹9.8K (14%), Fresh Vegetables (Fruits &amp; Vegetables) ₹7.0K (10%), Chicken (Meats, Fish &amp; Eggs) ₹2.6K (4%). Share is of ₹70.4K net loss across loss-making categories.
* Loss is spread across 1028 SKUs and the top 10 make 11% of SKU-level loss.
* Theft-prone SKUs show net loss of ₹2.4K, led by cigarettes ₹1.7K and premium chocolates ₹769.
* Aisles M and L hold ₹56.3K, 90% of bin-level loss.
* Clear FCC bin of ₹16.9K by tomorrow. Stock traced goes back to its bin and posts as adjustment gain.
* Recount GTS Original Kolam Rice (₹2.6K), Freedom Refined Sunflower Oil (₹1.8K) and Jivo Pomace Olive Oil (₹891) and match with last GRN qty.
* Daily closing count of cigarettes and premium chocolates SKUs, signed off by DHM.
* W2W audit of aisles K and Q as Adjustment is ₹31.1K.
* Reconcile RTO ₹595 with LM.</t>
  </si>
  <si>
    <t xml:space="preserve">Narasimhamurthy R</t>
  </si>
  <si>
    <t xml:space="preserve">Kishor K</t>
  </si>
  <si>
    <t xml:space="preserve">* Total IH loss is ₹48.7K, mainly from Adjustment ₹26.8K and FCC bin ₹20.3K.
* Top loss categories: Munchies ₹21.8K (38%), Cleaning Essentials ₹7.6K (13%), Noodles &amp; Vermicelli (Packaged Food) ₹6.3K (11%), Paneer &amp; Cream (Dairy, Bread &amp; Eggs) ₹5.1K (9%), Sticks (Ice Creams &amp; More) ₹3.7K (6%). Share is of ₹57.1K net loss across loss-making categories.
* Loss is spread across 964 SKUs and the top 10 make 11% of SKU-level loss.
* Theft-prone SKUs show net loss of ₹5.8K, led by dry fruits &amp; nuts ₹3.2K, pen drives ₹1.8K and cigarettes ₹597.
* Aisles A and G hold ₹40.3K, 77% of bin-level loss.
* Peak CCA unable to add excess stock.
* DH CCA deployed for SBC.
* Wrong putaway reported.
* Clear FCC bin of ₹20.3K by tomorrow. Stock traced goes back to its bin and posts as adjustment gain.
* Cycle count the shortpick bins against the ₹1.4K shortpick value.
* Recount Sandisk microSDXC UHS-I Memory (₹1.8K), Jivo Sunflower Cold Pressed Oil (₹1.7K) and Daily Good Sona Masoori Boiled Rice (₹1.6K) and match with last GRN qty.
* Daily closing count of dry fruits &amp; nuts, pen drives and cigarettes SKUs, signed off by DHM.
* W2W audit of aisles A and G as Adjustment is ₹26.8K.</t>
  </si>
  <si>
    <t xml:space="preserve">40K </t>
  </si>
  <si>
    <t xml:space="preserve">BLR-Malleshpalya</t>
  </si>
  <si>
    <t xml:space="preserve">Silambarasan E</t>
  </si>
  <si>
    <t xml:space="preserve">Arivind S</t>
  </si>
  <si>
    <t xml:space="preserve">* Total IH loss is ₹48.3K, mainly from Adjustment ₹44.0K.
* Top loss categories: Atta, Rice, Oil &amp; Dals ₹5.0K (15%), Chips &amp; Crisps (Munchies) ₹3.7K (11%), Tea, Coffee &amp; More ₹3.7K (11%), Paneer &amp; Cream (Dairy, Bread &amp; Eggs) ₹2.7K (8%), Fruits &amp; Vegetables ₹2.7K (8%). Share is of ₹32.7K net loss across loss-making categories.
* Loss is spread across 809 SKUs and the top 10 make 11% of SKU-level loss.
* FOCO to COCO conversion.
* W2W done at handover.
* Clear FCC bin of ₹4.1K by tomorrow. Stock traced goes back to its bin and posts as adjustment gain.
* Recount Amazon Pay Shagun Gift Card - INR (₹2.0K), Evereve Overnight Disposable (₹1.3K) and Nescafe Gold Blend Rich And Smooth (₹1.1K) and match with last GRN qty.
* W2W audit of aisles C and B as Adjustment is ₹44.0K.
* DHM to review every adjustment entry before posting for the next 7 days.</t>
  </si>
  <si>
    <t xml:space="preserve">BLR-Malleshpalya Shrinkage - 2026-10-05</t>
  </si>
  <si>
    <t xml:space="preserve">Sundaresh S</t>
  </si>
  <si>
    <t xml:space="preserve">* Total IH loss is ₹47.2K, mainly from FCC bin ₹17.5K, Adjustment ₹15.2K and STO short receipt ₹12.1K.
* SKU-level net is ₹2.0K, under 10% of IH loss, so the gap is not category driven and sits in FCC bin.
* Theft-prone SKUs show net loss of ₹3.3K, led by dry fruits &amp; nuts ₹2.0K, perfumes ₹983 and cigarettes ₹359.
* Aisles E and K hold ₹18.8K, 58% of bin-level loss.
* Clear FCC bin of ₹17.5K by tomorrow. Stock traced goes back to its bin and posts as adjustment gain.
* Recount Jivo Pomace Olive Oil (₹6.3K), Ariel Matic Detergent Powder Front (₹980) and Keshar Kali Wada Kolam Rice (₹835) and match with last GRN qty.
* Daily closing count of dry fruits &amp; nuts, perfumes and cigarettes SKUs, signed off by DHM.
* W2W audit of aisles E and C as Adjustment is ₹15.2K.
* Reconcile RTO ₹1.7K with LM and STO short receipt ₹12.1K with MH and DH.</t>
  </si>
  <si>
    <t xml:space="preserve">* Total IH loss is ₹47.1K, mainly from FCC bin ₹27.2K, Adjustment ₹9.4K and RTO loss ₹6.7K.
* SKU-level net is a gain of ₹656, under 10% of IH loss, so the gap is not category driven and sits in FCC bin.
* Theft-prone SKUs show net loss of ₹3.6K, led by dry fruits &amp; nuts ₹1.8K, perfumes ₹1.1K and premium chocolates ₹447.
* DHM and SI monitoring gap.
* Packers marked FC with stock available in primary bin.
* SS RTO not cleared on time.
* Clear FCC bin of ₹27.2K by tomorrow. Stock traced goes back to its bin and posts as adjustment gain.
* Recount Gold Winner Refined Sunflower Oil (₹3.4K), Classic Ice Burst Fresh Mint (₹1.9K) and Aptamil Gold 2 Follow up Infant (₹1.6K) and match with last GRN qty.
* Daily closing count of dry fruits &amp; nuts, perfumes and premium chocolates SKUs, signed off by DHM.
* W2W audit of aisles X and M as Adjustment is ₹9.4K.
* Reconcile RTO ₹6.7K with LM and STO short receipt ₹3.5K with MH and DH.</t>
  </si>
  <si>
    <t xml:space="preserve">BLR-Kudlu</t>
  </si>
  <si>
    <t xml:space="preserve">Raghavendra Vernekar</t>
  </si>
  <si>
    <t xml:space="preserve">* Total IH loss is ₹46.4K, mainly from Adjustment ₹27.6K and FCC bin ₹14.1K.
* Top loss categories: Sticks (Ice Creams &amp; More) ₹11.4K (32%), Chips &amp; Crisps (Munchies) ₹4.5K (12%), Rice &amp; More (Atta, Rice, Oil &amp; Dals) ₹4.0K (11%), Cold Drinks &amp; Juices ₹3.3K (9%), Home Needs ₹2.2K (6%). Share is of ₹36.1K net loss across loss-making categories.
* Loss is spread across 1043 SKUs and the top 10 make 6% of SKU-level loss.
* Aisles C and I hold ₹22.8K, 67% of bin-level loss.
* Clear FCC bin of ₹14.1K by tomorrow. Stock traced goes back to its bin and posts as adjustment gain.
* Cycle count the shortpick bins against the ₹3.9K shortpick value.
* Recount GTS Original Kolam Rice (₹862), Liquid I.V. Hydration Multiplier (₹785) and Daawat Sona Masuri Rice Medium (₹666) and match with last GRN qty.
* W2W audit of aisles C and D as Adjustment is ₹27.6K.
* Reconcile RTO ₹804 with LM.</t>
  </si>
  <si>
    <t xml:space="preserve">BLR-Bommanahalli</t>
  </si>
  <si>
    <t xml:space="preserve">* Total IH loss is ₹43.8K, mainly from STO short receipt ₹41.4K.
* Majority impact is from STO short receipt of ₹41.4K. Excluding this, the store is ₹2.4K in loss.
* SKU-level net is a gain of ₹4.5K, under 10% of IH loss, so the gap is not category driven and sits in STO short receipt.
* Aisles B and S hold ₹4.8K, 66% of bin-level loss.
* STO from Mathikere not dispatched as per SOP, STO putaway is the main bucket.
* Clear FCC bin of ₹2.0K by tomorrow. Stock traced goes back to its bin and posts as adjustment gain.
* Reconcile STO short receipt ₹41.4K with MH and DH.
* DHM to review every adjustment entry before posting for the next 7 days.
* IM to share ground RCA on manpower, DHM/SI changes and theft incidents by tomorrow.</t>
  </si>
  <si>
    <t xml:space="preserve">Balaji G</t>
  </si>
  <si>
    <t xml:space="preserve">* Total IH loss is ₹43.6K, mainly from FCC bin ₹31.8K.
* Majority impact is from FCC bin of ₹31.8K. Excluding this, the store is ₹11.8K in loss.
* Top loss categories: Frozen Food ₹13.0K (26%), Dairy, Bread &amp; Eggs ₹8.1K (16%), Cold Drinks &amp; Juices ₹6.7K (13%), Ice Creams &amp; More ₹4.9K (10%), Chocolates (Sweet Cravings) ₹3.8K (8%). Share is of ₹50.6K net loss across loss-making categories.
* Loss is spread across 877 SKUs and the top 10 make 12% of SKU-level loss.
* Theft-prone SKUs show net loss of ₹3.2K, led by whey ₹2.8K and earphones ₹415.
* Aisles I and J hold ₹30.9K, 74% of bin-level loss.
* Wrong putaway in frozen, SKUs stacked in deep bins.
* Blind spots in milk room, munching of chocolates, ice cream and chips identified.
* Clear FCC bin of ₹31.8K by tomorrow. Stock traced goes back to its bin and posts as adjustment gain.
* Cycle count the shortpick bins against the ₹4.0K shortpick value.
* Recount Avvatar Performance Whey Protein (₹2.8K), Royal Bullet Sona Masuri Steamed (₹1.8K) and Desi Farms Cow Ghee (₹1.6K) and match with last GRN qty.
* Daily closing count of whey and earphones SKUs, signed off by DHM.
* W2W audit of aisles B and K as Adjustment is ₹3.2K.
* Reconcile RTO ₹1.7K with LM.</t>
  </si>
  <si>
    <t xml:space="preserve">Ashwath S</t>
  </si>
  <si>
    <t xml:space="preserve">* Total IH loss is ₹43.0K, mainly from Adjustment ₹33.6K and FCC bin ₹9.1K.
* Top loss categories: Atta, Rice, Oil &amp; Dals ₹8.8K (25%), Ice Creams &amp; More ₹4.9K (14%), Veg Snacks (Frozen Food) ₹4.9K (14%), Chips &amp; Crisps (Munchies) ₹3.5K (10%), Masala, Dry Fruits &amp; More ₹2.9K (8%). Share is of ₹36.0K net loss across loss-making categories.
* Loss is spread across 624 SKUs and the top 10 make 13% of SKU-level loss.
* Aisles C and H hold ₹29.8K, 75% of bin-level loss.
* Clear FCC bin of ₹9.1K by tomorrow. Stock traced goes back to its bin and posts as adjustment gain.
* Recount Pampers Active Baby Taped Style (₹1.5K), Daily Good Sona Masoori Steam Rice (₹1.4K) and Figaro Extra Light Tasting Olive (₹963) and match with last GRN qty.
* W2W audit of aisles C and B as Adjustment is ₹33.6K.
* DHM to review every adjustment entry before posting for the next 7 days.</t>
  </si>
  <si>
    <t xml:space="preserve">* Total IH loss is ₹43.0K, mainly from PO cancel ₹32.9K and FCC bin ₹26.1K.
* Majority impact is from PO cancel of ₹32.9K. Excluding this, the store is ₹10.1K in loss.
* Adjustment is a gain of ₹18.6K, which offsets part of the loss in other buckets.
* SKU-level net is ₹287, under 10% of IH loss, so the gap is not category driven and sits in PO cancel.
* Theft-prone SKUs show net loss of ₹11.5K, led by whey ₹3.7K, chargers ₹3.0K and earphones ₹1.6K.
* Aisles H and C hold ₹27.1K, 84% of bin-level loss.
* Clear FCC bin of ₹26.1K by tomorrow. Stock traced goes back to its bin and posts as adjustment gain.
* Recount MuscleBlaze Biozyme Performance (₹3.7K), Freedom Refined Sunflower Oil (₹2.6K) and GTS Original Kolam Rice (₹2.6K) and match with last GRN qty.
* Daily closing count of whey, chargers and earphones SKUs, signed off by DHM.
* Reconcile STO short receipt ₹2.1K with MH and DH and PO cancel ₹32.9K with procurement and DH.</t>
  </si>
  <si>
    <t xml:space="preserve">* Total IH loss is ₹42.8K, mainly from Adjustment ₹23.7K, FCC bin ₹12.6K and Shortpick ₹5.7K.
* SKU-level net is a gain of ₹138, under 10% of IH loss, so the gap is not category driven and sits in FCC bin.
* Theft-prone SKUs show net loss of ₹8.8K, led by whey ₹8.7K, cigars ₹71 and perfumes ₹64.
* Aisles C and H hold ₹36.0K, 63% of bin-level loss.
* Clear FCC bin of ₹12.6K by tomorrow. Stock traced goes back to its bin and posts as adjustment gain.
* Cycle count the shortpick bins against the ₹5.7K shortpick value.
* Recount TrueBasics Clean Whey Protein (₹8.7K), Pampers Active Baby Taped Style (₹1.4K) and Cadbury Bournville Rich Cocoa 70% (₹1.1K) and match with last GRN qty.
* Daily closing count of whey, cigars and perfumes SKUs, signed off by DHM.
* W2W audit of aisle C as Adjustment is ₹23.7K.
* Reconcile RTO ₹746 with LM.</t>
  </si>
  <si>
    <t xml:space="preserve">* Total IH loss is ₹42.8K, mainly from Adjustment ₹29.7K and FCC bin ₹9.3K.
* Top loss categories: Atta, Rice, Oil &amp; Dals ₹7.2K (16%), Fresh Vegetables (Fruits &amp; Vegetables) ₹6.3K (14%), Muesli &amp; Oats (Breakfast &amp; Sauces) ₹5.4K (12%), Munchies ₹4.3K (10%), Cold Drinks &amp; Juices ₹4.1K (9%). Share is of ₹44.0K net loss across loss-making categories.
* Loss is spread across 567 SKUs and the top 10 make 15% of SKU-level loss.
* Theft-prone SKUs show net loss of ₹5.1K, led by dry fruits &amp; nuts ₹3.4K, whey ₹1.2K and pre-workout ₹386.
* Aisles A and B hold ₹30.1K, 72% of bin-level loss.
* Clear FCC bin of ₹9.3K by tomorrow. Stock traced goes back to its bin and posts as adjustment gain.
* Cycle count the shortpick bins against the ₹3.5K shortpick value.
* Recount Nutraj Cashew Nuts Kaju (₹1.6K), NAKPRO Impact Whey Protein blend (₹1.2K) and Surf Excel Matic Front Load (₹1.1K) and match with last GRN qty.
* Daily closing count of dry fruits &amp; nuts, whey and pre-workout SKUs, signed off by DHM.
* W2W audit of aisles A and B as Adjustment is ₹29.7K.</t>
  </si>
  <si>
    <t xml:space="preserve">Suhas N</t>
  </si>
  <si>
    <t xml:space="preserve">Aravind S</t>
  </si>
  <si>
    <t xml:space="preserve">* Total IH loss is ₹42.5K, mainly from Adjustment ₹29.2K and FCC bin ₹9.6K.
* Top loss categories: Ghee (Atta, Rice, Oil &amp; Dals) ₹34.9K (67%), Fruits &amp; Vegetables ₹5.8K (11%), Ice Creams &amp; More ₹4.8K (9%), Chocolates (Sweet Cravings) ₹2.9K (6%), Baby Diapering (Baby Care) ₹838 (2%). Share is of ₹52.1K net loss across loss-making categories.
* Focus SKU: Nandini Pure Ghee Pouch at ₹22.5K, net qty 37, bin TYJ-D-39 (7), TYJ-D-35-D-3 (4), TYJ-E-5 (26).
* Theft-prone SKUs show net loss of ₹2.1K, led by premium chocolates ₹1.5K, serums ₹500 and cigarettes ₹80.
* Aisles E and D hold ₹19.0K, 57% of bin-level loss.
* Mass theft involvement identified.
* SLP investigation completed, IR pending.
* Salary hold and stock adjustment raised, SLP recovery ₹48,000 (18K + 30K).
* Clear FCC bin of ₹9.6K by tomorrow. Stock traced goes back to its bin and posts as adjustment gain.
* Recount Nandini Pure Ghee Pouch (₹22.5K), Tata Sampann Unpolished Toor (₹2.8K) and Popular Essentials Premium Jeera (₹2.4K) and match with last GRN qty.
* Daily closing count of premium chocolates, serums and cigarettes SKUs, signed off by DHM.
* W2W audit of aisles E and D as Adjustment is ₹29.2K.
* Reconcile RTO ₹3.0K with LM.</t>
  </si>
  <si>
    <t xml:space="preserve">Salary Hold Request – Theft Investigation and Recovery // BLR-Thyagaraja Nagar //  &amp;  Stock Adjustment Request – Theft Case // BLR-Thyagaraja Nagar /</t>
  </si>
  <si>
    <t xml:space="preserve">18000+30000=48000</t>
  </si>
  <si>
    <t xml:space="preserve">Nil</t>
  </si>
  <si>
    <t xml:space="preserve">* Total IH loss is ₹41.5K, mainly from FCC bin ₹24.0K and Adjustment ₹16.7K.
* Top loss categories: Atta, Rice, Oil &amp; Dals ₹6.2K (16%), Namkeens (Munchies) ₹4.7K (12%), Sweet Cravings ₹4.3K (11%), Cups (Ice Creams &amp; More) ₹3.7K (9%), Fruits &amp; Vegetables ₹3.3K (8%). Share is of ₹39.3K net loss across loss-making categories.
* Loss is spread across 811 SKUs and the top 10 make 13% of SKU-level loss.
* CCA delta, 3 CCAs now hired.
* Clear FCC bin of ₹24.0K by tomorrow. Stock traced goes back to its bin and posts as adjustment gain.
* Recount Nandini Pure Ghee Pouch (₹1.8K), Mr.Gold Refined Rice Bran Oil Pouch (₹1.6K) and Wellwith Sea Buckthorn Pulp (₹1.2K) and match with last GRN qty.
* W2W audit of aisles D and C as Adjustment is ₹16.7K.
* Reconcile RTO ₹843 with LM.</t>
  </si>
  <si>
    <t xml:space="preserve">Complete losses will be recovered (40k)</t>
  </si>
  <si>
    <t xml:space="preserve">* Total IH loss is ₹41.3K, mainly from Adjustment ₹27.9K and FCC bin ₹6.8K.
* Top loss categories: Whey Protein (Protein &amp; Nutrition) ₹9.5K (21%), Earphones &amp; Headphones (Electronics &amp; Appliances) ₹7.9K (17%), Sweet Cravings ₹4.4K (10%), Munchies ₹4.3K (9%), Cigarettes (Paan Corner) ₹3.6K (8%). Share is of ₹45.9K net loss across loss-making categories.
* Loss is spread across 807 SKUs and the top 10 make 19% of SKU-level loss.
* Theft-prone SKUs show net loss of ₹23.2K, led by whey ₹9.5K, earphones ₹5.2K and cigarettes ₹3.9K.
* Aisles E and F hold ₹28.4K, 72% of bin-level loss.
* Clear FCC bin of ₹6.8K by tomorrow. Stock traced goes back to its bin and posts as adjustment gain.
* Cycle count the shortpick bins against the ₹3.9K shortpick value.
* Recount TrueBasics Clean Whey Protein (₹8.7K), Apple Earpods wired Earphone (₹4.0K) and Marlboro Red (₹2.6K) and match with last GRN qty.
* Daily closing count of whey, earphones and cigarettes SKUs, signed off by DHM.
* W2W audit of aisles E and F as Adjustment is ₹27.9K.
* Reconcile RTO ₹2.3K with LM.</t>
  </si>
  <si>
    <t xml:space="preserve">BLR-Kogilu Road</t>
  </si>
  <si>
    <t xml:space="preserve">* Total IH loss is ₹41.1K, mainly from Adjustment ₹30.2K and FCC bin ₹6.2K.
* Top loss categories: Ice Creams &amp; More ₹12.5K (28%), Frozen Food ₹9.8K (22%), Dairy, Bread &amp; Eggs ₹4.5K (10%), Chips &amp; Crisps (Munchies) ₹3.7K (8%), Dry Fruits &amp; Nuts (Masala, Dry Fruits &amp; More) ₹1.6K (4%). Share is of ₹44.2K net loss across loss-making categories.
* Loss is spread across 604 SKUs and the top 10 make 12% of SKU-level loss.
* Theft-prone SKUs show net loss of ₹2.1K, led by dry fruits &amp; nuts ₹1.1K, cigarettes ₹855 and chargers ₹111.
* Aisles K and E hold ₹35.6K, 81% of bin-level loss.
* Clear FCC bin of ₹6.2K by tomorrow. Stock traced goes back to its bin and posts as adjustment gain.
* Cycle count the shortpick bins against the ₹4.0K shortpick value.
* Recount Daily Good Sona Masoori Boiled Rice (₹1.6K), Nestle Nan Excellapro Stage 3 (₹1.6K) and Wellcore Micronised Tropical Tango (₹1.0K) and match with last GRN qty.
* Daily closing count of dry fruits &amp; nuts, cigarettes and chargers SKUs, signed off by DHM.
* W2W audit of aisles E and A as Adjustment is ₹30.2K.
* Reconcile RTO ₹810 with LM.</t>
  </si>
  <si>
    <t xml:space="preserve">* Total IH loss is ₹40.2K, mainly from Adjustment ₹29.1K and FCC bin ₹9.7K.
* Top loss categories: Fruits &amp; Vegetables ₹16.6K (34%), Milk (Dairy, Bread &amp; Eggs) ₹10.4K (22%), Cold Drinks &amp; Juices ₹5.5K (11%), Whey Protein (Protein &amp; Nutrition) ₹3.8K (8%), Cones (Ice Creams &amp; More) ₹2.6K (5%). Share is of ₹48.3K net loss across loss-making categories.
* Loss is spread across 941 SKUs and the top 10 make 13% of SKU-level loss.
* Theft-prone SKUs show net loss of ₹6.8K, led by whey ₹4.3K, premium chocolates ₹1.2K and cigarettes ₹984.
* FnV adjustments done by QA without DHM knowledge, 2 QA associates removed.
* Clear FCC bin of ₹9.7K by tomorrow. Stock traced goes back to its bin and posts as adjustment gain.
* Recount TrueBasics Clean Whey Protein (₹4.3K), Bisleri Packaged Drinking Water (₹1.7K) and Daily Good Sona Masoori Boiled Rice (₹1.6K) and match with last GRN qty.
* Daily closing count of whey, premium chocolates and cigarettes SKUs, signed off by DHM.
* W2W audit of aisles H and I as Adjustment is ₹29.1K.
* Reconcile RTO ₹773 with LM.</t>
  </si>
  <si>
    <t xml:space="preserve">BLR-CV RAMAN NAGAR NEW</t>
  </si>
  <si>
    <t xml:space="preserve">* Total IH loss is ₹40.1K, mainly from Adjustment ₹14.0K, FCC bin ₹11.6K and PO cancel ₹9.9K.
* Top loss categories: Fruits &amp; Vegetables ₹15.0K (41%), Batters &amp; Mixes (Dairy, Bread &amp; Eggs) ₹4.8K (13%), Atta (Atta, Rice, Oil &amp; Dals) ₹3.9K (11%), Chocolates (Sweet Cravings) ₹2.2K (6%), Cold Drinks &amp; Juices ₹1.6K (4%). Share is of ₹36.2K net loss across loss-making categories.
* Loss is spread across 531 SKUs and the top 10 make 22% of SKU-level loss.
* Theft-prone SKUs show net loss of ₹5.7K, led by gift cards ₹3.3K, dry fruits &amp; nuts ₹1.3K and creatine ₹520.
* Aisles G and H hold ₹19.9K, 55% of bin-level loss.
* Clear FCC bin of ₹11.6K by tomorrow. Stock traced goes back to its bin and posts as adjustment gain.
* Recount Amazon Pay Shagun Gift Card - INR (₹4.9K), Superior MP Wheat Atta, 0% Maida (₹2.5K) and Nandini Pure Ghee Pouch (₹1.2K) and match with last GRN qty.
* Daily closing count of gift cards, dry fruits &amp; nuts and creatine SKUs, signed off by DHM.
* W2W audit of aisles G and D as Adjustment is ₹14.0K.
* Reconcile RTO ₹1.4K with LM, STO short receipt ₹2.0K with MH and DH and PO cancel ₹9.9K with procurement and DH.</t>
  </si>
  <si>
    <t xml:space="preserve">* Total IH loss is ₹39.9K, mainly from Adjustment ₹19.6K and FCC bin ₹18.3K.
* Top loss categories: Ice Creams &amp; More ₹8.1K (19%), Chocolates (Sweet Cravings) ₹6.8K (16%), Cold Drinks &amp; Juices ₹6.0K (14%), Cheese (Dairy, Bread &amp; Eggs) ₹4.8K (12%), Energy Bars (Munchies) ₹2.2K (5%). Share is of ₹41.9K net loss across loss-making categories.
* Loss is spread across 743 SKUs and the top 10 make 11% of SKU-level loss.
* Aisles M and L hold ₹21.5K, 54% of bin-level loss.
* Clear FCC bin of ₹18.3K by tomorrow. Stock traced goes back to its bin and posts as adjustment gain.
* Recount Zippo Simple Spade Design Classic (₹2.2K), Lamp Oil Pet Bottle Dheepam (₹1.6K) and Sunpure Filtered Groundnut Oil (₹1.2K) and match with last GRN qty.
* W2W audit of aisles L and K as Adjustment is ₹19.6K.
* Reconcile RTO ₹1.6K with LM.</t>
  </si>
  <si>
    <t xml:space="preserve">* Total IH loss is ₹39.7K, mainly from Adjustment ₹28.8K and FCC bin ₹10.9K.
* Top loss categories: Ice Creams &amp; More ₹7.4K (20%), Home Needs ₹6.7K (18%), Frozen Food ₹4.1K (11%), Cold Drinks &amp; Juices ₹3.4K (9%), Sweet Cravings ₹2.4K (6%). Share is of ₹36.8K net loss across loss-making categories.
* Loss is spread across 723 SKUs and the top 10 make 16% of SKU-level loss.
* Aisles G and O hold ₹25.3K, 63% of bin-level loss.
* 3 MP gap.
* SBC pending on part of bins.
* Clear FCC bin of ₹10.9K by tomorrow. Stock traced goes back to its bin and posts as adjustment gain.
* Recount GTS Original Kolam Rice (₹5.1K), Daily Good Sona Masoori Raw Rice (₹1.8K) and Daily Good Sona Masoori Steam Rice (₹1.4K) and match with last GRN qty.
* W2W audit of aisles G and K as Adjustment is ₹28.8K.
* DHM to review every adjustment entry before posting for the next 7 days.</t>
  </si>
  <si>
    <t xml:space="preserve">BLR-HSR-2</t>
  </si>
  <si>
    <t xml:space="preserve">* Total IH loss is ₹39.4K, mainly from Adjustment ₹22.0K, FCC bin ₹12.1K and Shortpick ₹5.4K.
* Top loss categories: Ice Creams &amp; More ₹14.4K (40%), Munchies ₹6.3K (17%), Cheese (Dairy, Bread &amp; Eggs) ₹4.5K (13%), Dry Fruits &amp; Nuts (Masala, Dry Fruits &amp; More) ₹2.5K (7%), Cold Drinks &amp; Juices ₹2.1K (6%). Share is of ₹36.2K net loss across loss-making categories.
* Loss is spread across 618 SKUs and the top 10 make 15% of SKU-level loss.
* Theft-prone SKUs show net loss of ₹3.7K, led by dry fruits &amp; nuts ₹3.3K and premium chocolates ₹389.
* Aisles L and H hold ₹23.0K, 66% of bin-level loss.
* Clear FCC bin of ₹12.1K by tomorrow. Stock traced goes back to its bin and posts as adjustment gain.
* Cycle count the shortpick bins against the ₹5.4K shortpick value.
* Recount GTS Original Kolam Rice (₹2.6K), Pampers All Round Protection Pant (₹1.9K) and Nutraj Phool Makhana Popped (₹1.1K) and match with last GRN qty.
* Daily closing count of dry fruits &amp; nuts and premium chocolates SKUs, signed off by DHM.
* W2W audit of aisles H and F as Adjustment is ₹22.0K.</t>
  </si>
  <si>
    <t xml:space="preserve">BLR-Kothnur New</t>
  </si>
  <si>
    <t xml:space="preserve">* Total IH loss is ₹39.4K, mainly from FCC bin ₹18.4K and Adjustment ₹16.4K.
* SKU-level net is a gain of ₹7.2K, under 10% of IH loss, so the gap is not category driven and sits in FCC bin.
* Aisles A and J hold ₹8.9K, 82% of bin-level loss.
* ATA mode conversion switched off CC, add back access not available.
* Clear FCC bin of ₹18.4K by tomorrow. Stock traced goes back to its bin and posts as adjustment gain.
* Cycle count the shortpick bins against the ₹2.8K shortpick value.
* Recount GTS Original Kolam Rice (₹2.6K), Shree Akshara Sona Masoori Steam (₹1.6K) and Brooke Bond Red Label Tea (₹1.5K) and match with last GRN qty.
* W2W audit of aisles A and G as Adjustment is ₹16.4K.
* Reconcile RTO ₹751 with LM and STO short receipt ₹756 with MH and DH.</t>
  </si>
  <si>
    <t xml:space="preserve">* Total IH loss is ₹38.3K, mainly from Adjustment ₹23.5K and FCC bin ₹11.4K.
* Top loss categories: Kitchen &amp; Dining ₹14.0K (26%), Sports &amp; Fitness (Toys &amp; Sports) ₹9.5K (18%), Baby Diapering (Baby Care) ₹5.5K (10%), Home Furnishing (Home Needs) ₹4.5K (8%), Writing Essentials (Stationery &amp; Books) ₹3.8K (7%). Share is of ₹53.4K net loss across loss-making categories.
* Loss is spread across 454 SKUs and the top 10 make 15% of SKU-level loss.
* Theft-prone SKUs show net loss of ₹6.6K, led by whey ₹4.5K, perfumes ₹1.2K and chargers ₹889.
* Putaway issue due to aisle congestion.
* Aisles 1 and M affected.
* Clear FCC bin of ₹11.4K by tomorrow. Stock traced goes back to its bin and posts as adjustment gain.
* Recount TrueBasics Clean Whey Protein (₹4.5K), Pampers Premium Care Pants M (₹2.7K) and Yonex Astrox Attack 9 Badminton (₹2.6K) and match with last GRN qty.
* Daily closing count of whey, perfumes and chargers SKUs, signed off by DHM.
* W2W audit of aisles U and W as Adjustment is ₹23.5K.
* Reconcile RTO ₹3.5K with LM.</t>
  </si>
  <si>
    <t xml:space="preserve">Mohaideen DH</t>
  </si>
  <si>
    <t xml:space="preserve">* Total IH loss is ₹37.2K, mainly from FCC bin ₹28.6K and Adjustment ₹7.4K.
* Majority impact is from FCC bin of ₹28.6K. Excluding this, the store is ₹8.5K in loss.
* Top loss categories: Chips &amp; Crisps (Munchies) ₹12.4K (29%), Oil (Atta, Rice, Oil &amp; Dals) ₹6.0K (14%), Whey Protein (Protein &amp; Nutrition) ₹5.6K (13%), Biscuits ₹3.5K (8%), Fruits &amp; Vegetables ₹3.5K (8%). Share is of ₹42.5K net loss across loss-making categories.
* Loss is spread across 929 SKUs and the top 10 make 12% of SKU-level loss.
* Theft-prone SKUs show net loss of ₹5.8K, led by whey ₹3.7K, creatine ₹781 and pen drives ₹542.
* Aisles A and C hold ₹33.6K, 81% of bin-level loss.
* Clear FCC bin of ₹28.6K by tomorrow. Stock traced goes back to its bin and posts as adjustment gain.
* Recount TrueBasics Clean Raw Whey Protein (₹3.7K), Saffola Gold Rice Bran &amp; Sunflower (₹2.2K) and Baby Sebamed Gentle Wash pH 5.5 (₹783) and match with last GRN qty.
* Daily closing count of whey, creatine and pen drives SKUs, signed off by DHM.
* W2W audit of aisles A and C as Adjustment is ₹7.4K.</t>
  </si>
  <si>
    <t xml:space="preserve">BLR-Manjunatha layout</t>
  </si>
  <si>
    <t xml:space="preserve">* Total IH loss is ₹37.1K, mainly from Adjustment ₹15.3K, FCC bin ₹12.4K and STO short receipt ₹7.0K.
* Top loss categories: Dairy, Bread &amp; Eggs ₹19.3K (37%), Munchies ₹7.9K (15%), Sweet Cravings ₹4.7K (9%), Packaged Food ₹3.8K (7%), Cold Drinks &amp; Juices ₹3.5K (7%). Share is of ₹52.5K net loss across loss-making categories.
* Loss is spread across 806 SKUs and the top 10 make 14% of SKU-level loss.
* Theft-prone SKUs show net loss of ₹3.3K, led by trimmers ₹2.8K, premium chocolates ₹436 and deos ₹83.
* Aisles B and H hold ₹19.9K, 56% of bin-level loss.
* Clear FCC bin of ₹12.4K by tomorrow. Stock traced goes back to its bin and posts as adjustment gain.
* Cycle count the shortpick bins against the ₹1.0K shortpick value.
* Recount Philips MG3917/15 All-in-One (₹3.9K), Superior MP Wheat Atta, 0% Maida (₹1.4K) and Gowardhan Pure Cow Ghee Jar (₹1.4K) and match with last GRN qty.
* Daily closing count of trimmers, premium chocolates and deos SKUs, signed off by DHM.
* W2W audit of aisles B and C as Adjustment is ₹15.3K.
* Reconcile RTO ₹1.3K with LM and STO short receipt ₹7.0K with MH and DH.</t>
  </si>
  <si>
    <t xml:space="preserve">BLR-BHADRAPPA LAYOUT NETWORK</t>
  </si>
  <si>
    <t xml:space="preserve">* Total IH loss is ₹34.9K, mainly from FCC bin ₹36.1K, RTO loss ₹13.1K and Shortpick ₹5.2K.
* Majority impact is from FCC bin of ₹36.1K. Excluding this, the store is ₹1.1K positive.
* Adjustment is a gain of ₹24.5K, which offsets part of the loss in other buckets.
* SKU-level net is a gain of ₹19.0K, under 10% of IH loss, so the gap is not category driven and sits in FCC bin.
* Aisles E and M hold ₹9.3K, 51% of bin-level loss.
* Clear FCC bin of ₹36.1K by tomorrow. Stock traced goes back to its bin and posts as adjustment gain.
* Cycle count the shortpick bins against the ₹5.2K shortpick value.
* Recount GTS Original Kolam Rice (₹2.6K), Nandini Pure Ghee Pouch (₹2.4K) and Gold Winner Refined Sunflower Oil (₹1.9K) and match with last GRN qty.
* Reconcile RTO ₹13.1K with LM and STO short receipt ₹5.0K with MH and DH.</t>
  </si>
  <si>
    <t xml:space="preserve">BLR-JP Nagar New</t>
  </si>
  <si>
    <t xml:space="preserve">Manjunatha V</t>
  </si>
  <si>
    <t xml:space="preserve">* Total IH loss is ₹33.4K, mainly from FCC bin ₹33.9K.
* Majority impact is from FCC bin of ₹33.9K. Excluding this, the store is ₹508 positive.
* Adjustment is a gain of ₹2.9K, which offsets part of the loss in other buckets.
* Top loss categories: Chips &amp; Crisps (Munchies) ₹10.1K (27%), Chicken (Meats, Fish &amp; Eggs) ₹9.3K (25%), Dairy, Bread &amp; Eggs ₹7.3K (19%), Dry Fruits &amp; Nuts (Masala, Dry Fruits &amp; More) ₹3.1K (8%), Fruit Juices &amp; Drinks (Cold Drinks &amp; Juices) ₹1.7K (4%). Share is of ₹37.6K net loss across loss-making categories.
* Loss is spread across 708 SKUs and the top 10 make 18% of SKU-level loss.
* Theft-prone SKUs show net loss of ₹3.4K, led by dry fruits &amp; nuts ₹3.4K.
* Clear FCC bin of ₹33.9K by tomorrow. Stock traced goes back to its bin and posts as adjustment gain.
* Cycle count the shortpick bins against the ₹2.0K shortpick value.
* Recount Nutraj Cashew Nuts Kaju (₹2.1K), Taj Mahal Tea Rich And Flavourful (₹1.3K) and Sunpure Refined Sunflower Oil (₹1.3K) and match with last GRN qty.
* Daily closing count of dry fruits &amp; nuts SKUs, signed off by DHM.</t>
  </si>
  <si>
    <t xml:space="preserve">BLR-Nehru Nagar</t>
  </si>
  <si>
    <t xml:space="preserve">Akshay P</t>
  </si>
  <si>
    <t xml:space="preserve">* Total IH loss is ₹33.3K, mainly from FCC bin ₹21.4K, Adjustment ₹7.6K and RTO loss ₹4.0K.
* Majority impact is from FCC bin of ₹21.4K. Excluding this, the store is ₹11.9K in loss.
* Top loss categories: Fruits &amp; Vegetables ₹4.6K (20%), Dairy, Bread &amp; Eggs ₹4.4K (20%), Rice &amp; More (Atta, Rice, Oil &amp; Dals) ₹3.1K (14%), Ice Creams &amp; More ₹1.9K (9%), Baby Diapering (Baby Care) ₹1.8K (8%). Share is of ₹22.5K net loss across loss-making categories.
* Loss is spread across 560 SKUs and the top 10 make 16% of SKU-level loss.
* Aisles I and K hold ₹8.5K, 57% of bin-level loss.
* Clear FCC bin of ₹21.4K by tomorrow. Stock traced goes back to its bin and posts as adjustment gain.
* Recount Daily Good Sona Masoori Raw Rice (₹1.8K), Pampers Premium Care Pants L 44 No (₹1.2K) and Bisleri Packaged Drinking Water (₹1.1K) and match with last GRN qty.
* W2W audit of aisles K and E as Adjustment is ₹7.6K.
* Reconcile RTO ₹4.0K with LM.</t>
  </si>
  <si>
    <t xml:space="preserve">BLR-BELLANDUR-4</t>
  </si>
  <si>
    <t xml:space="preserve">* Total IH loss is ₹32.6K, mainly from Adjustment ₹21.3K and FCC bin ₹9.5K.
* Top loss categories: Dairy, Bread &amp; Eggs ₹6.7K (34%), Atta, Rice, Oil &amp; Dals ₹3.2K (16%), Fruit Juices &amp; Drinks (Cold Drinks &amp; Juices) ₹2.0K (10%), Biscuits ₹1.9K (10%), Munchies ₹1.7K (9%). Share is of ₹19.6K net loss across loss-making categories.
* Loss is spread across 450 SKUs and the top 10 make 18% of SKU-level loss.
* Aisles A and H hold ₹16.1K, 70% of bin-level loss.
* Clear FCC bin of ₹9.5K by tomorrow. Stock traced goes back to its bin and posts as adjustment gain.
* Recount Superior MP Wheat Atta, 0% Maida (₹857), Tata Sampann Unpolished Kabuli (₹853) and RAW Pressery Coconut Water No (₹802) and match with last GRN qty.
* W2W audit of aisles A and F as Adjustment is ₹21.3K.
* Reconcile STO short receipt ₹1.4K with MH and DH.</t>
  </si>
  <si>
    <t xml:space="preserve">BLR-Kamakshipalya</t>
  </si>
  <si>
    <t xml:space="preserve">* Total IH loss is ₹32.1K, mainly from Adjustment ₹24.8K and FCC bin ₹7.0K.
* Top loss categories: Ice Creams &amp; More ₹12.9K (29%), Veg Snacks (Frozen Food) ₹4.9K (11%), Curd &amp; Probiotic Drink (Dairy, Bread &amp; Eggs) ₹4.0K (9%), Masala, Dry Fruits &amp; More ₹3.0K (7%), Home Needs ₹2.8K (6%). Share is of ₹44.1K net loss across loss-making categories.
* Loss is spread across 866 SKUs and the top 10 make 10% of SKU-level loss.
* Theft-prone SKUs show net loss of ₹2.3K, led by earphones ₹1.2K, cigarettes ₹480 and serums ₹304.
* Aisles Q and G hold ₹23.5K, 55% of bin-level loss.
* Clear FCC bin of ₹7.0K by tomorrow. Stock traced goes back to its bin and posts as adjustment gain.
* Recount Superior MP Wheat Atta, 0% Maida (₹1.4K), Apple Earpods wired Earphone (₹1.3K) and Nandini Pure Ghee Pouch (₹1.2K) and match with last GRN qty.
* Daily closing count of earphones, cigarettes and serums SKUs, signed off by DHM.
* W2W audit of aisles G and D as Adjustment is ₹24.8K.</t>
  </si>
  <si>
    <t xml:space="preserve">BLR-RAMAMURTHY NAGAR NEW</t>
  </si>
  <si>
    <t xml:space="preserve">* Total IH loss is ₹31.5K, mainly from Adjustment ₹14.3K, FCC bin ₹9.7K and Shortpick ₹6.6K.
* Top loss categories: Atta, Rice, Oil &amp; Dals ₹9.9K (28%), Frozen Food ₹5.0K (14%), Ice Creams &amp; More ₹4.7K (13%), Cold Drinks &amp; Juices ₹4.6K (13%), Cleaning Essentials ₹2.7K (8%). Share is of ₹35.2K net loss across loss-making categories.
* Loss is spread across 602 SKUs and the top 10 make 13% of SKU-level loss.
* Theft-prone SKUs show net loss of ₹2.0K, led by premium chocolates ₹2.0K.
* Aisles I and F hold ₹22.1K, 75% of bin-level loss.
* Clear FCC bin of ₹9.7K by tomorrow. Stock traced goes back to its bin and posts as adjustment gain.
* Cycle count the shortpick bins against the ₹6.6K shortpick value.
* Recount Whiskas Adult Ocean Fish Flavour (₹1.5K), Chokola Cosmos Chocolate Hamper (₹1.4K) and Gulab Groundnut (Peanut) Cold (₹1.3K) and match with last GRN qty.
* Daily closing count of premium chocolates SKUs, signed off by DHM.
* W2W audit of aisles F and B as Adjustment is ₹14.3K.
* Reconcile RTO ₹776 with LM.</t>
  </si>
  <si>
    <t xml:space="preserve">* Total IH loss is ₹30.4K, mainly from Adjustment ₹19.0K and FCC bin ₹10.9K.
* Top loss categories: Cleaning Essentials ₹8.0K (19%), Ice Creams &amp; More ₹7.5K (18%), Face Makeup (Makeup &amp; Beauty) ₹4.9K (11%), Baby Diapering (Baby Care) ₹4.6K (11%), Cigarettes (Paan Corner) ₹3.4K (8%). Share is of ₹42.7K net loss across loss-making categories.
* Loss is spread across 720 SKUs and the top 10 make 15% of SKU-level loss.
* Theft-prone SKUs show net loss of ₹3.7K, led by cigarettes ₹3.2K, perfumes ₹272 and deos ₹262.
* Aisles D and J hold ₹24.7K, 71% of bin-level loss.
* Bin movement in progress.
* Clear FCC bin of ₹10.9K by tomorrow. Stock traced goes back to its bin and posts as adjustment gain.
* Recount Minimalist B12 Repair Complex Face (₹5.2K), Pampers All Round Protection Pant (₹3.8K) and Classic Connect Cigarette (₹1.1K) and match with last GRN qty.
* Daily closing count of cigarettes, perfumes and deos SKUs, signed off by DHM.
* W2W audit of aisles D and F as Adjustment is ₹19.0K.</t>
  </si>
  <si>
    <t xml:space="preserve">BLR-Sanjaynagar</t>
  </si>
  <si>
    <t xml:space="preserve">* Total IH loss is ₹30.4K, mainly from FCC bin ₹23.5K and Adjustment ₹3.8K.
* Majority impact is from FCC bin of ₹23.5K. Excluding this, the store is ₹6.9K in loss.
* Top loss categories: Frozen Food ₹16.5K (36%), Ice Creams &amp; More ₹12.2K (27%), Cigarettes (Paan Corner) ₹3.8K (8%), Fruits &amp; Vegetables ₹2.2K (5%), Hair Care ₹1.7K (4%). Share is of ₹46.1K net loss across loss-making categories.
* Loss is spread across 963 SKUs and the top 10 make 10% of SKU-level loss.
* Theft-prone SKUs show net loss of ₹6.8K, led by cigarettes ₹4.1K, perfumes ₹2.0K and dry fruits &amp; nuts ₹454.
* Aisles I and E hold ₹36.0K, 82% of bin-level loss.
* Clear FCC bin of ₹23.5K by tomorrow. Stock traced goes back to its bin and posts as adjustment gain.
* Recount Shree Akshara Sona Masoori Steam (₹1.6K), Teddyy Baby Pant Style Diaper L 62 (₹1.5K) and Superior MP Wheat Atta, 0% Maida (₹1.5K) and match with last GRN qty.
* Daily closing count of cigarettes, perfumes and dry fruits &amp; nuts SKUs, signed off by DHM.
* W2W audit of aisles E and G as Adjustment is ₹3.8K.
* Reconcile RTO ₹732 with LM and STO short receipt ₹1.1K with MH and DH.</t>
  </si>
  <si>
    <t xml:space="preserve">BLR-Richmond Town Network</t>
  </si>
  <si>
    <t xml:space="preserve">* Total IH loss is ₹30.0K, mainly from Adjustment ₹23.2K and FCC bin ₹6.0K.
* Top loss categories: Dairy, Bread &amp; Eggs ₹5.4K (28%), Ice Creams &amp; More ₹2.5K (13%), Floor &amp; Surface Cleaners (Cleaning Essentials) ₹2.5K (13%), Energy Drink (Cold Drinks &amp; Juices) ₹1.9K (10%), Muesli &amp; Oats (Breakfast &amp; Sauces) ₹1.3K (7%). Share is of ₹19.4K net loss across loss-making categories.
* Loss is spread across 438 SKUs and the top 10 make 16% of SKU-level loss.
* Theft-prone SKUs show net loss of ₹2.9K, led by dry fruits &amp; nuts ₹1.8K, cigarettes ₹941 and premium chocolates ₹96.
* Aisles K and L hold ₹7.7K, 57% of bin-level loss.
* Clear FCC bin of ₹6.0K by tomorrow. Stock traced goes back to its bin and posts as adjustment gain.
* Recount FarMart Pantry Premium Roasted (₹1.3K), Monster Energy Ultra Zero Sugar (₹1.0K) and Fortune Refined Sunflower Oil Pouch (₹943) and match with last GRN qty.
* Daily closing count of dry fruits &amp; nuts, cigarettes and premium chocolates SKUs, signed off by DHM.
* W2W audit of aisles H and D as Adjustment is ₹23.2K.</t>
  </si>
  <si>
    <t xml:space="preserve">* Total IH loss is ₹29.8K, mainly from Adjustment ₹15.7K and FCC bin ₹11.1K.
* Top loss categories: Dry Fruits &amp; Nuts (Masala, Dry Fruits &amp; More) ₹10.2K (21%), Indian Mithai (Sweet Cravings) ₹4.1K (9%), Chips &amp; Crisps (Munchies) ₹3.8K (8%), Home Needs ₹3.3K (7%), Chicken (Meats, Fish &amp; Eggs) ₹3.3K (7%). Share is of ₹48.0K net loss across loss-making categories.
* Loss is spread across 739 SKUs and the top 10 make 16% of SKU-level loss.
* Theft-prone SKUs show net loss of ₹7.1K, led by dry fruits &amp; nuts ₹7.1K.
* Aisles D and E hold ₹49.3K, 87% of bin-level loss.
* Recurring DHM process adherence gaps.
* High value negative adjustments every month.
* Clear FCC bin of ₹11.1K by tomorrow. Stock traced goes back to its bin and posts as adjustment gain.
* Cycle count the shortpick bins against the ₹2.1K shortpick value.
* Recount Daily Good Cashew Kaju Broken (₹3.4K), GTS Original Kolam Rice (₹2.6K) and GRB Ghee Bottle Pure &amp; Classic (₹1.2K) and match with last GRN qty.
* Daily closing count of dry fruits &amp; nuts SKUs, signed off by DHM.
* W2W audit of aisles D and E as Adjustment is ₹15.7K.</t>
  </si>
  <si>
    <t xml:space="preserve">* Total IH loss is ₹29.2K, mainly from FCC bin ₹16.2K and Adjustment ₹12.6K.
* Top loss categories: Ice Creams &amp; More ₹10.6K (21%), Dairy, Bread &amp; Eggs ₹9.1K (18%), Cigarettes (Paan Corner) ₹9.1K (18%), Rice &amp; More (Atta, Rice, Oil &amp; Dals) ₹6.4K (13%), Milk Drinks (Cold Drinks &amp; Juices) ₹2.4K (5%). Share is of ₹50.6K net loss across loss-making categories.
* Loss is spread across 639 SKUs and the top 10 make 24% of SKU-level loss.
* Theft-prone SKUs show net loss of ₹9.2K, led by cigarettes ₹9.1K and dry fruits &amp; nuts ₹184.
* Clear FCC bin of ₹16.2K by tomorrow. Stock traced goes back to its bin and posts as adjustment gain.
* Recount Classic Connect Cigarette (₹8.5K), GTS Original Kolam Rice (₹5.1K) and Mother Sparsh Water Baby Wipes (₹2.0K) and match with last GRN qty.
* Daily closing count of cigarettes and dry fruits &amp; nuts SKUs, signed off by DHM.
* W2W audit of aisles C and J as Adjustment is ₹12.6K.</t>
  </si>
  <si>
    <t xml:space="preserve">BLR-Dooravani Nagar SS</t>
  </si>
  <si>
    <t xml:space="preserve">* Total IH loss is ₹28.7K, mainly from FCC bin ₹23.4K and RTO loss ₹4.8K.
* Majority impact is from FCC bin of ₹23.4K. Excluding this, the store is ₹5.2K in loss.
* SKU-level data not shared for this store, so category and SKU view is not covered.
* Clear FCC bin of ₹23.4K by tomorrow. Stock traced goes back to its bin and posts as adjustment gain.
* Reconcile RTO ₹4.8K with LM.
* DHM to review every adjustment entry before posting for the next 7 days.
* IM to share ground RCA on manpower, DHM/SI changes and theft incidents by tomorrow.</t>
  </si>
  <si>
    <t xml:space="preserve">Hosur</t>
  </si>
  <si>
    <t xml:space="preserve">* Total IH loss is ₹28.4K, mainly from FCC bin ₹28.2K.
* Majority impact is from FCC bin of ₹28.2K. Excluding this, the store is ₹137 in loss.
* SKU-level data not shared for this store, so category and SKU view is not covered.
* Aisles B and L hold ₹15.7K, 62% of aisle-level loss.
* DHM not available.
* 10 crates of excess stock in dry being added back.
* Clear FCC bin of ₹28.2K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</si>
  <si>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BLR-Garudachar Palya</t>
  </si>
  <si>
    <t xml:space="preserve">* Total IH loss is ₹28.3K, mainly from Adjustment ₹18.9K and FCC bin ₹7.3K.
* SKU-level data not shared for this store, so category and SKU view is not covered.
* Aisles C and D hold ₹11.3K, 75% of aisle-level loss.
* Smaller buckets: Other bins ₹1.0K, Shortpick ₹615 and RTO loss ₹501.
* Clear FCC bin of ₹7.3K by tomorrow. Stock traced goes back to its bin and posts as adjustment gain.
* W2W audit of aisles C and D as Adjustment is ₹18.9K.
* Reconcile RTO ₹501 with LM.
* Close out Other bins stock of ₹1.0K and post it back to inventory.</t>
  </si>
  <si>
    <t xml:space="preserve">BLR-Sarjapur New</t>
  </si>
  <si>
    <t xml:space="preserve">* Total IH loss is ₹28.1K, mainly from FCC bin ₹32.0K.
* Majority impact is from FCC bin of ₹32.0K. Excluding this, the store is ₹3.8K positive.
* Adjustment is a gain of ₹4.5K, which offsets part of the loss in other buckets.
* SKU-level data not shared for this store, so category and SKU view is not covered.
* Aisles G and H hold ₹35.9K, 54% of aisle-level loss.
* Clear FCC bin of ₹32.0K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</si>
  <si>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BLR-BASAVANAPURA</t>
  </si>
  <si>
    <t xml:space="preserve">* Total IH loss is ₹27.5K, mainly from Adjustment ₹16.7K and FCC bin ₹10.2K.
* SKU-level data not shared for this store, so category and SKU view is not covered.
* Aisles G and F hold ₹18.6K, 53% of aisle-level loss.
* Clear FCC bin of ₹10.2K by tomorrow. Stock traced goes back to its bin and posts as adjustment gain.
* W2W audit of aisles B and E as Adjustment is ₹16.7K.
* DHM to review every adjustment entry before posting for the next 7 days.
* IM to share ground RCA on manpower, DHM/SI changes and theft incidents by tomorrow.</t>
  </si>
  <si>
    <t xml:space="preserve">BLR-CV Raman Nagar Network-2</t>
  </si>
  <si>
    <t xml:space="preserve">* Total IH loss is ₹27.3K, mainly from Adjustment ₹24.6K.
* SKU-level data not shared for this store, so category and SKU view is not covered.
* Aisles A and D hold ₹20.1K, 69% of aisle-level loss.
* Smaller buckets: FCC bin ₹1.4K and RTO loss ₹1.2K.
* Clear FCC bin of ₹1.4K by tomorrow. Stock traced goes back to its bin and posts as adjustment gain.
* W2W audit of aisles A and D as Adjustment is ₹24.6K.
* Reconcile RTO ₹1.2K with LM.
* DHM to review every adjustment entry before posting for the next 7 days.</t>
  </si>
  <si>
    <t xml:space="preserve">BLR-Seegehalli</t>
  </si>
  <si>
    <t xml:space="preserve">* Total IH loss is ₹27.3K, mainly from FCC bin ₹11.9K, PO cancel ₹7.4K and Adjustment ₹6.4K.
* SKU-level data not shared for this store, so category and SKU view is not covered.
* Aisles A and B hold ₹18.5K, 52% of aisle-level loss.
* Smaller buckets: Shortpick ₹1.4K.
* Clear FCC bin of ₹11.9K by tomorrow. Stock traced goes back to its bin and posts as adjustment gain.
* Cycle count the shortpick bins against the ₹1.4K shortpick value.
* W2W audit of aisles A and B as Adjustment is ₹6.4K.
* Reconcile PO cancel ₹7.4K with procurement and DH.</t>
  </si>
  <si>
    <t xml:space="preserve">BLR-HBR Layout</t>
  </si>
  <si>
    <t xml:space="preserve">* Total IH loss is ₹25.9K, mainly from FCC bin ₹18.3K and Adjustment ₹4.6K.
* Majority impact is from FCC bin of ₹18.3K. Excluding this, the store is ₹7.6K in loss.
* SKU-level data not shared for this store, so category and SKU view is not covered.
* Aisles J and B hold ₹24.2K, 69% of aisle-level loss.
* Smaller buckets: Other bins ₹2.1K and RTO loss ₹765.
* Clear FCC bin of ₹18.3K by tomorrow. Stock traced goes back to its bin and posts as adjustment gain.
* W2W audit of aisles B and C as Adjustment is ₹4.6K.
* Reconcile RTO ₹765 with LM.
* Close out Other bins stock of ₹2.1K and post it back to inventory.</t>
  </si>
  <si>
    <t xml:space="preserve">BLR-Hennur New</t>
  </si>
  <si>
    <t xml:space="preserve">* Total IH loss is ₹25.0K, mainly from Shortpick ₹34.1K.
* Majority impact is from Shortpick of ₹34.1K. Excluding this, the store is ₹9.1K positive.
* Adjustment is a gain of ₹9.1K, which offsets part of the loss in other buckets.
* SKU-level data not shared for this store, so category and SKU view is not covered.
* Cycle count the shortpick bins against the ₹34.1K shortpick value.
* DHM to review every adjustment entry before posting for the next 7 days.
* IM to share ground RCA on manpower, DHM/SI changes and theft incidents by tomorrow.</t>
  </si>
  <si>
    <t xml:space="preserve">BLR-HEBBAL NEW</t>
  </si>
  <si>
    <t xml:space="preserve">* Total IH loss is ₹24.8K, mainly from FCC bin ₹23.7K and RTO loss ₹5.1K.
* Majority impact is from FCC bin of ₹23.7K. Excluding this, the store is ₹1.1K in loss.
* Adjustment is a gain of ₹4.5K, which offsets part of the loss in other buckets.
* SKU-level data not shared for this store, so category and SKU view is not covered.
* Smaller buckets: Shortpick ₹617.
* Clear FCC bin of ₹23.7K by tomorrow. Stock traced goes back to its bin and posts as adjustment gain.
* Reconcile RTO ₹5.1K with LM.
* DHM to review every adjustment entry before posting for the next 7 days.
* IM to share ground RCA on manpower, DHM/SI changes and theft incidents by tomorrow.</t>
  </si>
  <si>
    <t xml:space="preserve">BLR-Narayanapura Network</t>
  </si>
  <si>
    <t xml:space="preserve">* Total IH loss is ₹22.4K, mainly from Adjustment ₹15.0K and FCC bin ₹5.4K.
* SKU-level data not shared for this store, so category and SKU view is not covered.
* Aisles F and B hold ₹13.6K, 78% of aisle-level loss.
* Smaller buckets: STO short receipt ₹1.3K and Other bins ₹580.
* Clear FCC bin of ₹5.4K by tomorrow. Stock traced goes back to its bin and posts as adjustment gain.
* W2W audit of aisles B and D as Adjustment is ₹15.0K.
* Reconcile STO short receipt ₹1.3K with MH and DH.
* Close out Other bins stock of ₹580 and post it back to inventory.</t>
  </si>
  <si>
    <t xml:space="preserve">BLR-Arekere</t>
  </si>
  <si>
    <t xml:space="preserve">* Total IH loss is ₹22.1K, mainly from Shortpick ₹31.3K and FCC bin ₹19.6K.
* Majority impact is from Shortpick of ₹31.3K. Excluding this, the store is ₹9.2K positive.
* Adjustment is a gain of ₹30.3K, which offsets part of the loss in other buckets.
* SKU-level data not shared for this store, so category and SKU view is not covered.
* Aisles C and G hold ₹18.8K, 65% of aisle-level loss.
* Smaller buckets: RTO loss ₹1.3K.
* Clear FCC bin of ₹19.6K by tomorrow. Stock traced goes back to its bin and posts as adjustment gain.
* Cycle count the shortpick bins against the ₹31.3K shortpick value.
* Reconcile RTO ₹1.3K with LM.
* DHM to review every adjustment entry before posting for the next 7 days.</t>
  </si>
  <si>
    <t xml:space="preserve">BLR-Devanahalli</t>
  </si>
  <si>
    <t xml:space="preserve">* Total IH loss is ₹21.9K, mainly from Adjustment ₹11.5K and FCC bin ₹8.6K.
* SKU-level data not shared for this store, so category and SKU view is not covered.
* Smaller buckets: STO short receipt ₹576 and RTO loss ₹538.
* Clear FCC bin of ₹8.6K by tomorrow. Stock traced goes back to its bin and posts as adjustment gain.
* W2W audit of aisles E and D as Adjustment is ₹11.5K.
* Reconcile RTO ₹538 with LM and STO short receipt ₹576 with MH and DH.
* DHM to review every adjustment entry before posting for the next 7 days.</t>
  </si>
  <si>
    <t xml:space="preserve">* Total IH loss is ₹21.9K, mainly from FCC bin ₹13.1K and Adjustment ₹7.1K.
* SKU-level data not shared for this store, so category and SKU view is not covered.
* Smaller buckets: RTO loss ₹1.7K.
* Clear FCC bin of ₹13.1K by tomorrow. Stock traced goes back to its bin and posts as adjustment gain.
* W2W audit of aisles C and H as Adjustment is ₹7.1K.
* Reconcile RTO ₹1.7K with LM.
* DHM to review every adjustment entry before posting for the next 7 days.</t>
  </si>
  <si>
    <t xml:space="preserve">BLR-RWF Yelahanka</t>
  </si>
  <si>
    <t xml:space="preserve">* Total IH loss is ₹21.6K, mainly from Adjustment ₹10.3K and FCC bin ₹10.2K.
* SKU-level data not shared for this store, so category and SKU view is not covered.
* Aisles J and N hold ₹12.4K, 57% of aisle-level loss.
* Smaller buckets: RTO loss ₹593.
* Clear FCC bin of ₹10.2K by tomorrow. Stock traced goes back to its bin and posts as adjustment gain.
* W2W audit of aisles J and K as Adjustment is ₹10.3K.
* Reconcile RTO ₹593 with LM.
* DHM to review every adjustment entry before posting for the next 7 days.</t>
  </si>
  <si>
    <t xml:space="preserve">* Total IH loss is ₹21.4K, mainly from FCC bin ₹14.7K and RTO loss ₹2.7K.
* Majority impact is from FCC bin of ₹14.7K. Excluding this, the store is ₹6.7K in loss.
* SKU-level data not shared for this store, so category and SKU view is not covered.
* Aisles H and D hold ₹22.9K, 72% of aisle-level loss.
* Smaller buckets: Shortpick ₹1.9K, PO cancel ₹773, Other bins ₹599 and Adjustment ₹527.
* Clear FCC bin of ₹14.7K by tomorrow. Stock traced goes back to its bin and posts as adjustment gain.
* Cycle count the shortpick bins against the ₹1.9K shortpick value.
* Reconcile RTO ₹2.7K with LM and PO cancel ₹773 with procurement and DH.
* Close out Other bins stock of ₹599 and post it back to inventory.</t>
  </si>
  <si>
    <t xml:space="preserve">planned wall to wall with the sqard  wall to wall was closed  need to do recovery sqard was for recovery </t>
  </si>
  <si>
    <t xml:space="preserve">21 k </t>
  </si>
  <si>
    <t xml:space="preserve">Hubballi</t>
  </si>
  <si>
    <t xml:space="preserve">Bangareppa CS</t>
  </si>
  <si>
    <t xml:space="preserve">* Total IH loss is ₹20.8K, mainly from Adjustment ₹18.2K.
* SKU-level data not shared for this store, so category and SKU view is not covered.
* Smaller buckets: FCC bin ₹1.9K and RTO loss ₹735.
* CCA cross deployed, DH monitoring gap.
* Clear FCC bin of ₹1.9K by tomorrow. Stock traced goes back to its bin and posts as adjustment gain.
* W2W audit of aisles B and A as Adjustment is ₹18.2K.
* Reconcile RTO ₹735 with LM.
* DHM to review every adjustment entry before posting for the next 7 days.</t>
  </si>
  <si>
    <t xml:space="preserve">20K</t>
  </si>
  <si>
    <t xml:space="preserve">BLR-Brookfield Network</t>
  </si>
  <si>
    <t xml:space="preserve">* Total IH loss is ₹20.0K, mainly from FCC bin ₹9.5K and Adjustment ₹8.4K.
* SKU-level data not shared for this store, so category and SKU view is not covered.
* Aisles K and E hold ₹11.2K, 54% of aisle-level loss.
* Smaller buckets: Other bins ₹1.5K and RTO loss ₹589.
* Clear FCC bin of ₹9.5K by tomorrow. Stock traced goes back to its bin and posts as adjustment gain.
* W2W audit of aisles E and B as Adjustment is ₹8.4K.
* Reconcile RTO ₹589 with LM.
* Close out Other bins stock of ₹1.5K and post it back to inventory.</t>
  </si>
  <si>
    <t xml:space="preserve">BLR-Bellandur-3</t>
  </si>
  <si>
    <t xml:space="preserve">* Total IH loss is ₹19.5K, mainly from FCC bin ₹9.9K, Adjustment ₹7.3K and Shortpick ₹2.1K.
* SKU-level data not shared for this store, so category and SKU view is not covered.
* Aisles I and H hold ₹49.7K, 64% of aisle-level loss.
* Clear FCC bin of ₹9.9K by tomorrow. Stock traced goes back to its bin and posts as adjustment gain.
* Cycle count the shortpick bins against the ₹2.1K shortpick value.
* W2W audit of aisles E and B as Adjustment is ₹7.3K.
* DHM to review every adjustment entry before posting for the next 7 days.</t>
  </si>
  <si>
    <t xml:space="preserve">BLR-BASAVANAPURA SS</t>
  </si>
  <si>
    <t xml:space="preserve">* Total IH loss is ₹19.1K, mainly from FCC bin ₹11.3K and Adjustment ₹6.9K.
* SKU-level data not shared for this store, so category and SKU view is not covered.
* Aisles D and F hold ₹5.1K, 60% of aisle-level loss.
* Smaller buckets: RTO loss ₹876.
* Clear FCC bin of ₹11.3K by tomorrow. Stock traced goes back to its bin and posts as adjustment gain.
* W2W audit of aisles F and BASV as Adjustment is ₹6.9K.
* Reconcile RTO ₹876 with LM.
* DHM to review every adjustment entry before posting for the next 7 days.</t>
  </si>
  <si>
    <t xml:space="preserve">Kochi</t>
  </si>
  <si>
    <t xml:space="preserve">KOC-Infopark</t>
  </si>
  <si>
    <t xml:space="preserve">Vishnu V</t>
  </si>
  <si>
    <t xml:space="preserve">* Total IH loss is ₹18.5K, mainly from STO short receipt ₹15.5K and FCC bin ₹14.9K.
* Majority impact is from STO short receipt of ₹15.5K. Excluding this, the store is ₹2.9K in loss.
* Adjustment is a gain of ₹14.1K, which offsets part of the loss in other buckets.
* SKU-level data not shared for this store, so category and SKU view is not covered.
* Aisles F and A hold ₹5.5K, 55% of aisle-level loss.
* Smaller buckets: Other bins ₹1.8K.
* Clear FCC bin of ₹14.9K by tomorrow. Stock traced goes back to its bin and posts as adjustment gain.
* Reconcile STO short receipt ₹15.5K with MH and DH.
* Close out Other bins stock of ₹1.8K and post it back to inventory.
* DHM to review every adjustment entry before posting for the next 7 days.</t>
  </si>
  <si>
    <t xml:space="preserve">KOC-Kalamassery SS</t>
  </si>
  <si>
    <t xml:space="preserve">* Total IH loss is ₹17.4K, mainly from FCC bin ₹17.3K.
* Majority impact is from FCC bin of ₹17.3K. Excluding this, the store is ₹122 in loss.
* SKU-level data not shared for this store, so category and SKU view is not covered.
* Aisles B and G hold ₹7.6K, 55% of aisle-level loss.
* Clear FCC bin of ₹17.3K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</si>
  <si>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BLR-JC Nagar</t>
  </si>
  <si>
    <t xml:space="preserve">* Total IH loss is ₹16.5K, mainly from Shortpick ₹16.4K.
* Majority impact is from Shortpick of ₹16.4K. Excluding this, the store is ₹84 in loss.
* SKU-level data not shared for this store, so category and SKU view is not covered.
* Cycle count the shortpick bins against the ₹16.4K shortpick value.
* DHM to review every adjustment entry before posting for the next 7 days.
* IM to share ground RCA on manpower, DHM/SI changes and theft incidents by tomorrow.</t>
  </si>
  <si>
    <t xml:space="preserve">BLR-Shivaji nagar New</t>
  </si>
  <si>
    <t xml:space="preserve">* Total IH loss is ₹16.4K, mainly from FCC bin ₹15.8K.
* Majority impact is from FCC bin of ₹15.8K. Excluding this, the store is ₹511 in loss.
* Adjustment is a gain of ₹2.7K, which offsets part of the loss in other buckets.
* SKU-level data not shared for this store, so category and SKU view is not covered.
* Aisles M and L hold ₹17.4K, 64% of aisle-level loss.
* Smaller buckets: RTO loss ₹1.6K and STO short receipt ₹1.6K.
* Clear FCC bin of ₹15.8K by tomorrow. Stock traced goes back to its bin and posts as adjustment gain.
* Reconcile RTO ₹1.6K with LM and STO short receipt ₹1.6K with MH and DH.
* DHM to review every adjustment entry before posting for the next 7 days.
* IM to share ground RCA on manpower, DHM/SI changes and theft incidents by tomorrow.</t>
  </si>
  <si>
    <t xml:space="preserve">BLR-Nehru Nagar SS</t>
  </si>
  <si>
    <t xml:space="preserve">* Total IH loss is ₹16.2K, mainly from STO short receipt ₹17.6K.
* Majority impact is from STO short receipt of ₹17.6K. Excluding this, the store is ₹1.4K positive.
* Adjustment is a gain of ₹2.0K, which offsets part of the loss in other buckets.
* SKU-level data not shared for this store, so category and SKU view is not covered.
* Aisles A and ART hold ₹4.6K, 75% of aisle-level loss.
* Smaller buckets: RTO loss ₹523.
* Reconcile RTO ₹523 with LM and STO short receipt ₹17.6K with MH and DH.
* DHM to review every adjustment entry before posting for the next 7 days.
* IM to share ground RCA on manpower, DHM/SI changes and theft incidents by tomorrow.</t>
  </si>
  <si>
    <t xml:space="preserve">BLR-Nikoo home SS</t>
  </si>
  <si>
    <t xml:space="preserve">* Total IH loss is ₹16.0K, mainly from FCC bin ₹14.2K and RTO loss ₹1.7K.
* Majority impact is from FCC bin of ₹14.2K. Excluding this, the store is ₹1.8K in loss.
* SKU-level data not shared for this store, so category and SKU view is not covered.
* Clear FCC bin of ₹14.2K by tomorrow. Stock traced goes back to its bin and posts as adjustment gain.
* Reconcile RTO ₹1.7K with LM.
* DHM to review every adjustment entry before posting for the next 7 days.
* IM to share ground RCA on manpower, DHM/SI changes and theft incidents by tomorrow.</t>
  </si>
  <si>
    <t xml:space="preserve">* Total IH loss is ₹15.5K, mainly from RTO loss ₹7.3K, STO short receipt ₹5.8K and FCC bin ₹5.1K.
* Adjustment is a gain of ₹2.7K, which offsets part of the loss in other buckets.
* SKU-level data not shared for this store, so category and SKU view is not covered.
* Aisles G and H hold ₹28.2K, 57% of aisle-level loss.
* DHM monitoring gap, assigned DHM absconded.
* Banashankari DHM deployed temporarily.
* Clear FCC bin of ₹5.1K by tomorrow. Stock traced goes back to its bin and posts as adjustment gain.
* Reconcile RTO ₹7.3K with LM and STO short receipt ₹5.8K with MH and DH.
* DHM to review every adjustment entry before posting for the next 7 days.
* IM to share ground RCA on manpower, DHM/SI changes and theft incidents by tomorrow.</t>
  </si>
  <si>
    <t xml:space="preserve">BLR-Peenya New</t>
  </si>
  <si>
    <t xml:space="preserve">* Total IH loss is ₹15.1K, mainly from Adjustment ₹12.1K and FCC bin ₹1.8K.
* SKU-level data not shared for this store, so category and SKU view is not covered.
* Aisles K and J hold ₹14.3K, 61% of aisle-level loss.
* Smaller buckets: RTO loss ₹1.1K.
* Clear FCC bin of ₹1.8K by tomorrow. Stock traced goes back to its bin and posts as adjustment gain.
* W2W audit of aisles A and B as Adjustment is ₹12.1K.
* Reconcile RTO ₹1.1K with LM.
* DHM to review every adjustment entry before posting for the next 7 days.</t>
  </si>
  <si>
    <t xml:space="preserve">* Total IH loss is ₹14.7K, mainly from Shortpick ₹11.1K and RTO loss ₹3.7K.
* Majority impact is from Shortpick of ₹11.1K. Excluding this, the store is ₹3.6K in loss.
* Adjustment is a gain of ₹1.6K, which offsets part of the loss in other buckets.
* SKU-level data not shared for this store, so category and SKU view is not covered.
* Aisles N and C hold ₹8.1K, 51% of aisle-level loss.
* Smaller buckets: FCC bin ₹1.3K.
* RC wrong shot picking identified by DHM.
* Clear FCC bin of ₹1.3K by tomorrow. Stock traced goes back to its bin and posts as adjustment gain.
* Cycle count the shortpick bins against the ₹11.1K shortpick value.
* Reconcile RTO ₹3.7K with LM.
* DHM to review every adjustment entry before posting for the next 7 days.</t>
  </si>
  <si>
    <t xml:space="preserve">BLR-Sompura</t>
  </si>
  <si>
    <t xml:space="preserve">* Total IH loss is ₹14.7K, mainly from Adjustment ₹10.1K and STO short receipt ₹3.0K.
* SKU-level data not shared for this store, so category and SKU view is not covered.
* Aisles O and D hold ₹26.2K, 83% of aisle-level loss.
* Smaller buckets: FCC bin ₹1.1K.
* Clear FCC bin of ₹1.1K by tomorrow. Stock traced goes back to its bin and posts as adjustment gain.
* W2W audit of aisles D and H as Adjustment is ₹10.1K.
* Reconcile STO short receipt ₹3.0K with MH and DH.
* DHM to review every adjustment entry before posting for the next 7 days.</t>
  </si>
  <si>
    <t xml:space="preserve">* Total IH loss is ₹13.6K, mainly from FCC bin ₹8.1K, Adjustment ₹2.2K and Shortpick ₹1.6K.
* SKU-level data not shared for this store, so category and SKU view is not covered.
* Aisles L and B hold ₹6.0K, 53% of aisle-level loss.
* FCC apple to apple reconciliation done, ₹6K identified.
* Clear FCC bin of ₹8.1K by tomorrow. Stock traced goes back to its bin and posts as adjustment gain.
* Cycle count the shortpick bins against the ₹1.6K shortpick value.
* Reconcile STO short receipt ₹1.5K with MH and DH.
* DHM to review every adjustment entry before posting for the next 7 days.</t>
  </si>
  <si>
    <t xml:space="preserve">BLR-Bagalur</t>
  </si>
  <si>
    <t xml:space="preserve">* Total IH loss is ₹12.9K, mainly from FCC bin ₹16.8K.
* Majority impact is from FCC bin of ₹16.8K. Excluding this, the store is ₹3.8K positive.
* Adjustment is a gain of ₹6.7K, which offsets part of the loss in other buckets.
* SKU-level data not shared for this store, so category and SKU view is not covered.
* Aisles C and E hold ₹11.4K, 57% of aisle-level loss.
* Smaller buckets: RTO loss ₹1.1K and Other bins ₹928.
* Clear FCC bin of ₹16.8K by tomorrow. Stock traced goes back to its bin and posts as adjustment gain.
* Reconcile RTO ₹1.1K with LM.
* Close out Other bins stock of ₹928 and post it back to inventory.
* DHM to review every adjustment entry before posting for the next 7 days.</t>
  </si>
  <si>
    <t xml:space="preserve">BLR-Singasandra SS</t>
  </si>
  <si>
    <t xml:space="preserve">* Total IH loss is ₹11.9K, mainly from FCC bin ₹12.7K and RTO loss ₹1.3K.
* Majority impact is from FCC bin of ₹12.7K. Excluding this, the store is ₹773 positive.
* Adjustment is a gain of ₹2.1K, which offsets part of the loss in other buckets.
* SKU-level data not shared for this store, so category and SKU view is not covered.
* Aisles D and R hold ₹12.4K, 51% of aisle-level loss.
* Clear FCC bin of ₹12.7K by tomorrow. Stock traced goes back to its bin and posts as adjustment gain.
* Reconcile RTO ₹1.3K with LM.
* DHM to review every adjustment entry before posting for the next 7 days.
* IM to share ground RCA on manpower, DHM/SI changes and theft incidents by tomorrow.</t>
  </si>
  <si>
    <t xml:space="preserve">BLR-Singapura</t>
  </si>
  <si>
    <t xml:space="preserve">* Total IH loss is ₹11.6K, mainly from FCC bin ₹14.1K.
* Majority impact is from FCC bin of ₹14.1K. Excluding this, the store is ₹2.5K positive.
* Adjustment is a gain of ₹2.7K, which offsets part of the loss in other buckets.
* SKU-level data not shared for this store, so category and SKU view is not covered.
* Aisles A and H hold ₹10.8K, 64% of aisle-level loss.
* Clear FCC bin of ₹14.1K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</si>
  <si>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KOC-Edappally</t>
  </si>
  <si>
    <t xml:space="preserve">* Total IH loss is ₹11.3K, mainly from FCC bin ₹8.2K and Shortpick ₹1.4K.
* Majority impact is from FCC bin of ₹8.2K. Excluding this, the store is ₹3.2K in loss.
* SKU-level data not shared for this store, so category and SKU view is not covered.
* Smaller buckets: Adjustment ₹1.0K and RTO loss ₹507.
* Clear FCC bin of ₹8.2K by tomorrow. Stock traced goes back to its bin and posts as adjustment gain.
* Cycle count the shortpick bins against the ₹1.4K shortpick value.
* Reconcile RTO ₹507 with LM.
* DHM to review every adjustment entry before posting for the next 7 days.</t>
  </si>
  <si>
    <t xml:space="preserve">BLR-Marathahalli New</t>
  </si>
  <si>
    <t xml:space="preserve">* Total IH loss is ₹11.1K, mainly from FCC bin ₹19.0K, RTO loss ₹3.5K and STO short receipt ₹2.5K.
* Majority impact is from FCC bin of ₹19.0K. Excluding this, the store is ₹8.0K positive.
* Adjustment is a gain of ₹14.9K, which offsets part of the loss in other buckets.
* SKU-level data not shared for this store, so category and SKU view is not covered.
* Smaller buckets: Shortpick ₹873.
* Clear FCC bin of ₹19.0K by tomorrow. Stock traced goes back to its bin and posts as adjustment gain.
* Reconcile RTO ₹3.5K with LM and STO short receipt ₹2.5K with MH and DH.
* DHM to review every adjustment entry before posting for the next 7 days.
* IM to share ground RCA on manpower, DHM/SI changes and theft incidents by tomorrow.</t>
  </si>
  <si>
    <t xml:space="preserve">BLR-BTM Layout Network-3</t>
  </si>
  <si>
    <t xml:space="preserve">* Total IH loss is ₹10.9K, mainly from FCC bin ₹39.4K.
* Majority impact is from FCC bin of ₹39.4K. Excluding this, the store is ₹28.5K positive.
* Adjustment is a gain of ₹29.9K, which offsets part of the loss in other buckets.
* SKU-level data not shared for this store, so category and SKU view is not covered.
* Smaller buckets: RTO loss ₹1.1K.
* Clear FCC bin of ₹39.4K by tomorrow. Stock traced goes back to its bin and posts as adjustment gain.
* Reconcile RTO ₹1.1K with LM.
* DHM to review every adjustment entry before posting for the next 7 days.
* IM to share ground RCA on manpower, DHM/SI changes and theft incidents by tomorrow.</t>
  </si>
  <si>
    <t xml:space="preserve">BLR-Mico layout network-2</t>
  </si>
  <si>
    <t xml:space="preserve">* Total IH loss is ₹10.1K, mainly from FCC bin ₹11.5K.
* Majority impact is from FCC bin of ₹11.5K. Excluding this, the store is ₹1.4K positive.
* Adjustment is a gain of ₹2.6K, which offsets part of the loss in other buckets.
* SKU-level data not shared for this store, so category and SKU view is not covered.
* Aisles F and K hold ₹5.1K, 56% of aisle-level loss.
* Smaller buckets: Shortpick ₹815.
* Clear FCC bin of ₹11.5K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</si>
  <si>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Belgavi</t>
  </si>
  <si>
    <t xml:space="preserve">Majid Kakatikar</t>
  </si>
  <si>
    <t xml:space="preserve">* Total IH loss is ₹9.5K, mainly from Adjustment ₹4.7K and FCC bin ₹4.4K.
* SKU-level data not shared for this store, so category and SKU view is not covered.
* Putaway deviation.
* Clear FCC bin of ₹4.4K by tomorrow. Stock traced goes back to its bin and posts as adjustment gain.
* W2W audit of aisles A and J as Adjustment is ₹4.7K.
* DHM to review every adjustment entry before posting for the next 7 days.
* IM to share ground RCA on manpower, DHM/SI changes and theft incidents by tomorrow.</t>
  </si>
  <si>
    <t xml:space="preserve">15K</t>
  </si>
  <si>
    <t xml:space="preserve">BLR-Hennur Main</t>
  </si>
  <si>
    <t xml:space="preserve">* Total IH loss is ₹9.5K, mainly from STO short receipt ₹8.9K and RTO loss ₹2.0K.
* Majority impact is from STO short receipt of ₹8.9K. Excluding this, the store is ₹620 in loss.
* Adjustment is a gain of ₹1.4K, which offsets part of the loss in other buckets.
* SKU-level data not shared for this store, so category and SKU view is not covered.
* Aisles K and I hold ₹3.2K, 72% of aisle-level loss.
* Reconcile RTO ₹2.0K with LM and STO short receipt ₹8.9K with MH and DH.
* DHM to review every adjustment entry before posting for the next 7 days.
* IM to share ground RCA on manpower, DHM/SI changes and theft incidents by tomorrow.</t>
  </si>
  <si>
    <t xml:space="preserve">BLR-Chikkanagamangala</t>
  </si>
  <si>
    <t xml:space="preserve">* Total IH loss is ₹9.5K, mainly from Adjustment ₹5.4K and FCC bin ₹3.3K.
* SKU-level data not shared for this store, so category and SKU view is not covered.
* 4 IBAs involved in theft (cigarettes and HV SKUs).
* SLP asked FR partner to hold salary, investigation in progress.
* SLP recovery ₹25,000.
* Clear FCC bin of ₹3.3K by tomorrow. Stock traced goes back to its bin and posts as adjustment gain.
* W2W audit of aisles A and C as Adjustment is ₹5.4K.
* DHM to review every adjustment entry before posting for the next 7 days.
* IM to share ground RCA on manpower, DHM/SI changes and theft incidents by tomorrow.</t>
  </si>
  <si>
    <t xml:space="preserve">SLP Investigation is under progress</t>
  </si>
  <si>
    <t xml:space="preserve">BLR-ITPL Layout</t>
  </si>
  <si>
    <t xml:space="preserve">* Total IH loss is ₹8.9K, mainly from FCC bin ₹11.4K and RTO loss ₹6.2K.
* Majority impact is from FCC bin of ₹11.4K. Excluding this, the store is ₹2.5K positive.
* Adjustment is a gain of ₹8.7K, which offsets part of the loss in other buckets.
* SKU-level data not shared for this store, so category and SKU view is not covered.
* Aisles I and M hold ₹12.3K, 76% of aisle-level loss.
* Clear FCC bin of ₹11.4K by tomorrow. Stock traced goes back to its bin and posts as adjustment gain.
* Reconcile RTO ₹6.2K with LM.
* DHM to review every adjustment entry before posting for the next 7 days.
* IM to share ground RCA on manpower, DHM/SI changes and theft incidents by tomorrow.</t>
  </si>
  <si>
    <t xml:space="preserve">BLR-Doddakannelli SS</t>
  </si>
  <si>
    <t xml:space="preserve">* Total IH loss is ₹8.8K, mainly from FCC bin ₹6.5K and RTO loss ₹4.0K.
* Majority impact is from FCC bin of ₹6.5K. Excluding this, the store is ₹2.3K in loss.
* Adjustment is a gain of ₹2.0K, which offsets part of the loss in other buckets.
* SKU-level data not shared for this store, so category and SKU view is not covered.
* Aisles D and E hold ₹6.8K, 73% of aisle-level loss.
* Clear FCC bin of ₹6.5K by tomorrow. Stock traced goes back to its bin and posts as adjustment gain.
* Reconcile RTO ₹4.0K with LM.
* DHM to review every adjustment entry before posting for the next 7 days.
* IM to share ground RCA on manpower, DHM/SI changes and theft incidents by tomorrow.</t>
  </si>
  <si>
    <t xml:space="preserve">KOC-Kalamassery</t>
  </si>
  <si>
    <t xml:space="preserve">* Total IH loss is ₹8.7K, mainly from FCC bin ₹10.8K.
* Majority impact is from FCC bin of ₹10.8K. Excluding this, the store is ₹2.1K positive.
* Adjustment is a gain of ₹3.4K, which offsets part of the loss in other buckets.
* SKU-level data not shared for this store, so category and SKU view is not covered.
* Aisles B and D hold ₹10.0K, 54% of aisle-level loss.
* Smaller buckets: Other bins ₹748 and RTO loss ₹535.
* Clear FCC bin of ₹10.8K by tomorrow. Stock traced goes back to its bin and posts as adjustment gain.
* Reconcile RTO ₹535 with LM.
* Close out Other bins stock of ₹748 and post it back to inventory.
* DHM to review every adjustment entry before posting for the next 7 days.</t>
  </si>
  <si>
    <t xml:space="preserve">Mysuru</t>
  </si>
  <si>
    <t xml:space="preserve">MYQ-Chamundi Vihar</t>
  </si>
  <si>
    <t xml:space="preserve">Santhosha M</t>
  </si>
  <si>
    <t xml:space="preserve">* Total IH loss is ₹8.7K, mainly from Adjustment ₹8.1K.
* SKU-level data not shared for this store, so category and SKU view is not covered.
* Aisles E and K hold ₹14.9K, 57% of aisle-level loss.
* W2W audit of aisles K and C as Adjustment is ₹8.1K.
* DHM to review every adjustment entry before posting for the next 7 days.
* IM to share ground RCA on manpower, DHM/SI changes and theft incidents by tomorrow.</t>
  </si>
  <si>
    <t xml:space="preserve">BLR-Kasturinagar New</t>
  </si>
  <si>
    <t xml:space="preserve">* Total IH loss is ₹8.2K, mainly from Adjustment ₹5.4K and FCC bin ₹2.7K.
* SKU-level data not shared for this store, so category and SKU view is not covered.
* Clear FCC bin of ₹2.7K by tomorrow. Stock traced goes back to its bin and posts as adjustment gain.
* W2W audit of aisles P and B as Adjustment is ₹5.4K.
* DHM to review every adjustment entry before posting for the next 7 days.
* IM to share ground RCA on manpower, DHM/SI changes and theft incidents by tomorrow.</t>
  </si>
  <si>
    <t xml:space="preserve">* Total IH loss is ₹7.7K, mainly from FCC bin ₹3.9K and Adjustment ₹3.8K.
* SKU-level data not shared for this store, so category and SKU view is not covered.
* Aisles M and C hold ₹13.5K, 89% of aisle-level loss.
* Freezer stock mixed up, wrong adjustment due to wrong putaway.
* Clear FCC bin of ₹3.9K by tomorrow. Stock traced goes back to its bin and posts as adjustment gain.
* W2W audit of aisles C and A as Adjustment is ₹3.8K.
* DHM to review every adjustment entry before posting for the next 7 days.
* IM to share ground RCA on manpower, DHM/SI changes and theft incidents by tomorrow.</t>
  </si>
  <si>
    <t xml:space="preserve">* Total IH loss is ₹7.5K, mainly from FCC bin ₹7.0K and RTO loss ₹970.
* Majority impact is from FCC bin of ₹7.0K. Excluding this, the store is ₹489 in loss.
* SKU-level data not shared for this store, so category and SKU view is not covered.
* Aisles J and F hold ₹8.3K, 56% of aisle-level loss.
* Wrong putaway by LC1 IBAs.
* Clear FCC bin of ₹7.0K by tomorrow. Stock traced goes back to its bin and posts as adjustment gain.
* Reconcile RTO ₹970 with LM.
* DHM to review every adjustment entry before posting for the next 7 days.
* IM to share ground RCA on manpower, DHM/SI changes and theft incidents by tomorrow.</t>
  </si>
  <si>
    <t xml:space="preserve">BLR-Marathahalli-4</t>
  </si>
  <si>
    <t xml:space="preserve">* Total IH loss is ₹7.3K, mainly from FCC bin ₹8.4K and Shortpick ₹916.
* Majority impact is from FCC bin of ₹8.4K. Excluding this, the store is ₹1.0K positive.
* Adjustment is a gain of ₹2.1K, which offsets part of the loss in other buckets.
* SKU-level data not shared for this store, so category and SKU view is not covered.
* Aisles I and A hold ₹10.1K, 66% of aisle-level loss.
* Clear FCC bin of ₹8.4K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</si>
  <si>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BLR-Bannerghatta SS</t>
  </si>
  <si>
    <t xml:space="preserve">* Total IH loss is ₹7.3K, mainly from FCC bin ₹14.7K, RTO loss ₹2.0K and Shortpick ₹1.1K.
* Majority impact is from FCC bin of ₹14.7K. Excluding this, the store is ₹7.4K positive.
* Adjustment is a gain of ₹10.4K, which offsets part of the loss in other buckets.
* SKU-level data not shared for this store, so category and SKU view is not covered.
* Aisles N and M hold ₹10.1K, 51% of aisle-level loss.
* Clear FCC bin of ₹14.7K by tomorrow. Stock traced goes back to its bin and posts as adjustment gain.
* Cycle count the shortpick bins against the ₹1.1K shortpick value.
* Reconcile RTO ₹2.0K with LM.
* DHM to review every adjustment entry before posting for the next 7 days.</t>
  </si>
  <si>
    <t xml:space="preserve">BLR-Tippenahalli</t>
  </si>
  <si>
    <t xml:space="preserve">* Total IH loss is ₹7.3K, mainly from FCC bin ₹8.1K.
* Majority impact is from FCC bin of ₹8.1K. Excluding this, the store is ₹822 positive.
* Adjustment is a gain of ₹1.4K, which offsets part of the loss in other buckets.
* SKU-level data not shared for this store, so category and SKU view is not covered.
* Aisles C and D hold ₹16.5K, 61% of aisle-level loss.
* Smaller buckets: RTO loss ₹573.
* Clear FCC bin of ₹8.1K by tomorrow. Stock traced goes back to its bin and posts as adjustment gain.
* Reconcile RTO ₹573 with LM.
* DHM to review every adjustment entry before posting for the next 7 days.
* IM to share ground RCA on manpower, DHM/SI changes and theft incidents by tomorrow.</t>
  </si>
  <si>
    <t xml:space="preserve">BLR-Budigere Cross</t>
  </si>
  <si>
    <t xml:space="preserve">* Total IH loss is ₹7.1K, mainly from Adjustment ₹5.7K.
* SKU-level data not shared for this store, so category and SKU view is not covered.
* Aisles G and H hold ₹11.5K, 65% of aisle-level loss.
* Smaller buckets: FCC bin ₹629 and RTO loss ₹590.
* Clear FCC bin of ₹629 by tomorrow. Stock traced goes back to its bin and posts as adjustment gain.
* W2W audit of aisles C and E as Adjustment is ₹5.7K.
* Reconcile RTO ₹590 with LM.
* DHM to review every adjustment entry before posting for the next 7 days.</t>
  </si>
  <si>
    <t xml:space="preserve">BLR-RK Hegde Nagar</t>
  </si>
  <si>
    <t xml:space="preserve">* Total IH loss is ₹6.9K, mainly from FCC bin ₹3.1K, STO short receipt ₹2.8K and Adjustment ₹805.
* SKU-level data not shared for this store, so category and SKU view is not covered.
* Aisles I and E hold ₹7.3K, 73% of aisle-level loss.
* Clear FCC bin of ₹3.1K by tomorrow. Stock traced goes back to its bin and posts as adjustment gain.
* Reconcile STO short receipt ₹2.8K with MH and DH.
* DHM to review every adjustment entry before posting for the next 7 days.
* IM to share ground RCA on manpower, DHM/SI changes and theft incidents by tomorrow.</t>
  </si>
  <si>
    <t xml:space="preserve">BLR-RAGHAVENDRA LAYOUT</t>
  </si>
  <si>
    <t xml:space="preserve">* Total IH loss is ₹6.7K, mainly from Shortpick ₹7.0K and FCC bin ₹5.4K.
* Majority impact is from Shortpick of ₹7.0K. Excluding this, the store is ₹287 positive.
* Adjustment is a gain of ₹5.8K, which offsets part of the loss in other buckets.
* SKU-level data not shared for this store, so category and SKU view is not covered.
* Aisles B and A hold ₹7.9K, 77% of aisle-level loss.
* Clear FCC bin of ₹5.4K by tomorrow. Stock traced goes back to its bin and posts as adjustment gain.
* Cycle count the shortpick bins against the ₹7.0K shortpick value.
* DHM to review every adjustment entry before posting for the next 7 days.
* IM to share ground RCA on manpower, DHM/SI changes and theft incidents by tomorrow.</t>
  </si>
  <si>
    <t xml:space="preserve">BLR-Hegganahalli</t>
  </si>
  <si>
    <t xml:space="preserve">* Total IH loss is ₹6.5K, mainly from Adjustment ₹5.7K.
* SKU-level data not shared for this store, so category and SKU view is not covered.
* Aisles J and H hold ₹15.6K, 83% of aisle-level loss.
* W2W audit of aisles G and D as Adjustment is ₹5.7K.
* DHM to review every adjustment entry before posting for the next 7 days.
* IM to share ground RCA on manpower, DHM/SI changes and theft incidents by tomorrow.</t>
  </si>
  <si>
    <t xml:space="preserve">* Total IH loss is ₹6.4K, mainly from FCC bin ₹3.4K, Shortpick ₹1.3K and Adjustment ₹1.2K.
* SKU-level data not shared for this store, so category and SKU view is not covered.
* Aisles F and E hold ₹4.3K, 54% of aisle-level loss.
* Wrong putaway by LC1 IBAs.
* Clear FCC bin of ₹3.4K by tomorrow. Stock traced goes back to its bin and posts as adjustment gain.
* Cycle count the shortpick bins against the ₹1.3K shortpick value.
* DHM to review every adjustment entry before posting for the next 7 days.
* IM to share ground RCA on manpower, DHM/SI changes and theft incidents by tomorrow.</t>
  </si>
  <si>
    <t xml:space="preserve">Ravishankar gowda</t>
  </si>
  <si>
    <t xml:space="preserve">* Total IH loss is ₹6.3K, mainly from FCC bin ₹6.8K and Shortpick ₹882.
* Majority impact is from FCC bin of ₹6.8K. Excluding this, the store is ₹499 positive.
* Adjustment is a gain of ₹1.6K, which offsets part of the loss in other buckets.
* SKU-level data not shared for this store, so category and SKU view is not covered.
* Aisles M and L hold ₹10.4K, 75% of aisle-level loss.
* CCA delta, 3 CCAs now hired.
* Clear FCC bin of ₹6.8K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</si>
  <si>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10K</t>
  </si>
  <si>
    <t xml:space="preserve">* Total IH loss is ₹5.9K, mainly from Adjustment ₹3.7K and FCC bin ₹2.1K.
* SKU-level data not shared for this store, so category and SKU view is not covered.
* CCA cross deployed, DH monitoring gap.
* Clear FCC bin of ₹2.1K by tomorrow. Stock traced goes back to its bin and posts as adjustment gain.
* W2W audit of aisles C and I as Adjustment is ₹3.7K.
* DHM to review every adjustment entry before posting for the next 7 days.
* IM to share ground RCA on manpower, DHM/SI changes and theft incidents by tomorrow.</t>
  </si>
  <si>
    <t xml:space="preserve">9K</t>
  </si>
  <si>
    <t xml:space="preserve">Coimbatore</t>
  </si>
  <si>
    <t xml:space="preserve">COI-Sai baba colony</t>
  </si>
  <si>
    <t xml:space="preserve">John Britto</t>
  </si>
  <si>
    <t xml:space="preserve">* Total IH loss is ₹5.5K, mainly from Adjustment ₹4.2K and RTO loss ₹666.
* SKU-level data not shared for this store, so category and SKU view is not covered.
* Aisles A and B hold ₹4.6K, 60% of aisle-level loss.
* W2W audit of aisles A and B as Adjustment is ₹4.2K.
* Reconcile RTO ₹666 with LM.
* DHM to review every adjustment entry before posting for the next 7 days.
* IM to share ground RCA on manpower, DHM/SI changes and theft incidents by tomorrow.</t>
  </si>
  <si>
    <t xml:space="preserve">BLR-Yelenahalli</t>
  </si>
  <si>
    <t xml:space="preserve">* Total IH loss is ₹5.3K, mainly from FCC bin ₹6.1K.
* Majority impact is from FCC bin of ₹6.1K. Excluding this, the store is ₹753 positive.
* Adjustment is a gain of ₹1.6K, which offsets part of the loss in other buckets.
* SKU-level data not shared for this store, so category and SKU view is not covered.
* Aisles A and D hold ₹10.7K, 83% of aisle-level loss.
* Clear FCC bin of ₹6.1K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</si>
  <si>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* Total IH loss is ₹5.2K, mainly from FCC bin ₹3.8K and Adjustment ₹1.1K.
* Majority impact is from FCC bin of ₹3.8K. Excluding this, the store is ₹1.4K in loss.
* SKU-level data not shared for this store, so category and SKU view is not covered.
* Aisles C and K hold ₹11.5K, 62% of aisle-level loss.
* Putaway deviation, floor not handed over to next shift.
* Clear FCC bin of ₹3.8K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</si>
  <si>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7K</t>
  </si>
  <si>
    <t xml:space="preserve">BLR-BELLANDUR - 2</t>
  </si>
  <si>
    <t xml:space="preserve">* Total IH loss is ₹4.9K, mainly from FCC bin ₹6.8K and Shortpick ₹732.
* Majority impact is from FCC bin of ₹6.8K. Excluding this, the store is ₹1.9K positive.
* Adjustment is a gain of ₹3.0K, which offsets part of the loss in other buckets.
* SKU-level data not shared for this store, so category and SKU view is not covered.
* Aisles E and A hold ₹7.2K, 86% of aisle-level loss.
* Clear FCC bin of ₹6.8K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</si>
  <si>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BLR-BANNERGHATTA</t>
  </si>
  <si>
    <t xml:space="preserve">* Total IH loss is ₹4.6K, mainly from FCC bin ₹8.2K.
* Majority impact is from FCC bin of ₹8.2K. Excluding this, the store is ₹3.6K positive.
* Adjustment is a gain of ₹3.6K, which offsets part of the loss in other buckets.
* SKU-level data not shared for this store, so category and SKU view is not covered.
* Aisles D and E hold ₹6.2K, 68% of aisle-level loss.
* Clear FCC bin of ₹8.2K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</si>
  <si>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BLR-Pipeline road new</t>
  </si>
  <si>
    <t xml:space="preserve">* Total IH loss is ₹4.4K, mainly from FCC bin ₹11.5K.
* Majority impact is from FCC bin of ₹11.5K. Excluding this, the store is ₹7.1K positive.
* Adjustment is a gain of ₹7.4K, which offsets part of the loss in other buckets.
* SKU-level data not shared for this store, so category and SKU view is not covered.
* Aisles I and L hold ₹10.0K, 56% of aisle-level loss.
* Clear FCC bin of ₹11.5K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</si>
  <si>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BLR-Doddanekundi</t>
  </si>
  <si>
    <t xml:space="preserve">* Total IH loss is ₹4.4K, mainly from FCC bin ₹6.5K.
* Majority impact is from FCC bin of ₹6.5K. Excluding this, the store is ₹2.1K positive.
* Adjustment is a gain of ₹2.3K, which offsets part of the loss in other buckets.
* SKU-level data not shared for this store, so category and SKU view is not covered.
* Clear FCC bin of ₹6.5K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</si>
  <si>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KOC-Thengod</t>
  </si>
  <si>
    <t xml:space="preserve">* Total IH loss is ₹4.3K, mainly from FCC bin ₹9.5K.
* Majority impact is from FCC bin of ₹9.5K. Excluding this, the store is ₹5.1K positive.
* Adjustment is a gain of ₹5.1K, which offsets part of the loss in other buckets.
* SKU-level data not shared for this store, so category and SKU view is not covered.
* Clear FCC bin of ₹9.5K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</si>
  <si>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BLR-Cholayanakanalli</t>
  </si>
  <si>
    <t xml:space="preserve">* Total IH loss is ₹4.2K, mainly from FCC bin ₹9.5K and RTO loss ₹2.0K.
* Majority impact is from FCC bin of ₹9.5K. Excluding this, the store is ₹5.3K positive.
* Adjustment is a gain of ₹7.3K, which offsets part of the loss in other buckets.
* SKU-level data not shared for this store, so category and SKU view is not covered.
* Aisles P and O hold ₹34.6K, 69% of aisle-level loss.
* Clear FCC bin of ₹9.5K by tomorrow. Stock traced goes back to its bin and posts as adjustment gain.
* Reconcile RTO ₹2.0K with LM.
* DHM to review every adjustment entry before posting for the next 7 days.
* IM to share ground RCA on manpower, DHM/SI changes and theft incidents by tomorrow.</t>
  </si>
  <si>
    <t xml:space="preserve">COI-Sundarapuram</t>
  </si>
  <si>
    <t xml:space="preserve">* Total IH loss is ₹4.2K, mainly from Adjustment ₹2.8K and FCC bin ₹1.1K.
* SKU-level data not shared for this store, so category and SKU view is not covered.
* Aisles A and F hold ₹6.0K, 66% of aisle-level loss.
* Clear FCC bin of ₹1.1K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</si>
  <si>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BLR-Bellandur new</t>
  </si>
  <si>
    <t xml:space="preserve">* Total IH loss is ₹4.0K, mainly from FCC bin ₹7.1K, Shortpick ₹2.2K and Other bins ₹1.3K.
* Majority impact is from FCC bin of ₹7.1K. Excluding this, the store is ₹3.2K positive.
* Adjustment is a gain of ₹6.6K, which offsets part of the loss in other buckets.
* SKU-level data not shared for this store, so category and SKU view is not covered.
* Aisles G and D hold ₹4.3K, 98% of aisle-level loss.
* Clear FCC bin of ₹7.1K by tomorrow. Stock traced goes back to its bin and posts as adjustment gain.
* Cycle count the shortpick bins against the ₹2.2K shortpick value.
* Close out Other bins stock of ₹1.3K and post it back to inventory.
* DHM to review every adjustment entry before posting for the next 7 days.</t>
  </si>
  <si>
    <t xml:space="preserve">BLR-Channasandra</t>
  </si>
  <si>
    <t xml:space="preserve">* Total IH loss is ₹3.6K, mainly from FCC bin ₹3.2K and Shortpick ₹1.8K.
* Majority impact is from FCC bin of ₹3.2K. Excluding this, the store is ₹447 in loss.
* Adjustment is a gain of ₹1.4K, which offsets part of the loss in other buckets.
* SKU-level data not shared for this store, so category and SKU view is not covered.
* Aisles I and G hold ₹20.8K, 84% of aisle-level loss.
* Clear FCC bin of ₹3.2K by tomorrow. Stock traced goes back to its bin and posts as adjustment gain.
* Cycle count the shortpick bins against the ₹1.8K shortpick value.
* DHM to review every adjustment entry before posting for the next 7 days.
* IM to share ground RCA on manpower, DHM/SI changes and theft incidents by tomorrow.</t>
  </si>
  <si>
    <t xml:space="preserve">KOC-PALLURTHY</t>
  </si>
  <si>
    <t xml:space="preserve">* Total IH loss is ₹3.4K, mainly from FCC bin ₹2.8K and Adjustment ₹632.
* Majority impact is from FCC bin of ₹2.8K. Excluding this, the store is ₹632 in loss.
* SKU-level data not shared for this store, so category and SKU view is not covered.
* Aisles H and K hold ₹12.6K, 84% of aisle-level loss.
* Clear FCC bin of ₹2.8K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</si>
  <si>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MYQ-Hudco</t>
  </si>
  <si>
    <t xml:space="preserve">* Total IH loss is ₹3.4K, mainly from Adjustment ₹3.3K.
* SKU-level data not shared for this store, so category and SKU view is not covered.
* W2W audit of aisles H and B as Adjustment is ₹3.3K.
* DHM to review every adjustment entry before posting for the next 7 days.
* IM to share ground RCA on manpower, DHM/SI changes and theft incidents by tomorrow.</t>
  </si>
  <si>
    <t xml:space="preserve">BLR-Anjanapura</t>
  </si>
  <si>
    <t xml:space="preserve">* Total IH loss is ₹3.1K, mainly from Adjustment ₹3.0K.
* SKU-level data not shared for this store, so category and SKU view is not covered.
* Aisles M and G hold ₹6.7K, 75% of aisle-level loss.
* DHM to review every adjustment entry before posting for the next 7 days.
* IM to share ground RCA on manpower, DHM/SI changes and theft incidents by tomorrow.</t>
  </si>
  <si>
    <t xml:space="preserve">BLR-Bellandur-5</t>
  </si>
  <si>
    <t xml:space="preserve">* Total IH loss is ₹2.8K, mainly from Adjustment ₹1.6K, FCC bin ₹792 and RTO loss ₹426.
* SKU-level data not shared for this store, so category and SKU view is not covered.
* Aisles H and I hold ₹5.5K, 74% of aisle-level loss.
* Clear FCC bin of ₹792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</si>
  <si>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BLR-RICHMOND TOWN</t>
  </si>
  <si>
    <t xml:space="preserve">* Total IH loss is ₹2.7K, mainly from FCC bin ₹18.1K and Shortpick ₹1.9K.
* Majority impact is from FCC bin of ₹18.1K. Excluding this, the store is ₹15.4K positive.
* Adjustment is a gain of ₹17.7K, which offsets part of the loss in other buckets.
* SKU-level data not shared for this store, so category and SKU view is not covered.
* Aisles G and L hold ₹14.7K, 56% of aisle-level loss.
* Clear FCC bin of ₹18.1K by tomorrow. Stock traced goes back to its bin and posts as adjustment gain.
* Cycle count the shortpick bins against the ₹1.9K shortpick value.
* DHM to review every adjustment entry before posting for the next 7 days.
* IM to share ground RCA on manpower, DHM/SI changes and theft incidents by tomorrow.</t>
  </si>
  <si>
    <t xml:space="preserve">BLR-Marathahalli 2</t>
  </si>
  <si>
    <t xml:space="preserve">* Total IH loss is ₹2.7K, mainly from FCC bin ₹7.7K.
* Majority impact is from FCC bin of ₹7.7K. Excluding this, the store is ₹5.0K positive.
* Adjustment is a gain of ₹5.3K, which offsets part of the loss in other buckets.
* SKU-level data not shared for this store, so category and SKU view is not covered.
* Aisles D and F hold ₹8.8K, 83% of aisle-level loss.
* Clear FCC bin of ₹7.7K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</si>
  <si>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BLR-Peenya Network</t>
  </si>
  <si>
    <t xml:space="preserve">* Total IH loss is ₹2.3K, mainly from Adjustment ₹1.5K and RTO loss ₹658.
* SKU-level data not shared for this store, so category and SKU view is not covered.
* Aisles B and H hold ₹3.8K, 65% of aisle-level loss.
* Reconcile RTO ₹658 with LM.
* DHM to review every adjustment entry before posting for the next 7 days.
* IM to share ground RCA on manpower, DHM/SI changes and theft incidents by tomorrow.</t>
  </si>
  <si>
    <t xml:space="preserve">Tumkuru</t>
  </si>
  <si>
    <t xml:space="preserve">TUM-SS Puram</t>
  </si>
  <si>
    <t xml:space="preserve">* Total IH loss is ₹2.3K, mainly from Adjustment ₹1.8K and FCC bin ₹511.
* SKU-level data not shared for this store, so category and SKU view is not covered.
* Aisles H and A hold ₹3.6K, 67% of aisle-level loss.
* Clear FCC bin of ₹511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</si>
  <si>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* Total IH loss is ₹2.0K, mainly from FCC bin ₹4.0K.
* Majority impact is from FCC bin of ₹4.0K. Excluding this, the store is ₹2.0K positive.
* Adjustment is a gain of ₹2.0K, which offsets part of the loss in other buckets.
* SKU-level data not shared for this store, so category and SKU view is not covered.
* Aisles M and K hold ₹12.3K, 80% of aisle-level loss.
* Clear FCC bin of ₹4.0K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</si>
  <si>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5K</t>
  </si>
  <si>
    <t xml:space="preserve">BLR-Sarjapur-2</t>
  </si>
  <si>
    <t xml:space="preserve">* Total IH loss is ₹1.8K, mainly from FCC bin ₹6.4K and RTO loss ₹441.
* Majority impact is from FCC bin of ₹6.4K. Excluding this, the store is ₹4.6K positive.
* Adjustment is a gain of ₹5.0K, which offsets part of the loss in other buckets.
* SKU-level data not shared for this store, so category and SKU view is not covered.
* Aisles N and D hold ₹4.2K, 73% of aisle-level loss.
* Clear FCC bin of ₹6.4K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</si>
  <si>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BLR-HSR SS</t>
  </si>
  <si>
    <t xml:space="preserve">* Total IH loss is ₹1.8K, mainly from FCC bin ₹22.6K.
* Majority impact is from FCC bin of ₹22.6K. Excluding this, the store is ₹20.8K positive.
* Adjustment is a gain of ₹20.8K, which offsets part of the loss in other buckets.
* SKU-level data not shared for this store, so category and SKU view is not covered.
* Clear FCC bin of ₹22.6K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</si>
  <si>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COI-Parashakti nagar</t>
  </si>
  <si>
    <t xml:space="preserve">* Total IH loss is ₹1.7K, mainly from FCC bin ₹4.7K and RTO loss ₹176.
* Majority impact is from FCC bin of ₹4.7K. Excluding this, the store is ₹3.0K positive.
* Adjustment is a gain of ₹3.1K, which offsets part of the loss in other buckets.
* SKU-level data not shared for this store, so category and SKU view is not covered.
* Aisles A and C hold ₹4.8K, 69% of aisle-level loss.
* Clear FCC bin of ₹4.7K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</si>
  <si>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BLR-Silver County</t>
  </si>
  <si>
    <t xml:space="preserve">* Total IH loss is ₹1.5K, mainly from FCC bin ₹4.4K, STO short receipt ₹3.8K and Shortpick ₹3.0K.
* Majority impact is from FCC bin of ₹4.4K. Excluding this, the store is ₹2.9K positive.
* Adjustment is a gain of ₹9.9K, which offsets part of the loss in other buckets.
* SKU-level data not shared for this store, so category and SKU view is not covered.
* Clear FCC bin of ₹4.4K by tomorrow. Stock traced goes back to its bin and posts as adjustment gain.
* Cycle count the shortpick bins against the ₹3.0K shortpick value.
* Reconcile STO short receipt ₹3.8K with MH and DH.
* DHM to review every adjustment entry before posting for the next 7 days.</t>
  </si>
  <si>
    <t xml:space="preserve">BLR-Bellandur SS</t>
  </si>
  <si>
    <t xml:space="preserve">* Total IH loss is ₹1.1K, mainly from FCC bin ₹11.3K and RTO loss ₹236.
* Majority impact is from FCC bin of ₹11.3K. Excluding this, the store is ₹10.2K positive.
* Adjustment is a gain of ₹10.4K, which offsets part of the loss in other buckets.
* SKU-level data not shared for this store, so category and SKU view is not covered.
* Aisles BAT and H hold ₹6.7K, 59% of aisle-level loss.
* Clear FCC bin of ₹11.3K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</si>
  <si>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KOC-Fort</t>
  </si>
  <si>
    <t xml:space="preserve">* Total IH loss is ₹1.0K, mainly from FCC bin ₹1.2K and Shortpick ₹183.
* Majority impact is from FCC bin of ₹1.2K. Excluding this, the store is ₹151 positive.
* SKU-level data not shared for this store, so category and SKU view is not covered.
* Aisles Unknown and Q hold ₹2.9K, 52% of aisle-level loss.
* Clear FCC bin of ₹1.2K by tomorrow. Stock traced goes back to its bin and posts as adjustment gain.
* DHM to review every adjustment entry before posting for the next 7 days.
* IM to share ground RCA on manpower, DHM/SI changes and theft incidents by tomorrow.</t>
  </si>
  <si>
    <t xml:space="preserve">BLR-Golahalli</t>
  </si>
  <si>
    <t xml:space="preserve">* Total IH loss is ₹711, mainly from FCC bin ₹2.7K, Other bins ₹2.5K and RTO loss ₹391.
* Majority impact is from FCC bin of ₹2.7K. Excluding this, the store is ₹1.9K positive.
* Adjustment is a gain of ₹5.1K, which offsets part of the loss in other buckets.
* SKU-level data not shared for this store, so category and SKU view is not covered.
* Clear FCC bin of ₹2.7K by tomorrow. Stock traced goes back to its bin and posts as adjustment gain.
* Close out Other bins stock of ₹2.5K and post it back to inventory.
* DHM to review every adjustment entry before posting for the next 7 days.
* IM to share ground RCA on manpower, DHM/SI changes and theft incidents by tomorrow.</t>
  </si>
  <si>
    <t xml:space="preserve">BLR-HeadOffice-Cafe</t>
  </si>
  <si>
    <t xml:space="preserve">MH</t>
  </si>
  <si>
    <t xml:space="preserve">* Total IH loss is ₹690, mainly from Shortpick ₹370 and Adjustment ₹320.
* SKU-level data not shared for this store, so category and SKU view is not covered.
* DHM to review every adjustment entry before posting for the next 7 days.
* IM to share ground RCA on manpower, DHM/SI changes and theft incidents by tomorrow.</t>
  </si>
  <si>
    <t xml:space="preserve">BLR-Silver County  SS</t>
  </si>
  <si>
    <t xml:space="preserve">* Total IH loss is ₹603, mainly from RTO loss ₹7.3K.
* Majority impact is from RTO loss of ₹7.3K. Excluding this, the store is ₹6.7K positive.
* Adjustment is a gain of ₹6.7K, which offsets part of the loss in other buckets.
* SKU-level data not shared for this store, so category and SKU view is not covered.
* Aisles K and H hold ₹2.9K, 55% of aisle-level loss.
* Reconcile RTO ₹7.3K with LM.
* DHM to review every adjustment entry before posting for the next 7 days.
* IM to share ground RCA on manpower, DHM/SI changes and theft incidents by tomorrow.</t>
  </si>
  <si>
    <t xml:space="preserve">BLR-Electronic City SS</t>
  </si>
  <si>
    <t xml:space="preserve">* Total IH loss is ₹513, mainly from FCC bin ₹4.7K and RTO loss ₹2.0K.
* Majority impact is from FCC bin of ₹4.7K. Excluding this, the store is ₹4.2K positive.
* Adjustment is a gain of ₹6.2K, which offsets part of the loss in other buckets.
* SKU-level data not shared for this store, so category and SKU view is not covered.
* Aisles U and N hold ₹5.8K, 71% of aisle-level loss.
* Clear FCC bin of ₹4.7K by tomorrow. Stock traced goes back to its bin and posts as adjustment gain.
* Reconcile RTO ₹2.0K with LM.
* DHM to review every adjustment entry before posting for the next 7 days.
* IM to share ground RCA on manpower, DHM/SI changes and theft incidents by tomorrow.</t>
  </si>
  <si>
    <t xml:space="preserve">MYQ-Bogadi</t>
  </si>
  <si>
    <t xml:space="preserve">* Total IH loss is ₹400, mainly from FCC bin ₹415.
* Majority impact is from FCC bin of ₹415. Excluding this, the store is ₹15 positive.
* SKU-level data not shared for this store, so category and SKU view is not covered.
* DHM to review every adjustment entry before posting for the next 7 days.
* IM to share ground RCA on manpower, DHM/SI changes and theft incidents by tomorrow.</t>
  </si>
  <si>
    <t xml:space="preserve">MYQ-Kuvempu Nagar</t>
  </si>
  <si>
    <t xml:space="preserve">* Total IH loss is ₹184, mainly from FCC bin ₹449 and PO cancel ₹19.
* Majority impact is from FCC bin of ₹449. Excluding this, the store is ₹265 positive.
* SKU-level data not shared for this store, so category and SKU view is not covered.
* Aisles K and C hold ₹3.2K, 78% of aisle-level loss.
* DHM to review every adjustment entry before posting for the next 7 days.
* IM to share ground RCA on manpower, DHM/SI changes and theft incidents by tomorrow.</t>
  </si>
  <si>
    <t xml:space="preserve">BLR-Nagondanahalli</t>
  </si>
  <si>
    <t xml:space="preserve">* Total IH loss is ₹166, mainly from RTO loss ₹1.0K, Other bins ₹786 and FCC bin ₹645.
* Majority impact is from RTO loss of ₹1.0K. Excluding this, the store is ₹845 positive.
* Adjustment is a gain of ₹2.3K, which offsets part of the loss in other buckets.
* SKU-level data not shared for this store, so category and SKU view is not covered.
* Aisles B and C hold ₹3.1K, 59% of aisle-level loss.
* Clear FCC bin of ₹645 by tomorrow. Stock traced goes back to its bin and posts as adjustment gain.
* Reconcile RTO ₹1.0K with LM.
* Close out Other bins stock of ₹786 and post it back to inventory.
* DHM to review every adjustment entry before posting for the next 7 days.</t>
  </si>
  <si>
    <t xml:space="preserve">BLR-BTM LAYOUT NEW</t>
  </si>
  <si>
    <t xml:space="preserve">* Total IH loss is ₹34, mainly from FCC bin ₹11.1K, Shortpick ₹9.3K and RTO loss ₹2.2K.
* Majority impact is from FCC bin of ₹11.1K. Excluding this, the store is ₹11.0K positive.
* Adjustment is a gain of ₹22.6K, which offsets part of the loss in other buckets.
* SKU-level data not shared for this store, so category and SKU view is not covered.
* Clear FCC bin of ₹11.1K by tomorrow. Stock traced goes back to its bin and posts as adjustment gain.
* Cycle count the shortpick bins against the ₹9.3K shortpick value.
* Reconcile RTO ₹2.2K with LM.
* DHM to review every adjustment entry before posting for the next 7 days.</t>
  </si>
  <si>
    <t xml:space="preserve">BLR-BTM-2</t>
  </si>
  <si>
    <t xml:space="preserve">* No IH loss booked for the period across any bucket.
* No recovery action needed. Continue daily cycle count as per plan.</t>
  </si>
  <si>
    <t xml:space="preserve">BLR-Vidyaranyapura</t>
  </si>
  <si>
    <t xml:space="preserve">BLR-Vidyaranyapura SS</t>
  </si>
  <si>
    <t xml:space="preserve">BLR-Koramangala Network</t>
  </si>
  <si>
    <t xml:space="preserve">Not Mapped</t>
  </si>
  <si>
    <t xml:space="preserve">BLR-Pipeline Road</t>
  </si>
  <si>
    <t xml:space="preserve">BLR-Nelmagala Town</t>
  </si>
  <si>
    <t xml:space="preserve">* Store is net positive by ₹240 because of adjustment gains of ₹1.5K. Gains to be checked for FCC stock traced vs GRN or STO inward misses.
* Loss buckets still open: FCC bin ₹956 and RTO loss ₹283.
* SKU-level data not shared for this store, so category and SKU view is not covered.
* Clear FCC bin of ₹956 by tomorrow. Stock traced goes back to its bin and posts as adjustment gain.
* Validate adjustment gains of ₹1.5K against GRN and STO inward before month close.
* DHM to review every adjustment entry before posting for the next 7 days.
* IM to share ground RCA on manpower, DHM/SI changes and theft incidents by tomorrow.</t>
  </si>
  <si>
    <t xml:space="preserve">BEL-Sector 12</t>
  </si>
  <si>
    <t xml:space="preserve">* Store is net positive by ₹264 because of adjustment gains of ₹1.9K. Gains to be checked for FCC stock traced vs GRN or STO inward misses.
* Loss buckets still open: FCC bin ₹1.5K and RTO loss ₹129.
* SKU-level data not shared for this store, so category and SKU view is not covered.
* Clear FCC bin of ₹1.5K by tomorrow. Stock traced goes back to its bin and posts as adjustment gain.
* Validate adjustment gains of ₹1.9K against GRN and STO inward before month close.
* DHM to review every adjustment entry before posting for the next 7 days.
* IM to share ground RCA on manpower, DHM/SI changes and theft incidents by tomorrow.</t>
  </si>
  <si>
    <t xml:space="preserve">BLR-Kasavanahalli</t>
  </si>
  <si>
    <t xml:space="preserve">* Store is net positive by ₹358 because of adjustment gains of ₹4.2K. Gains to be checked for FCC stock traced vs GRN or STO inward misses.
* Loss buckets still open: STO short receipt ₹1.4K, FCC bin ₹1.3K, RTO loss ₹1.1K and Shortpick ₹43.
* SKU-level data not shared for this store, so category and SKU view is not covered.
* Aisles M and K hold ₹2.6K, 90% of aisle-level loss.
* Clear FCC bin of ₹1.3K by tomorrow. Stock traced goes back to its bin and posts as adjustment gain.
* Reconcile RTO ₹1.1K with LM and STO short receipt ₹1.4K with MH and DH.
* Validate adjustment gains of ₹4.2K against GRN and STO inward before month close.
* DHM to review every adjustment entry before posting for the next 7 days.</t>
  </si>
  <si>
    <t xml:space="preserve">BLR-Carmelaram</t>
  </si>
  <si>
    <t xml:space="preserve">* Store is net positive by ₹465 because of adjustment gains of ₹13.4K. Gains to be checked for FCC stock traced vs GRN or STO inward misses.
* Loss buckets still open: Shortpick ₹6.0K, FCC bin ₹4.8K, Other bins ₹1.6K and RTO loss ₹543.
* SKU-level data not shared for this store, so category and SKU view is not covered.
* Clear FCC bin of ₹4.8K by tomorrow. Stock traced goes back to its bin and posts as adjustment gain.
* Cycle count the shortpick bins against the ₹6.0K shortpick value.
* Reconcile RTO ₹543 with LM.
* Close out Other bins stock of ₹1.6K and post it back to inventory.
* Validate adjustment gains of ₹13.4K against GRN and STO inward before month close.</t>
  </si>
  <si>
    <t xml:space="preserve">Kozhikode</t>
  </si>
  <si>
    <t xml:space="preserve">KZD-Nadakkave</t>
  </si>
  <si>
    <t xml:space="preserve">* Store is net positive by ₹599 because of adjustment gains of ₹599. Gains to be checked for FCC stock traced vs GRN or STO inward misses.
* SKU-level data not shared for this store, so category and SKU view is not covered.
* Validate adjustment gains of ₹599 against GRN and STO inward before month close.
* DHM to review every adjustment entry before posting for the next 7 days.
* IM to share ground RCA on manpower, DHM/SI changes and theft incidents by tomorrow.</t>
  </si>
  <si>
    <t xml:space="preserve">BLR-Devasandra Extension</t>
  </si>
  <si>
    <t xml:space="preserve">* Store is net positive by ₹638 because of adjustment gains of ₹9.5K. Gains to be checked for FCC stock traced vs GRN or STO inward misses.
* Loss buckets still open: STO short receipt ₹4.3K, FCC bin ₹3.9K and RTO loss ₹652.
* SKU-level data not shared for this store, so category and SKU view is not covered.
* Aisles G and B hold ₹7.2K, 71% of aisle-level loss.
* Clear FCC bin of ₹3.9K by tomorrow. Stock traced goes back to its bin and posts as adjustment gain.
* Reconcile RTO ₹652 with LM and STO short receipt ₹4.3K with MH and DH.
* Validate adjustment gains of ₹9.5K against GRN and STO inward before month close.
* DHM to review every adjustment entry before posting for the next 7 days.</t>
  </si>
  <si>
    <t xml:space="preserve">BLR-Bommasandra</t>
  </si>
  <si>
    <t xml:space="preserve">* Store is net positive by ₹809 because of adjustment gains of ₹15.2K. Gains to be checked for FCC stock traced vs GRN or STO inward misses.
* Loss buckets still open: FCC bin ₹12.3K, Shortpick ₹902, RTO loss ₹744 and Other bins ₹428.
* SKU-level data not shared for this store, so category and SKU view is not covered.
* Aisles K and A hold ₹4.6K, 59% of aisle-level loss.
* Clear FCC bin of ₹12.3K by tomorrow. Stock traced goes back to its bin and posts as adjustment gain.
* Reconcile RTO ₹744 with LM.
* Validate adjustment gains of ₹15.2K against GRN and STO inward before month close.
* DHM to review every adjustment entry before posting for the next 7 days.</t>
  </si>
  <si>
    <t xml:space="preserve">BLR-RR Nagar SS</t>
  </si>
  <si>
    <t xml:space="preserve">* Store is net positive by ₹819 because of adjustment gains of ₹14.4K. Gains to be checked for FCC stock traced vs GRN or STO inward misses.
* Loss buckets still open: FCC bin ₹12.9K and RTO loss ₹741.
* SKU-level data not shared for this store, so category and SKU view is not covered.
* Clear FCC bin of ₹12.9K by tomorrow. Stock traced goes back to its bin and posts as adjustment gain.
* Reconcile RTO ₹741 with LM.
* Validate adjustment gains of ₹14.4K against GRN and STO inward before month close.
* DHM to review every adjustment entry before posting for the next 7 days.</t>
  </si>
  <si>
    <t xml:space="preserve">BLR-Teachers colony</t>
  </si>
  <si>
    <t xml:space="preserve">* Store is net positive by ₹1.1K because of adjustment gains of ₹8.4K. Gains to be checked for FCC stock traced vs GRN or STO inward misses.
* Loss buckets still open: FCC bin ₹6.5K and RTO loss ₹841.
* SKU-level data not shared for this store, so category and SKU view is not covered.
* Aisles P and G hold ₹2.1K, 72% of aisle-level loss.
* Clear FCC bin of ₹6.5K by tomorrow. Stock traced goes back to its bin and posts as adjustment gain.
* Reconcile RTO ₹841 with LM.
* Validate adjustment gains of ₹8.4K against GRN and STO inward before month close.
* DHM to review every adjustment entry before posting for the next 7 days.</t>
  </si>
  <si>
    <t xml:space="preserve">BLR-Hope Farm SS</t>
  </si>
  <si>
    <t xml:space="preserve">* Store is net positive by ₹1.2K because of adjustment gains of ₹4.6K. Gains to be checked for FCC stock traced vs GRN or STO inward misses.
* Loss buckets still open: RTO loss ₹1.7K, FCC bin ₹1.6K and Shortpick ₹69.
* SKU-level data not shared for this store, so category and SKU view is not covered.
* Aisles P09 and P15 hold ₹3.0K, 58% of aisle-level loss.
* Clear FCC bin of ₹1.6K by tomorrow. Stock traced goes back to its bin and posts as adjustment gain.
* Reconcile RTO ₹1.7K with LM.
* Validate adjustment gains of ₹4.6K against GRN and STO inward before month close.
* DHM to review every adjustment entry before posting for the next 7 days.</t>
  </si>
  <si>
    <t xml:space="preserve">BLR-Sattava East SS</t>
  </si>
  <si>
    <t xml:space="preserve">* Store is net positive by ₹1.3K because of adjustment gains of ₹5.4K. Gains to be checked for FCC stock traced vs GRN or STO inward misses.
* Loss buckets still open: FCC bin ₹2.3K and RTO loss ₹1.8K.
* SKU-level data not shared for this store, so category and SKU view is not covered.
* Clear FCC bin of ₹2.3K by tomorrow. Stock traced goes back to its bin and posts as adjustment gain.
* Reconcile RTO ₹1.8K with LM.
* Validate adjustment gains of ₹5.4K against GRN and STO inward before month close.
* DHM to review every adjustment entry before posting for the next 7 days.</t>
  </si>
  <si>
    <t xml:space="preserve">BLR-Doomasandra</t>
  </si>
  <si>
    <t xml:space="preserve">* Store is net positive by ₹1.3K because of adjustment gains of ₹12.1K. Gains to be checked for FCC stock traced vs GRN or STO inward misses.
* Loss buckets still open: STO short receipt ₹5.3K, Shortpick ₹4.0K, FCC bin ₹954 and RTO loss ₹268.
* SKU-level data not shared for this store, so category and SKU view is not covered.
* Aisles K and E hold ₹5.2K, 70% of aisle-level loss.
* Clear FCC bin of ₹954 by tomorrow. Stock traced goes back to its bin and posts as adjustment gain.
* Cycle count the shortpick bins against the ₹4.0K shortpick value.
* Reconcile STO short receipt ₹5.3K with MH and DH.
* Validate adjustment gains of ₹12.1K against GRN and STO inward before month close.</t>
  </si>
  <si>
    <t xml:space="preserve">COI-R S Puram</t>
  </si>
  <si>
    <t xml:space="preserve">* Store is net positive by ₹1.3K because of adjustment gains of ₹2.4K. Gains to be checked for FCC stock traced vs GRN or STO inward misses.
* Loss buckets still open: FCC bin ₹1.1K and RTO loss ₹39.
* SKU-level data not shared for this store, so category and SKU view is not covered.
* Clear FCC bin of ₹1.1K by tomorrow. Stock traced goes back to its bin and posts as adjustment gain.
* Validate adjustment gains of ₹2.4K against GRN and STO inward before month close.
* DHM to review every adjustment entry before posting for the next 7 days.
* IM to share ground RCA on manpower, DHM/SI changes and theft incidents by tomorrow.</t>
  </si>
  <si>
    <t xml:space="preserve">BLR-Neo Town</t>
  </si>
  <si>
    <t xml:space="preserve">* Store is net positive by ₹1.5K because of adjustment gains of ₹1.5K. Gains to be checked for FCC stock traced vs GRN or STO inward misses.
* Loss buckets still open: RTO loss ₹23.
* SKU-level data not shared for this store, so category and SKU view is not covered.
* Validate adjustment gains of ₹1.5K against GRN and STO inward before month close.
* DHM to review every adjustment entry before posting for the next 7 days.
* IM to share ground RCA on manpower, DHM/SI changes and theft incidents by tomorrow.</t>
  </si>
  <si>
    <t xml:space="preserve">Davanagere</t>
  </si>
  <si>
    <t xml:space="preserve">DEV-MCC</t>
  </si>
  <si>
    <t xml:space="preserve">* Store is net positive by ₹1.6K because of adjustment gains of ₹17.9K. Gains to be checked for FCC stock traced vs GRN or STO inward misses.
* Loss buckets still open: FCC bin ₹8.7K, STO short receipt ₹7.2K and RTO loss ₹545.
* SKU-level data not shared for this store, so category and SKU view is not covered.
* Aisles J and C hold ₹1.6K, 63% of aisle-level loss.
* Clear FCC bin of ₹8.7K by tomorrow. Stock traced goes back to its bin and posts as adjustment gain.
* Reconcile RTO ₹545 with LM and STO short receipt ₹7.2K with MH and DH.
* Validate adjustment gains of ₹17.9K against GRN and STO inward before month close.
* DHM to review every adjustment entry before posting for the next 7 days.</t>
  </si>
  <si>
    <t xml:space="preserve">BLR-RR Nagar Network</t>
  </si>
  <si>
    <t xml:space="preserve">* Store is net positive by ₹1.9K because of adjustment gains of ₹12.4K. Gains to be checked for FCC stock traced vs GRN or STO inward misses.
* Loss buckets still open: FCC bin ₹9.9K, RTO loss ₹321, STO short receipt ₹165 and Shortpick ₹129.
* SKU-level data not shared for this store, so category and SKU view is not covered.
* Aisles B and H hold ₹8.2K, 75% of aisle-level loss.
* Clear FCC bin of ₹9.9K by tomorrow. Stock traced goes back to its bin and posts as adjustment gain.
* Validate adjustment gains of ₹12.4K against GRN and STO inward before month close.
* DHM to review every adjustment entry before posting for the next 7 days.
* IM to share ground RCA on manpower, DHM/SI changes and theft incidents by tomorrow.</t>
  </si>
  <si>
    <t xml:space="preserve">BLR-Yelahanka new town New</t>
  </si>
  <si>
    <t xml:space="preserve">* Store is net positive by ₹1.9K because of adjustment gains of ₹8.1K. Gains to be checked for FCC stock traced vs GRN or STO inward misses.
* Loss buckets still open: FCC bin ₹3.1K, Shortpick ₹1.6K and STO short receipt ₹1.5K.
* SKU-level data not shared for this store, so category and SKU view is not covered.
* Aisles C and H hold ₹3.1K, 86% of aisle-level loss.
* Clear FCC bin of ₹3.1K by tomorrow. Stock traced goes back to its bin and posts as adjustment gain.
* Cycle count the shortpick bins against the ₹1.6K shortpick value.
* Reconcile STO short receipt ₹1.5K with MH and DH.
* Validate adjustment gains of ₹8.1K against GRN and STO inward before month close.</t>
  </si>
  <si>
    <t xml:space="preserve">BLR-BTM-3</t>
  </si>
  <si>
    <t xml:space="preserve">* Store is net positive by ₹1.9K because of adjustment gains of ₹12.2K. Gains to be checked for FCC stock traced vs GRN or STO inward misses.
* Loss buckets still open: FCC bin ₹9.7K and RTO loss ₹559.
* SKU-level data not shared for this store, so category and SKU view is not covered.
* Aisles I and E hold ₹6.8K, 72% of aisle-level loss.
* Clear FCC bin of ₹9.7K by tomorrow. Stock traced goes back to its bin and posts as adjustment gain.
* Reconcile RTO ₹559 with LM.
* Validate adjustment gains of ₹12.2K against GRN and STO inward before month close.
* DHM to review every adjustment entry before posting for the next 7 days.</t>
  </si>
  <si>
    <t xml:space="preserve">COI-Vadavalli 1</t>
  </si>
  <si>
    <t xml:space="preserve">* Store is net positive by ₹2.0K because of adjustment gains of ₹2.9K. Gains to be checked for FCC stock traced vs GRN or STO inward misses.
* Loss buckets still open: Other bins ₹896.
* SKU-level data not shared for this store, so category and SKU view is not covered.
* Aisles I and G hold ₹2.4K, 87% of aisle-level loss.
* Close out Other bins stock of ₹896 and post it back to inventory.
* Validate adjustment gains of ₹2.9K against GRN and STO inward before month close.
* DHM to review every adjustment entry before posting for the next 7 days.
* IM to share ground RCA on manpower, DHM/SI changes and theft incidents by tomorrow.</t>
  </si>
  <si>
    <t xml:space="preserve">DEV-Jayanagara</t>
  </si>
  <si>
    <t xml:space="preserve">* Store is net positive by ₹2.2K because of adjustment gains of ₹8.1K. Gains to be checked for FCC stock traced vs GRN or STO inward misses.
* Loss buckets still open: FCC bin ₹5.5K and RTO loss ₹417.
* SKU-level data not shared for this store, so category and SKU view is not covered.
* Aisles D and L hold ₹1.6K, 55% of aisle-level loss.
* Clear FCC bin of ₹5.5K by tomorrow. Stock traced goes back to its bin and posts as adjustment gain.
* Validate adjustment gains of ₹8.1K against GRN and STO inward before month close.
* DHM to review every adjustment entry before posting for the next 7 days.
* IM to share ground RCA on manpower, DHM/SI changes and theft incidents by tomorrow.</t>
  </si>
  <si>
    <t xml:space="preserve">BLR-Yallapa Garden</t>
  </si>
  <si>
    <t xml:space="preserve">* Store is net positive by ₹2.3K because of adjustment gains of ₹8.9K. Gains to be checked for FCC stock traced vs GRN or STO inward misses.
* Loss buckets still open: FCC bin ₹6.6K, RTO loss ₹23 and Shortpick ₹7.
* SKU-level data not shared for this store, so category and SKU view is not covered.
* Aisles C and H hold ₹8.1K, 57% of aisle-level loss.
* Clear FCC bin of ₹6.6K by tomorrow. Stock traced goes back to its bin and posts as adjustment gain.
* Validate adjustment gains of ₹8.9K against GRN and STO inward before month close.
* DHM to review every adjustment entry before posting for the next 7 days.
* IM to share ground RCA on manpower, DHM/SI changes and theft incidents by tomorrow.</t>
  </si>
  <si>
    <t xml:space="preserve">BLR-Banashankari Network</t>
  </si>
  <si>
    <t xml:space="preserve">* Store is net positive by ₹2.4K because of adjustment gains of ₹20.3K. Gains to be checked for FCC stock traced vs GRN or STO inward misses.
* Loss buckets still open: FCC bin ₹8.9K, Shortpick ₹8.5K, RTO loss ₹370 and Other bins ₹128.
* SKU-level data not shared for this store, so category and SKU view is not covered.
* Aisles F and E hold ₹12.5K, 77% of aisle-level loss.
* Clear FCC bin of ₹8.9K by tomorrow. Stock traced goes back to its bin and posts as adjustment gain.
* Cycle count the shortpick bins against the ₹8.5K shortpick value.
* Validate adjustment gains of ₹20.3K against GRN and STO inward before month close.
* DHM to review every adjustment entry before posting for the next 7 days.</t>
  </si>
  <si>
    <t xml:space="preserve">BLR- Brookefield SS</t>
  </si>
  <si>
    <t xml:space="preserve">* Store is net positive by ₹2.4K because of adjustment gains of ₹19.6K. Gains to be checked for FCC stock traced vs GRN or STO inward misses.
* Loss buckets still open: FCC bin ₹15.3K, RTO loss ₹1.4K and Shortpick ₹490.
* SKU-level data not shared for this store, so category and SKU view is not covered.
* Aisles K and I hold ₹4.2K, 53% of aisle-level loss.
* Clear FCC bin of ₹15.3K by tomorrow. Stock traced goes back to its bin and posts as adjustment gain.
* Reconcile RTO ₹1.4K with LM.
* Validate adjustment gains of ₹19.6K against GRN and STO inward before month close.
* DHM to review every adjustment entry before posting for the next 7 days.</t>
  </si>
  <si>
    <t xml:space="preserve">BLR-Eldorado</t>
  </si>
  <si>
    <t xml:space="preserve">* Store is net positive by ₹2.7K because of adjustment gains of ₹2.9K. Gains to be checked for FCC stock traced vs GRN or STO inward misses.
* Loss buckets still open: RTO loss ₹138 and FCC bin ₹52.
* SKU-level data not shared for this store, so category and SKU view is not covered.
* Validate adjustment gains of ₹2.9K against GRN and STO inward before month close.
* DHM to review every adjustment entry before posting for the next 7 days.
* IM to share ground RCA on manpower, DHM/SI changes and theft incidents by tomorrow.</t>
  </si>
  <si>
    <t xml:space="preserve">BLR-Ramamurthy Nagar Network</t>
  </si>
  <si>
    <t xml:space="preserve">* Store is net positive by ₹2.7K because of adjustment gains of ₹5.2K. Gains to be checked for FCC stock traced vs GRN or STO inward misses.
* Loss buckets still open: FCC bin ₹2.4K and RTO loss ₹45.
* SKU-level data not shared for this store, so category and SKU view is not covered.
* Clear FCC bin of ₹2.4K by tomorrow. Stock traced goes back to its bin and posts as adjustment gain.
* Validate adjustment gains of ₹5.2K against GRN and STO inward before month close.
* DHM to review every adjustment entry before posting for the next 7 days.
* IM to share ground RCA on manpower, DHM/SI changes and theft incidents by tomorrow.</t>
  </si>
  <si>
    <t xml:space="preserve">BLR-Nagdevanahalli</t>
  </si>
  <si>
    <t xml:space="preserve">* Store is net positive by ₹2.8K because of adjustment gains of ₹8.3K. Gains to be checked for FCC stock traced vs GRN or STO inward misses.
* Loss buckets still open: FCC bin ₹5.5K.
* SKU-level data not shared for this store, so category and SKU view is not covered.
* Aisles M and F hold ₹3.5K, 66% of aisle-level loss.
* Clear FCC bin of ₹5.5K by tomorrow. Stock traced goes back to its bin and posts as adjustment gain.
* Validate adjustment gains of ₹8.3K against GRN and STO inward before month close.
* DHM to review every adjustment entry before posting for the next 7 days.
* IM to share ground RCA on manpower, DHM/SI changes and theft incidents by tomorrow.</t>
  </si>
  <si>
    <t xml:space="preserve">BLR-Yelahanka Network</t>
  </si>
  <si>
    <t xml:space="preserve">* Store is net positive by ₹3.0K because of adjustment gains of ₹3.1K. Gains to be checked for FCC stock traced vs GRN or STO inward misses.
* Loss buckets still open: RTO loss ₹127 and FCC bin ₹39.
* SKU-level data not shared for this store, so category and SKU view is not covered.
* Aisles H and A hold ₹5.7K, 92% of aisle-level loss.
* Validate adjustment gains of ₹3.1K against GRN and STO inward before month close.
* DHM to review every adjustment entry before posting for the next 7 days.
* IM to share ground RCA on manpower, DHM/SI changes and theft incidents by tomorrow.</t>
  </si>
  <si>
    <t xml:space="preserve">KOC-Thrippunithura</t>
  </si>
  <si>
    <t xml:space="preserve">* Store is net positive by ₹3.0K because of adjustment gains of ₹3.3K. Gains to be checked for FCC stock traced vs GRN or STO inward misses.
* Loss buckets still open: FCC bin ₹216 and RTO loss ₹86.
* SKU-level data not shared for this store, so category and SKU view is not covered.
* Aisles H and K hold ₹1.6K, 65% of aisle-level loss.
* Validate adjustment gains of ₹3.3K against GRN and STO inward before month close.
* DHM to review every adjustment entry before posting for the next 7 days.
* IM to share ground RCA on manpower, DHM/SI changes and theft incidents by tomorrow.</t>
  </si>
  <si>
    <t xml:space="preserve">BLR-Basavanapura Network</t>
  </si>
  <si>
    <t xml:space="preserve">* Store is net positive by ₹3.3K because of adjustment gains of ₹8.1K. Gains to be checked for FCC stock traced vs GRN or STO inward misses.
* Loss buckets still open: FCC bin ₹4.2K, RTO loss ₹352 and Shortpick ₹253.
* SKU-level data not shared for this store, so category and SKU view is not covered.
* Aisles I and A hold ₹7.5K, 55% of aisle-level loss.
* Clear FCC bin of ₹4.2K by tomorrow. Stock traced goes back to its bin and posts as adjustment gain.
* Validate adjustment gains of ₹8.1K against GRN and STO inward before month close.
* DHM to review every adjustment entry before posting for the next 7 days.
* IM to share ground RCA on manpower, DHM/SI changes and theft incidents by tomorrow.</t>
  </si>
  <si>
    <t xml:space="preserve">BLR-CV Raman Nagar SS</t>
  </si>
  <si>
    <t xml:space="preserve">* Store is net positive by ₹3.5K because of adjustment gains of ₹8.9K. Gains to be checked for FCC stock traced vs GRN or STO inward misses.
* Loss buckets still open: PO cancel ₹3.9K, FCC bin ₹787 and RTO loss ₹754.
* SKU-level data not shared for this store, so category and SKU view is not covered.
* Clear FCC bin of ₹787 by tomorrow. Stock traced goes back to its bin and posts as adjustment gain.
* Reconcile RTO ₹754 with LM and PO cancel ₹3.9K with procurement and DH.
* Validate adjustment gains of ₹8.9K against GRN and STO inward before month close.
* DHM to review every adjustment entry before posting for the next 7 days.</t>
  </si>
  <si>
    <t xml:space="preserve">KOC-Vallathol Padi</t>
  </si>
  <si>
    <t xml:space="preserve">* Store is net positive by ₹3.6K because of adjustment gains of ₹10.6K. Gains to be checked for FCC stock traced vs GRN or STO inward misses.
* Loss buckets still open: FCC bin ₹4.2K, Other bins ₹1.6K, RTO loss ₹925 and Shortpick ₹258.
* SKU-level data not shared for this store, so category and SKU view is not covered.
* Aisles C and L hold ₹3.8K, 60% of aisle-level loss.
* Clear FCC bin of ₹4.2K by tomorrow. Stock traced goes back to its bin and posts as adjustment gain.
* Reconcile RTO ₹925 with LM.
* Close out Other bins stock of ₹1.6K and post it back to inventory.
* Validate adjustment gains of ₹10.6K against GRN and STO inward before month close.</t>
  </si>
  <si>
    <t xml:space="preserve">BLR-Nagavara</t>
  </si>
  <si>
    <t xml:space="preserve">* Store is net positive by ₹3.9K because of adjustment gains of ₹10.4K. Gains to be checked for FCC stock traced vs GRN or STO inward misses.
* Loss buckets still open: FCC bin ₹6.4K and RTO loss ₹111.
* SKU-level data not shared for this store, so category and SKU view is not covered.
* Aisles D and A hold ₹11.3K, 63% of aisle-level loss.
* Clear FCC bin of ₹6.4K by tomorrow. Stock traced goes back to its bin and posts as adjustment gain.
* Validate adjustment gains of ₹10.4K against GRN and STO inward before month close.
* DHM to review every adjustment entry before posting for the next 7 days.
* IM to share ground RCA on manpower, DHM/SI changes and theft incidents by tomorrow.</t>
  </si>
  <si>
    <t xml:space="preserve">Palakkad</t>
  </si>
  <si>
    <t xml:space="preserve">PAL-Pallipuram</t>
  </si>
  <si>
    <t xml:space="preserve">* Store is net positive by ₹4.1K because of adjustment gains of ₹4.4K. Gains to be checked for FCC stock traced vs GRN or STO inward misses.
* Loss buckets still open: RTO loss ₹275.
* SKU-level data not shared for this store, so category and SKU view is not covered.
* Validate adjustment gains of ₹4.4K against GRN and STO inward before month close.
* DHM to review every adjustment entry before posting for the next 7 days.
* IM to share ground RCA on manpower, DHM/SI changes and theft incidents by tomorrow.</t>
  </si>
  <si>
    <t xml:space="preserve">BLR-Rajarajeshwari Nagar</t>
  </si>
  <si>
    <t xml:space="preserve">* Store is net positive by ₹4.2K because of adjustment gains of ₹5.9K. Gains to be checked for FCC stock traced vs GRN or STO inward misses.
* Loss buckets still open: FCC bin ₹1.6K and RTO loss ₹167.
* SKU-level data not shared for this store, so category and SKU view is not covered.
* Aisles K and J hold ₹3.6K, 65% of aisle-level loss.
* Clear FCC bin of ₹1.6K by tomorrow. Stock traced goes back to its bin and posts as adjustment gain.
* Validate adjustment gains of ₹5.9K against GRN and STO inward before month close.
* DHM to review every adjustment entry before posting for the next 7 days.
* IM to share ground RCA on manpower, DHM/SI changes and theft incidents by tomorrow.</t>
  </si>
  <si>
    <t xml:space="preserve">MYQ-Mahadevpura</t>
  </si>
  <si>
    <t xml:space="preserve">* Store is net positive by ₹4.4K because of adjustment gains of ₹4.4K. Gains to be checked for FCC stock traced vs GRN or STO inward misses.
* SKU-level data not shared for this store, so category and SKU view is not covered.
* Validate adjustment gains of ₹4.4K against GRN and STO inward before month close.
* DHM to review every adjustment entry before posting for the next 7 days.
* IM to share ground RCA on manpower, DHM/SI changes and theft incidents by tomorrow.</t>
  </si>
  <si>
    <t xml:space="preserve">BLR-Bannerghatta Network</t>
  </si>
  <si>
    <t xml:space="preserve">* Store is net positive by ₹4.7K because of adjustment gains of ₹11.2K. Gains to be checked for FCC stock traced vs GRN or STO inward misses.
* Loss buckets still open: FCC bin ₹5.3K, RTO loss ₹1.0K, Shortpick ₹176 and PO cancel ₹66.
* SKU-level data not shared for this store, so category and SKU view is not covered.
* Aisles G and H hold ₹7.7K, 65% of aisle-level loss.
* Clear FCC bin of ₹5.3K by tomorrow. Stock traced goes back to its bin and posts as adjustment gain.
* Reconcile RTO ₹1.0K with LM.
* Validate adjustment gains of ₹11.2K against GRN and STO inward before month close.
* DHM to review every adjustment entry before posting for the next 7 days.</t>
  </si>
  <si>
    <t xml:space="preserve">BLR-Soukya</t>
  </si>
  <si>
    <t xml:space="preserve">* Store is net positive by ₹4.8K because of adjustment gains of ₹5.1K. Gains to be checked for FCC stock traced vs GRN or STO inward misses.
* Loss buckets still open: PO cancel ₹194 and RTO loss ₹43.
* SKU-level data not shared for this store, so category and SKU view is not covered.
* Aisles J and D hold ₹5.0K, 87% of aisle-level loss.
* Validate adjustment gains of ₹5.1K against GRN and STO inward before month close.
* DHM to review every adjustment entry before posting for the next 7 days.
* IM to share ground RCA on manpower, DHM/SI changes and theft incidents by tomorrow.</t>
  </si>
  <si>
    <t xml:space="preserve">MYQ-Vani villas</t>
  </si>
  <si>
    <t xml:space="preserve">* Store is net positive by ₹4.9K because of adjustment gains of ₹5.0K. Gains to be checked for FCC stock traced vs GRN or STO inward misses.
* Loss buckets still open: FCC bin ₹59 and PO cancel ₹19.
* SKU-level data not shared for this store, so category and SKU view is not covered.
* Aisles B and H hold ₹1.9K, 55% of aisle-level loss.
* Validate adjustment gains of ₹5.0K against GRN and STO inward before month close.
* DHM to review every adjustment entry before posting for the next 7 days.
* IM to share ground RCA on manpower, DHM/SI changes and theft incidents by tomorrow.</t>
  </si>
  <si>
    <t xml:space="preserve">BLR-Kalyan Nagar Network</t>
  </si>
  <si>
    <t xml:space="preserve">* Store is net positive by ₹4.9K because of adjustment gains of ₹14.7K. Gains to be checked for FCC stock traced vs GRN or STO inward misses.
* Loss buckets still open: FCC bin ₹7.7K, Shortpick ₹780, RTO loss ₹736 and Other bins ₹535.
* SKU-level data not shared for this store, so category and SKU view is not covered.
* Aisles I and C hold ₹9.1K, 79% of aisle-level loss.
* Clear FCC bin of ₹7.7K by tomorrow. Stock traced goes back to its bin and posts as adjustment gain.
* Reconcile RTO ₹736 with LM.
* Close out Other bins stock of ₹535 and post it back to inventory.
* Validate adjustment gains of ₹14.7K against GRN and STO inward before month close.</t>
  </si>
  <si>
    <t xml:space="preserve">COI-Peelamedu</t>
  </si>
  <si>
    <t xml:space="preserve">* Store is net positive by ₹5.0K because of adjustment gains of ₹13.8K. Gains to be checked for FCC stock traced vs GRN or STO inward misses.
* Loss buckets still open: FCC bin ₹8.0K and RTO loss ₹836.
* SKU-level data not shared for this store, so category and SKU view is not covered.
* Clear FCC bin of ₹8.0K by tomorrow. Stock traced goes back to its bin and posts as adjustment gain.
* Reconcile RTO ₹836 with LM.
* Validate adjustment gains of ₹13.8K against GRN and STO inward before month close.
* DHM to review every adjustment entry before posting for the next 7 days.</t>
  </si>
  <si>
    <t xml:space="preserve">BLR-Kumaraswamy Layout</t>
  </si>
  <si>
    <t xml:space="preserve">* Store is net positive by ₹5.0K because of adjustment gains of ₹15.4K. Gains to be checked for FCC stock traced vs GRN or STO inward misses.
* Loss buckets still open: FCC bin ₹7.0K, RTO loss ₹3.3K and Shortpick ₹49.
* SKU-level data not shared for this store, so category and SKU view is not covered.
* Aisles L and G hold ₹7.8K, 62% of aisle-level loss.
* Clear FCC bin of ₹7.0K by tomorrow. Stock traced goes back to its bin and posts as adjustment gain.
* Reconcile RTO ₹3.3K with LM.
* Validate adjustment gains of ₹15.4K against GRN and STO inward before month close.
* DHM to review every adjustment entry before posting for the next 7 days.</t>
  </si>
  <si>
    <t xml:space="preserve">KOC-Kaloor</t>
  </si>
  <si>
    <t xml:space="preserve">* Store is net positive by ₹5.0K because of adjustment gains of ₹12.4K. Gains to be checked for FCC stock traced vs GRN or STO inward misses.
* Loss buckets still open: FCC bin ₹4.9K, Other bins ₹2.3K and RTO loss ₹139.
* SKU-level data not shared for this store, so category and SKU view is not covered.
* Aisles A and N hold ₹2.0K, 61% of aisle-level loss.
* Clear FCC bin of ₹4.9K by tomorrow. Stock traced goes back to its bin and posts as adjustment gain.
* Close out Other bins stock of ₹2.3K and post it back to inventory.
* Validate adjustment gains of ₹12.4K against GRN and STO inward before month close.
* DHM to review every adjustment entry before posting for the next 7 days.</t>
  </si>
  <si>
    <t xml:space="preserve">BLR-KALYAN NAGAR NEW</t>
  </si>
  <si>
    <t xml:space="preserve">* Store is net positive by ₹5.1K because of adjustment gains of ₹20.2K. Gains to be checked for FCC stock traced vs GRN or STO inward misses.
* Loss buckets still open: FCC bin ₹14.6K, RTO loss ₹256, STO short receipt ₹251 and Shortpick ₹34.
* SKU-level data not shared for this store, so category and SKU view is not covered.
* Aisles E and H hold ₹4.2K, 56% of aisle-level loss.
* Clear FCC bin of ₹14.6K by tomorrow. Stock traced goes back to its bin and posts as adjustment gain.
* Validate adjustment gains of ₹20.2K against GRN and STO inward before month close.
* DHM to review every adjustment entry before posting for the next 7 days.
* IM to share ground RCA on manpower, DHM/SI changes and theft incidents by tomorrow.</t>
  </si>
  <si>
    <t xml:space="preserve">BLR-SINGASANDRA NEW</t>
  </si>
  <si>
    <t xml:space="preserve">* Store is net positive by ₹5.1K because of adjustment gains of ₹10.3K. Gains to be checked for FCC stock traced vs GRN or STO inward misses.
* Loss buckets still open: FCC bin ₹4.3K, Shortpick ₹702 and RTO loss ₹119.
* SKU-level data not shared for this store, so category and SKU view is not covered.
* Aisles F and E hold ₹6.3K, 76% of aisle-level loss.
* Clear FCC bin of ₹4.3K by tomorrow. Stock traced goes back to its bin and posts as adjustment gain.
* Validate adjustment gains of ₹10.3K against GRN and STO inward before month close.
* DHM to review every adjustment entry before posting for the next 7 days.
* IM to share ground RCA on manpower, DHM/SI changes and theft incidents by tomorrow.</t>
  </si>
  <si>
    <t xml:space="preserve">BLR-Magadi Road</t>
  </si>
  <si>
    <t xml:space="preserve">* Store is net positive by ₹5.3K because of adjustment gains of ₹7.6K. Gains to be checked for FCC stock traced vs GRN or STO inward misses.
* Loss buckets still open: FCC bin ₹1.7K, RTO loss ₹403 and Other bins ₹115.
* SKU-level data not shared for this store, so category and SKU view is not covered.
* Aisles A and N hold ₹3.5K, 53% of aisle-level loss.
* Clear FCC bin of ₹1.7K by tomorrow. Stock traced goes back to its bin and posts as adjustment gain.
* Validate adjustment gains of ₹7.6K against GRN and STO inward before month close.
* DHM to review every adjustment entry before posting for the next 7 days.
* IM to share ground RCA on manpower, DHM/SI changes and theft incidents by tomorrow.</t>
  </si>
  <si>
    <t xml:space="preserve">BLR-Electronic City Network-2</t>
  </si>
  <si>
    <t xml:space="preserve">* Store is net positive by ₹5.4K because of adjustment gains of ₹19.3K. Gains to be checked for FCC stock traced vs GRN or STO inward misses.
* Loss buckets still open: FCC bin ₹10.7K, RTO loss ₹2.8K and Shortpick ₹400.
* SKU-level data not shared for this store, so category and SKU view is not covered.
* Aisles C and A hold ₹19.6K, 79% of aisle-level loss.
* Clear FCC bin of ₹10.7K by tomorrow. Stock traced goes back to its bin and posts as adjustment gain.
* Reconcile RTO ₹2.8K with LM.
* Validate adjustment gains of ₹19.3K against GRN and STO inward before month close.
* DHM to review every adjustment entry before posting for the next 7 days.</t>
  </si>
  <si>
    <t xml:space="preserve">PAL-Kalpathy</t>
  </si>
  <si>
    <t xml:space="preserve">* Store is net positive by ₹5.5K because of adjustment gains of ₹5.5K. Gains to be checked for FCC stock traced vs GRN or STO inward misses.
* SKU-level data not shared for this store, so category and SKU view is not covered.
* Validate adjustment gains of ₹5.5K against GRN and STO inward before month close.
* DHM to review every adjustment entry before posting for the next 7 days.
* IM to share ground RCA on manpower, DHM/SI changes and theft incidents by tomorrow.</t>
  </si>
  <si>
    <t xml:space="preserve">HBL-Saptapur</t>
  </si>
  <si>
    <t xml:space="preserve">* Store is net positive by ₹5.6K because of adjustment gains of ₹5.6K. Gains to be checked for FCC stock traced vs GRN or STO inward misses.
* Loss buckets still open: RTO loss ₹8.
* SKU-level data not shared for this store, so category and SKU view is not covered.
* Aisles D and E hold ₹3.3K, 76% of aisle-level loss.
* Validate adjustment gains of ₹5.6K against GRN and STO inward before month close.
* DHM to review every adjustment entry before posting for the next 7 days.
* IM to share ground RCA on manpower, DHM/SI changes and theft incidents by tomorrow.</t>
  </si>
  <si>
    <t xml:space="preserve">BLR-Margosa road</t>
  </si>
  <si>
    <t xml:space="preserve">* Store is net positive by ₹5.6K because of adjustment gains of ₹11.0K. Gains to be checked for FCC stock traced vs GRN or STO inward misses.
* Loss buckets still open: FCC bin ₹4.2K, RTO loss ₹686, PO cancel ₹348 and Shortpick ₹197.
* SKU-level data not shared for this store, so category and SKU view is not covered.
* Aisles F and G hold ₹1.6K, 56% of aisle-level loss.
* Clear FCC bin of ₹4.2K by tomorrow. Stock traced goes back to its bin and posts as adjustment gain.
* Reconcile RTO ₹686 with LM.
* Validate adjustment gains of ₹11.0K against GRN and STO inward before month close.
* DHM to review every adjustment entry before posting for the next 7 days.</t>
  </si>
  <si>
    <t xml:space="preserve">BLR-YESHWANTPUR</t>
  </si>
  <si>
    <t xml:space="preserve">* Store is net positive by ₹6.1K because of adjustment gains of ₹10.0K. Gains to be checked for FCC stock traced vs GRN or STO inward misses.
* Loss buckets still open: FCC bin ₹3.9K.
* SKU-level data not shared for this store, so category and SKU view is not covered.
* Aisles C and E hold ₹10.0K, 62% of aisle-level loss.
* Clear FCC bin of ₹3.9K by tomorrow. Stock traced goes back to its bin and posts as adjustment gain.
* Validate adjustment gains of ₹10.0K against GRN and STO inward before month close.
* DHM to review every adjustment entry before posting for the next 7 days.
* IM to share ground RCA on manpower, DHM/SI changes and theft incidents by tomorrow.</t>
  </si>
  <si>
    <t xml:space="preserve">BLR- Sonnenahalli New</t>
  </si>
  <si>
    <t xml:space="preserve">* Store is net positive by ₹6.2K because of adjustment gains of ₹7.1K. Gains to be checked for FCC stock traced vs GRN or STO inward misses.
* Loss buckets still open: FCC bin ₹933 and STO short receipt ₹61.
* SKU-level data not shared for this store, so category and SKU view is not covered.
* Aisles B and A hold ₹4.7K, 85% of aisle-level loss.
* Clear FCC bin of ₹933 by tomorrow. Stock traced goes back to its bin and posts as adjustment gain.
* Validate adjustment gains of ₹7.1K against GRN and STO inward before month close.
* DHM to review every adjustment entry before posting for the next 7 days.
* IM to share ground RCA on manpower, DHM/SI changes and theft incidents by tomorrow.</t>
  </si>
  <si>
    <t xml:space="preserve">BLR-Bidaraguppe</t>
  </si>
  <si>
    <t xml:space="preserve">* Store is net positive by ₹6.3K because of adjustment gains of ₹6.7K. Gains to be checked for FCC stock traced vs GRN or STO inward misses.
* Loss buckets still open: FCC bin ₹356 and RTO loss ₹64.
* SKU-level data not shared for this store, so category and SKU view is not covered.
* Validate adjustment gains of ₹6.7K against GRN and STO inward before month close.
* DHM to review every adjustment entry before posting for the next 7 days.
* IM to share ground RCA on manpower, DHM/SI changes and theft incidents by tomorrow.</t>
  </si>
  <si>
    <t xml:space="preserve">COI-Nehru Nagar</t>
  </si>
  <si>
    <t xml:space="preserve">* Store is net positive by ₹6.4K because of adjustment gains of ₹6.4K. Gains to be checked for FCC stock traced vs GRN or STO inward misses.
* SKU-level data not shared for this store, so category and SKU view is not covered.
* Validate adjustment gains of ₹6.4K against GRN and STO inward before month close.
* DHM to review every adjustment entry before posting for the next 7 days.
* IM to share ground RCA on manpower, DHM/SI changes and theft incidents by tomorrow.</t>
  </si>
  <si>
    <t xml:space="preserve">BLR-JP Nagar Network</t>
  </si>
  <si>
    <t xml:space="preserve">* Store is net positive by ₹6.4K because of adjustment gains of ₹11.2K. Gains to be checked for FCC stock traced vs GRN or STO inward misses.
* Loss buckets still open: FCC bin ₹4.1K, STO short receipt ₹491 and RTO loss ₹182.
* SKU-level data not shared for this store, so category and SKU view is not covered.
* Aisles F and H hold ₹4.8K, 80% of aisle-level loss.
* Clear FCC bin of ₹4.1K by tomorrow. Stock traced goes back to its bin and posts as adjustment gain.
* Validate adjustment gains of ₹11.2K against GRN and STO inward before month close.
* DHM to review every adjustment entry before posting for the next 7 days.
* IM to share ground RCA on manpower, DHM/SI changes and theft incidents by tomorrow.</t>
  </si>
  <si>
    <t xml:space="preserve">MYQ-Rajendra Nagar</t>
  </si>
  <si>
    <t xml:space="preserve">* Store is net positive by ₹6.4K because of adjustment gains of ₹8.0K. Gains to be checked for FCC stock traced vs GRN or STO inward misses.
* Loss buckets still open: Shortpick ₹781, FCC bin ₹392 and RTO loss ₹380.
* SKU-level data not shared for this store, so category and SKU view is not covered.
* Aisles G and H hold ₹3.2K, 62% of aisle-level loss.
* Validate adjustment gains of ₹8.0K against GRN and STO inward before month close.
* DHM to review every adjustment entry before posting for the next 7 days.
* IM to share ground RCA on manpower, DHM/SI changes and theft incidents by tomorrow.</t>
  </si>
  <si>
    <t xml:space="preserve">BLR-Belathur</t>
  </si>
  <si>
    <t xml:space="preserve">* Store is net positive by ₹6.6K because of adjustment gains of ₹10.1K. Gains to be checked for FCC stock traced vs GRN or STO inward misses.
* Loss buckets still open: Other bins ₹1.2K, FCC bin ₹815, Shortpick ₹635 and STO short receipt ₹593.
* SKU-level data not shared for this store, so category and SKU view is not covered.
* Aisles D and F hold ₹8.7K, 95% of aisle-level loss.
* Clear FCC bin of ₹815 by tomorrow. Stock traced goes back to its bin and posts as adjustment gain.
* Reconcile STO short receipt ₹593 with MH and DH.
* Close out Other bins stock of ₹1.2K and post it back to inventory.
* Validate adjustment gains of ₹10.1K against GRN and STO inward before month close.</t>
  </si>
  <si>
    <t xml:space="preserve">PAL-TKV Nagar</t>
  </si>
  <si>
    <t xml:space="preserve">* Store is net positive by ₹6.6K because of adjustment gains of ₹6.6K. Gains to be checked for FCC stock traced vs GRN or STO inward misses.
* SKU-level data not shared for this store, so category and SKU view is not covered.
* Validate adjustment gains of ₹6.6K against GRN and STO inward before month close.
* DHM to review every adjustment entry before posting for the next 7 days.
* IM to share ground RCA on manpower, DHM/SI changes and theft incidents by tomorrow.</t>
  </si>
  <si>
    <t xml:space="preserve">BLR-Kannika Nagar</t>
  </si>
  <si>
    <t xml:space="preserve">* Store is net positive by ₹6.7K because of adjustment gains of ₹12.5K. Gains to be checked for FCC stock traced vs GRN or STO inward misses.
* Loss buckets still open: FCC bin ₹5.7K and Shortpick ₹30.
* SKU-level data not shared for this store, so category and SKU view is not covered.
* Aisles B and H hold ₹7.3K, 62% of aisle-level loss.
* Clear FCC bin of ₹5.7K by tomorrow. Stock traced goes back to its bin and posts as adjustment gain.
* Validate adjustment gains of ₹12.5K against GRN and STO inward before month close.
* DHM to review every adjustment entry before posting for the next 7 days.
* IM to share ground RCA on manpower, DHM/SI changes and theft incidents by tomorrow.</t>
  </si>
  <si>
    <t xml:space="preserve">BLR-TC Palaya</t>
  </si>
  <si>
    <t xml:space="preserve">* Store is net positive by ₹6.8K because of adjustment gains of ₹11.0K. Gains to be checked for FCC stock traced vs GRN or STO inward misses.
* Loss buckets still open: FCC bin ₹3.8K, Shortpick ₹260 and RTO loss ₹73.
* SKU-level data not shared for this store, so category and SKU view is not covered.
* Clear FCC bin of ₹3.8K by tomorrow. Stock traced goes back to its bin and posts as adjustment gain.
* Validate adjustment gains of ₹11.0K against GRN and STO inward before month close.
* DHM to review every adjustment entry before posting for the next 7 days.
* IM to share ground RCA on manpower, DHM/SI changes and theft incidents by tomorrow.</t>
  </si>
  <si>
    <t xml:space="preserve">BLR-Junnasandra</t>
  </si>
  <si>
    <t xml:space="preserve">* Store is net positive by ₹6.8K because of adjustment gains of ₹7.4K. Gains to be checked for FCC stock traced vs GRN or STO inward misses.
* Loss buckets still open: RTO loss ₹333 and FCC bin ₹190.
* SKU-level data not shared for this store, so category and SKU view is not covered.
* Validate adjustment gains of ₹7.4K against GRN and STO inward before month close.
* DHM to review every adjustment entry before posting for the next 7 days.
* IM to share ground RCA on manpower, DHM/SI changes and theft incidents by tomorrow.</t>
  </si>
  <si>
    <t xml:space="preserve">COI-Race Course</t>
  </si>
  <si>
    <t xml:space="preserve">* Store is net positive by ₹7.2K because of adjustment gains of ₹7.5K. Gains to be checked for FCC stock traced vs GRN or STO inward misses.
* Loss buckets still open: FCC bin ₹299.
* SKU-level data not shared for this store, so category and SKU view is not covered.
* Aisles H and Q hold ₹3.9K, 59% of aisle-level loss.
* Validate adjustment gains of ₹7.5K against GRN and STO inward before month close.
* DHM to review every adjustment entry before posting for the next 7 days.
* IM to share ground RCA on manpower, DHM/SI changes and theft incidents by tomorrow.</t>
  </si>
  <si>
    <t xml:space="preserve">BLR-Malleshwaram new</t>
  </si>
  <si>
    <t xml:space="preserve">* Store is net positive by ₹7.6K because of adjustment gains of ₹23.7K. Gains to be checked for FCC stock traced vs GRN or STO inward misses.
* Loss buckets still open: FCC bin ₹14.9K, RTO loss ₹878 and Shortpick ₹322.
* SKU-level data not shared for this store, so category and SKU view is not covered.
* Aisles H and I hold ₹19.4K, 78% of aisle-level loss.
* Clear FCC bin of ₹14.9K by tomorrow. Stock traced goes back to its bin and posts as adjustment gain.
* Reconcile RTO ₹878 with LM.
* Validate adjustment gains of ₹23.7K against GRN and STO inward before month close.
* DHM to review every adjustment entry before posting for the next 7 days.</t>
  </si>
  <si>
    <t xml:space="preserve">BLR-Kadarenahalli SS</t>
  </si>
  <si>
    <t xml:space="preserve">* Store is net positive by ₹7.6K because of adjustment gains of ₹10.8K. Gains to be checked for FCC stock traced vs GRN or STO inward misses.
* Loss buckets still open: FCC bin ₹3.1K.
* SKU-level data not shared for this store, so category and SKU view is not covered.
* Clear FCC bin of ₹3.1K by tomorrow. Stock traced goes back to its bin and posts as adjustment gain.
* Validate adjustment gains of ₹10.8K against GRN and STO inward before month close.
* DHM to review every adjustment entry before posting for the next 7 days.
* IM to share ground RCA on manpower, DHM/SI changes and theft incidents by tomorrow.</t>
  </si>
  <si>
    <t xml:space="preserve">BLR-Kadugodi</t>
  </si>
  <si>
    <t xml:space="preserve">* Store is net positive by ₹7.7K because of adjustment gains of ₹9.1K. Gains to be checked for FCC stock traced vs GRN or STO inward misses.
* Loss buckets still open: FCC bin ₹1.0K, Other bins ₹336, RTO loss ₹56 and Shortpick ₹27.
* SKU-level data not shared for this store, so category and SKU view is not covered.
* Aisles N and F hold ₹9.1K, 71% of aisle-level loss.
* Clear FCC bin of ₹1.0K by tomorrow. Stock traced goes back to its bin and posts as adjustment gain.
* Validate adjustment gains of ₹9.1K against GRN and STO inward before month close.
* DHM to review every adjustment entry before posting for the next 7 days.
* IM to share ground RCA on manpower, DHM/SI changes and theft incidents by tomorrow.</t>
  </si>
  <si>
    <t xml:space="preserve">BLR-RAGHAVENDRA LAYOUT NETWORK 2</t>
  </si>
  <si>
    <t xml:space="preserve">* Store is net positive by ₹7.8K because of adjustment gains of ₹12.9K. Gains to be checked for FCC stock traced vs GRN or STO inward misses.
* Loss buckets still open: FCC bin ₹4.5K and Shortpick ₹648.
* SKU-level data not shared for this store, so category and SKU view is not covered.
* Aisles C and G hold ₹3.1K, 54% of aisle-level loss.
* Clear FCC bin of ₹4.5K by tomorrow. Stock traced goes back to its bin and posts as adjustment gain.
* Validate adjustment gains of ₹12.9K against GRN and STO inward before month close.
* DHM to review every adjustment entry before posting for the next 7 days.
* IM to share ground RCA on manpower, DHM/SI changes and theft incidents by tomorrow.</t>
  </si>
  <si>
    <t xml:space="preserve">KOC-Kakkanad</t>
  </si>
  <si>
    <t xml:space="preserve">* Store is net positive by ₹8.0K because of adjustment gains of ₹19.5K. Gains to be checked for FCC stock traced vs GRN or STO inward misses.
* Loss buckets still open: FCC bin ₹6.7K, STO short receipt ₹3.8K and Other bins ₹1.0K.
* SKU-level data not shared for this store, so category and SKU view is not covered.
* Aisles G and Q hold ₹2.8K, 61% of aisle-level loss.
* Clear FCC bin of ₹6.7K by tomorrow. Stock traced goes back to its bin and posts as adjustment gain.
* Reconcile STO short receipt ₹3.8K with MH and DH.
* Close out Other bins stock of ₹1.0K and post it back to inventory.
* Validate adjustment gains of ₹19.5K against GRN and STO inward before month close.</t>
  </si>
  <si>
    <t xml:space="preserve">BLR-Chickpet New</t>
  </si>
  <si>
    <t xml:space="preserve">* Store is net positive by ₹8.1K because of adjustment gains of ₹23.5K. Gains to be checked for FCC stock traced vs GRN or STO inward misses.
* Loss buckets still open: FCC bin ₹12.8K, STO short receipt ₹1.1K, Shortpick ₹842 and RTO loss ₹622.
* SKU-level data not shared for this store, so category and SKU view is not covered.
* Aisles O and P hold ₹15.2K, 74% of aisle-level loss.
* Clear FCC bin of ₹12.8K by tomorrow. Stock traced goes back to its bin and posts as adjustment gain.
* Reconcile RTO ₹622 with LM and STO short receipt ₹1.1K with MH and DH.
* Validate adjustment gains of ₹23.5K against GRN and STO inward before month close.
* DHM to review every adjustment entry before posting for the next 7 days.</t>
  </si>
  <si>
    <t xml:space="preserve">KOC-Aluva</t>
  </si>
  <si>
    <t xml:space="preserve">* Store is net positive by ₹8.6K because of adjustment gains of ₹10.1K. Gains to be checked for FCC stock traced vs GRN or STO inward misses.
* Loss buckets still open: FCC bin ₹1.1K and RTO loss ₹443.
* SKU-level data not shared for this store, so category and SKU view is not covered.
* Aisles F and O hold ₹2.4K, 75% of aisle-level loss.
* Clear FCC bin of ₹1.1K by tomorrow. Stock traced goes back to its bin and posts as adjustment gain.
* Validate adjustment gains of ₹10.1K against GRN and STO inward before month close.
* DHM to review every adjustment entry before posting for the next 7 days.
* IM to share ground RCA on manpower, DHM/SI changes and theft incidents by tomorrow.</t>
  </si>
  <si>
    <t xml:space="preserve">HBL-Gokul Road</t>
  </si>
  <si>
    <t xml:space="preserve">* Store is net positive by ₹8.6K because of adjustment gains of ₹15.6K. Gains to be checked for FCC stock traced vs GRN or STO inward misses.
* Loss buckets still open: FCC bin ₹5.9K, Other bins ₹641 and RTO loss ₹555.
* SKU-level data not shared for this store, so category and SKU view is not covered.
* Aisles N and D hold ₹1.2K, 51% of aisle-level loss.
* Clear FCC bin of ₹5.9K by tomorrow. Stock traced goes back to its bin and posts as adjustment gain.
* Reconcile RTO ₹555 with LM.
* Close out Other bins stock of ₹641 and post it back to inventory.
* Validate adjustment gains of ₹15.6K against GRN and STO inward before month close.</t>
  </si>
  <si>
    <t xml:space="preserve">BLR-TMC Layout</t>
  </si>
  <si>
    <t xml:space="preserve">* Store is net positive by ₹8.9K because of adjustment gains of ₹12.0K. Gains to be checked for FCC stock traced vs GRN or STO inward misses.
* Loss buckets still open: FCC bin ₹2.8K and RTO loss ₹346.
* SKU-level data not shared for this store, so category and SKU view is not covered.
* Aisles B and A hold ₹2.1K, 73% of aisle-level loss.
* Clear FCC bin of ₹2.8K by tomorrow. Stock traced goes back to its bin and posts as adjustment gain.
* Validate adjustment gains of ₹12.0K against GRN and STO inward before month close.
* DHM to review every adjustment entry before posting for the next 7 days.
* IM to share ground RCA on manpower, DHM/SI changes and theft incidents by tomorrow.</t>
  </si>
  <si>
    <t xml:space="preserve">BLR-CV Raman Nagar Network</t>
  </si>
  <si>
    <t xml:space="preserve">* Store is net positive by ₹9.2K because of adjustment gains of ₹19.4K. Gains to be checked for FCC stock traced vs GRN or STO inward misses.
* Loss buckets still open: FCC bin ₹9.5K, RTO loss ₹471, Other bins ₹179 and Shortpick ₹43.
* SKU-level data not shared for this store, so category and SKU view is not covered.
* Clear FCC bin of ₹9.5K by tomorrow. Stock traced goes back to its bin and posts as adjustment gain.
* Validate adjustment gains of ₹19.4K against GRN and STO inward before month close.
* DHM to review every adjustment entry before posting for the next 7 days.
* IM to share ground RCA on manpower, DHM/SI changes and theft incidents by tomorrow.</t>
  </si>
  <si>
    <t xml:space="preserve">COI-Ramnathapuram</t>
  </si>
  <si>
    <t xml:space="preserve">* Store is net positive by ₹9.3K because of adjustment gains of ₹11.9K. Gains to be checked for FCC stock traced vs GRN or STO inward misses.
* Loss buckets still open: FCC bin ₹2.4K and RTO loss ₹246.
* SKU-level data not shared for this store, so category and SKU view is not covered.
* Aisles C and M hold ₹7.3K, 53% of aisle-level loss.
* Clear FCC bin of ₹2.4K by tomorrow. Stock traced goes back to its bin and posts as adjustment gain.
* Validate adjustment gains of ₹11.9K against GRN and STO inward before month close.
* DHM to review every adjustment entry before posting for the next 7 days.
* IM to share ground RCA on manpower, DHM/SI changes and theft incidents by tomorrow.</t>
  </si>
  <si>
    <t xml:space="preserve">BLR-HSR-Flower-Shop-1</t>
  </si>
  <si>
    <t xml:space="preserve">* Store is net positive by ₹9.4K because of adjustment gains of ₹10.3K. Gains to be checked for FCC stock traced vs GRN or STO inward misses.
* Loss buckets still open: RTO loss ₹953.
* SKU-level data not shared for this store, so category and SKU view is not covered.
* Reconcile RTO ₹953 with LM.
* Validate adjustment gains of ₹10.3K against GRN and STO inward before month close.
* DHM to review every adjustment entry before posting for the next 7 days.
* IM to share ground RCA on manpower, DHM/SI changes and theft incidents by tomorrow.</t>
  </si>
  <si>
    <t xml:space="preserve">KOC-Friendship nagar</t>
  </si>
  <si>
    <t xml:space="preserve">* Store is net positive by ₹10.2K because of adjustment gains of ₹17.9K. Gains to be checked for FCC stock traced vs GRN or STO inward misses.
* Loss buckets still open: FCC bin ₹6.4K, Other bins ₹624, RTO loss ₹509 and Shortpick ₹74.
* SKU-level data not shared for this store, so category and SKU view is not covered.
* Aisles G and H hold ₹9.4K, 78% of aisle-level loss.
* Clear FCC bin of ₹6.4K by tomorrow. Stock traced goes back to its bin and posts as adjustment gain.
* Reconcile RTO ₹509 with LM.
* Close out Other bins stock of ₹624 and post it back to inventory.
* Validate adjustment gains of ₹17.9K against GRN and STO inward before month close.</t>
  </si>
  <si>
    <t xml:space="preserve">BLR-JP Nagar SS</t>
  </si>
  <si>
    <t xml:space="preserve">* Store is net positive by ₹11.0K because of adjustment gains of ₹11.0K. Gains to be checked for FCC stock traced vs GRN or STO inward misses.
* SKU-level data not shared for this store, so category and SKU view is not covered.
* Validate adjustment gains of ₹11.0K against GRN and STO inward before month close.
* DHM to review every adjustment entry before posting for the next 7 days.
* IM to share ground RCA on manpower, DHM/SI changes and theft incidents by tomorrow.</t>
  </si>
  <si>
    <t xml:space="preserve">BLR-Abbigere</t>
  </si>
  <si>
    <t xml:space="preserve">* Store is net positive by ₹11.1K because of adjustment gains of ₹11.1K. Gains to be checked for FCC stock traced vs GRN or STO inward misses.
* Loss buckets still open: RTO loss ₹48.
* SKU-level data not shared for this store, so category and SKU view is not covered.
* Aisles H and 1 hold ₹2.2K, 73% of aisle-level loss.
* Validate adjustment gains of ₹11.1K against GRN and STO inward before month close.
* DHM to review every adjustment entry before posting for the next 7 days.
* IM to share ground RCA on manpower, DHM/SI changes and theft incidents by tomorrow.</t>
  </si>
  <si>
    <t xml:space="preserve">BLR-GUNJUR Network</t>
  </si>
  <si>
    <t xml:space="preserve">* Store is net positive by ₹11.1K because of adjustment gains of ₹14.1K. Gains to be checked for FCC stock traced vs GRN or STO inward misses.
* Loss buckets still open: STO short receipt ₹1.4K, FCC bin ₹1.0K, PO cancel ₹506 and RTO loss ₹62.
* SKU-level data not shared for this store, so category and SKU view is not covered.
* Clear FCC bin of ₹1.0K by tomorrow. Stock traced goes back to its bin and posts as adjustment gain.
* Reconcile STO short receipt ₹1.4K with MH and DH and PO cancel ₹506 with procurement and DH.
* Validate adjustment gains of ₹14.1K against GRN and STO inward before month close.
* DHM to review every adjustment entry before posting for the next 7 days.</t>
  </si>
  <si>
    <t xml:space="preserve">BLR-New Gurappanya Palya</t>
  </si>
  <si>
    <t xml:space="preserve">* Store is net positive by ₹11.3K because of adjustment gains of ₹13.1K. Gains to be checked for FCC stock traced vs GRN or STO inward misses.
* Loss buckets still open: FCC bin ₹1.4K, Shortpick ₹232, RTO loss ₹107 and STO short receipt ₹54.
* SKU-level data not shared for this store, so category and SKU view is not covered.
* Aisles H and G hold ₹6.9K, 87% of aisle-level loss.
* Clear FCC bin of ₹1.4K by tomorrow. Stock traced goes back to its bin and posts as adjustment gain.
* Validate adjustment gains of ₹13.1K against GRN and STO inward before month close.
* DHM to review every adjustment entry before posting for the next 7 days.
* IM to share ground RCA on manpower, DHM/SI changes and theft incidents by tomorrow.</t>
  </si>
  <si>
    <t xml:space="preserve">BLR-Silicon Town</t>
  </si>
  <si>
    <t xml:space="preserve">* Store is net positive by ₹11.3K because of adjustment gains of ₹25.2K. Gains to be checked for FCC stock traced vs GRN or STO inward misses.
* Loss buckets still open: FCC bin ₹13.6K and RTO loss ₹258.
* SKU-level data not shared for this store, so category and SKU view is not covered.
* Aisles J and I hold ₹1.5K, 55% of aisle-level loss.
* Clear FCC bin of ₹13.6K by tomorrow. Stock traced goes back to its bin and posts as adjustment gain.
* Validate adjustment gains of ₹25.2K against GRN and STO inward before month close.
* DHM to review every adjustment entry before posting for the next 7 days.
* IM to share ground RCA on manpower, DHM/SI changes and theft incidents by tomorrow.</t>
  </si>
  <si>
    <t xml:space="preserve">BLR-Varthur</t>
  </si>
  <si>
    <t xml:space="preserve">* Store is net positive by ₹11.3K because of adjustment gains of ₹18.1K. Gains to be checked for FCC stock traced vs GRN or STO inward misses.
* Loss buckets still open: FCC bin ₹5.9K and RTO loss ₹863.
* SKU-level data not shared for this store, so category and SKU view is not covered.
* Aisles N and B hold ₹7.0K, 60% of aisle-level loss.
* Clear FCC bin of ₹5.9K by tomorrow. Stock traced goes back to its bin and posts as adjustment gain.
* Reconcile RTO ₹863 with LM.
* Validate adjustment gains of ₹18.1K against GRN and STO inward before month close.
* DHM to review every adjustment entry before posting for the next 7 days.</t>
  </si>
  <si>
    <t xml:space="preserve">BLR-Peenya SS</t>
  </si>
  <si>
    <t xml:space="preserve">* Store is net positive by ₹11.4K because of adjustment gains of ₹13.1K. Gains to be checked for FCC stock traced vs GRN or STO inward misses.
* Loss buckets still open: RTO loss ₹966 and FCC bin ₹756.
* SKU-level data not shared for this store, so category and SKU view is not covered.
* Aisles F and O hold ₹6.3K, 56% of aisle-level loss.
* Clear FCC bin of ₹756 by tomorrow. Stock traced goes back to its bin and posts as adjustment gain.
* Reconcile RTO ₹966 with LM.
* Validate adjustment gains of ₹13.1K against GRN and STO inward before month close.
* DHM to review every adjustment entry before posting for the next 7 days.</t>
  </si>
  <si>
    <t xml:space="preserve">BLR-Bannerghatta Network 2</t>
  </si>
  <si>
    <t xml:space="preserve">* Store is net positive by ₹11.6K because of adjustment gains of ₹15.3K. Gains to be checked for FCC stock traced vs GRN or STO inward misses.
* Loss buckets still open: FCC bin ₹2.0K, RTO loss ₹1.1K, STO short receipt ₹323 and Shortpick ₹262.
* SKU-level data not shared for this store, so category and SKU view is not covered.
* Aisles H and G hold ₹10.1K, 88% of aisle-level loss.
* Clear FCC bin of ₹2.0K by tomorrow. Stock traced goes back to its bin and posts as adjustment gain.
* Reconcile RTO ₹1.1K with LM.
* Validate adjustment gains of ₹15.3K against GRN and STO inward before month close.
* DHM to review every adjustment entry before posting for the next 7 days.</t>
  </si>
  <si>
    <t xml:space="preserve">BLR-Iggalur</t>
  </si>
  <si>
    <t xml:space="preserve">* Store is net positive by ₹11.6K because of adjustment gains of ₹12.3K. Gains to be checked for FCC stock traced vs GRN or STO inward misses.
* Loss buckets still open: FCC bin ₹627 and RTO loss ₹36.
* SKU-level data not shared for this store, so category and SKU view is not covered.
* Aisles J and F hold ₹1.9K, 94% of aisle-level loss.
* Clear FCC bin of ₹627 by tomorrow. Stock traced goes back to its bin and posts as adjustment gain.
* Validate adjustment gains of ₹12.3K against GRN and STO inward before month close.
* DHM to review every adjustment entry before posting for the next 7 days.
* IM to share ground RCA on manpower, DHM/SI changes and theft incidents by tomorrow.</t>
  </si>
  <si>
    <t xml:space="preserve">MYQ-Vijayanagar</t>
  </si>
  <si>
    <t xml:space="preserve">* Store is net positive by ₹11.8K because of adjustment gains of ₹13.0K. Gains to be checked for FCC stock traced vs GRN or STO inward misses.
* Loss buckets still open: RTO loss ₹573, FCC bin ₹551 and PO cancel ₹19.
* SKU-level data not shared for this store, so category and SKU view is not covered.
* Aisles F and B hold ₹3.1K, 62% of aisle-level loss.
* Clear FCC bin of ₹551 by tomorrow. Stock traced goes back to its bin and posts as adjustment gain.
* Reconcile RTO ₹573 with LM.
* Validate adjustment gains of ₹13.0K against GRN and STO inward before month close.
* DHM to review every adjustment entry before posting for the next 7 days.</t>
  </si>
  <si>
    <t xml:space="preserve">BLR-Vijay Nagar SS</t>
  </si>
  <si>
    <t xml:space="preserve">* Store is net positive by ₹12.1K because of adjustment gains of ₹14.6K. Gains to be checked for FCC stock traced vs GRN or STO inward misses.
* Loss buckets still open: FCC bin ₹1.9K and RTO loss ₹534.
* SKU-level data not shared for this store, so category and SKU view is not covered.
* Aisles P15 and Q hold ₹1.7K, 60% of aisle-level loss.
* Clear FCC bin of ₹1.9K by tomorrow. Stock traced goes back to its bin and posts as adjustment gain.
* Reconcile RTO ₹534 with LM.
* Validate adjustment gains of ₹14.6K against GRN and STO inward before month close.
* DHM to review every adjustment entry before posting for the next 7 days.</t>
  </si>
  <si>
    <t xml:space="preserve">BLR-Mico Layout Network</t>
  </si>
  <si>
    <t xml:space="preserve">* Store is net positive by ₹12.5K because of adjustment gains of ₹18.9K. Gains to be checked for FCC stock traced vs GRN or STO inward misses.
* Loss buckets still open: FCC bin ₹6.3K and RTO loss ₹146.
* SKU-level data not shared for this store, so category and SKU view is not covered.
* Aisles A and G hold ₹2.9K, 56% of aisle-level loss.
* Clear FCC bin of ₹6.3K by tomorrow. Stock traced goes back to its bin and posts as adjustment gain.
* Validate adjustment gains of ₹18.9K against GRN and STO inward before month close.
* DHM to review every adjustment entry before posting for the next 7 days.
* IM to share ground RCA on manpower, DHM/SI changes and theft incidents by tomorrow.</t>
  </si>
  <si>
    <t xml:space="preserve">BLR-Malagala</t>
  </si>
  <si>
    <t xml:space="preserve">* Store is net positive by ₹13.2K because of adjustment gains of ₹13.3K. Gains to be checked for FCC stock traced vs GRN or STO inward misses.
* Loss buckets still open: Shortpick ₹63 and RTO loss ₹23.
* SKU-level data not shared for this store, so category and SKU view is not covered.
* Validate adjustment gains of ₹13.3K against GRN and STO inward before month close.
* DHM to review every adjustment entry before posting for the next 7 days.
* IM to share ground RCA on manpower, DHM/SI changes and theft incidents by tomorrow.</t>
  </si>
  <si>
    <t xml:space="preserve">BLR-Chikkajala</t>
  </si>
  <si>
    <t xml:space="preserve">* Store is net positive by ₹13.3K because of adjustment gains of ₹13.5K. Gains to be checked for FCC stock traced vs GRN or STO inward misses.
* Loss buckets still open: FCC bin ₹154 and RTO loss ₹51.
* SKU-level data not shared for this store, so category and SKU view is not covered.
* Validate adjustment gains of ₹13.5K against GRN and STO inward before month close.
* DHM to review every adjustment entry before posting for the next 7 days.
* IM to share ground RCA on manpower, DHM/SI changes and theft incidents by tomorrow.</t>
  </si>
  <si>
    <t xml:space="preserve">BLR-Kambipura</t>
  </si>
  <si>
    <t xml:space="preserve">* Store is net positive by ₹13.8K because of adjustment gains of ₹16.1K. Gains to be checked for FCC stock traced vs GRN or STO inward misses.
* Loss buckets still open: FCC bin ₹2.1K, Shortpick ₹124 and RTO loss ₹27.
* SKU-level data not shared for this store, so category and SKU view is not covered.
* Aisles D and B hold ₹1.9K, 80% of aisle-level loss.
* Clear FCC bin of ₹2.1K by tomorrow. Stock traced goes back to its bin and posts as adjustment gain.
* Validate adjustment gains of ₹16.1K against GRN and STO inward before month close.
* DHM to review every adjustment entry before posting for the next 7 days.
* IM to share ground RCA on manpower, DHM/SI changes and theft incidents by tomorrow.</t>
  </si>
  <si>
    <t xml:space="preserve">BLR-JP Nagar Network-2</t>
  </si>
  <si>
    <t xml:space="preserve">* Store is net positive by ₹15.3K because of adjustment gains of ₹49.3K. Gains to be checked for FCC stock traced vs GRN or STO inward misses.
* Loss buckets still open: Shortpick ₹34.0K.
* SKU-level data not shared for this store, so category and SKU view is not covered.
* Cycle count the shortpick bins against the ₹34.0K shortpick value.
* Validate adjustment gains of ₹49.3K against GRN and STO inward before month close.
* DHM to review every adjustment entry before posting for the next 7 days.
* IM to share ground RCA on manpower, DHM/SI changes and theft incidents by tomorrow.</t>
  </si>
  <si>
    <t xml:space="preserve">MYQ-Chamrajpura</t>
  </si>
  <si>
    <t xml:space="preserve">* Store is net positive by ₹15.5K because of adjustment gains of ₹15.7K. Gains to be checked for FCC stock traced vs GRN or STO inward misses.
* Loss buckets still open: FCC bin ₹91 and RTO loss ₹63.
* SKU-level data not shared for this store, so category and SKU view is not covered.
* Aisles L and I hold ₹5.4K, 87% of aisle-level loss.
* Validate adjustment gains of ₹15.7K against GRN and STO inward before month close.
* DHM to review every adjustment entry before posting for the next 7 days.
* IM to share ground RCA on manpower, DHM/SI changes and theft incidents by tomorrow.</t>
  </si>
  <si>
    <t xml:space="preserve">BLR-Whitefield New</t>
  </si>
  <si>
    <t xml:space="preserve">* Store is net positive by ₹16.2K because of adjustment gains of ₹23.3K. Gains to be checked for FCC stock traced vs GRN or STO inward misses.
* Loss buckets still open: FCC bin ₹6.3K, RTO loss ₹692 and Shortpick ₹143.
* SKU-level data not shared for this store, so category and SKU view is not covered.
* Aisles UU and I hold ₹6.0K, 71% of aisle-level loss.
* Clear FCC bin of ₹6.3K by tomorrow. Stock traced goes back to its bin and posts as adjustment gain.
* Reconcile RTO ₹692 with LM.
* Validate adjustment gains of ₹23.3K against GRN and STO inward before month close.
* DHM to review every adjustment entry before posting for the next 7 days.</t>
  </si>
  <si>
    <t xml:space="preserve">BLR-BTM-2 New</t>
  </si>
  <si>
    <t xml:space="preserve">* Store is net positive by ₹16.6K because of adjustment gains of ₹22.6K. Gains to be checked for FCC stock traced vs GRN or STO inward misses.
* Loss buckets still open: FCC bin ₹3.3K, Other bins ₹1.8K, RTO loss ₹680 and Shortpick ₹123.
* SKU-level data not shared for this store, so category and SKU view is not covered.
* Aisles B and L hold ₹1.7K, 73% of aisle-level loss.
* Clear FCC bin of ₹3.3K by tomorrow. Stock traced goes back to its bin and posts as adjustment gain.
* Reconcile RTO ₹680 with LM.
* Close out Other bins stock of ₹1.8K and post it back to inventory.
* Validate adjustment gains of ₹22.6K against GRN and STO inward before month close.</t>
  </si>
  <si>
    <t xml:space="preserve">BLR-BEML Layout</t>
  </si>
  <si>
    <t xml:space="preserve">* Store is net positive by ₹16.7K because of adjustment gains of ₹19.9K. Gains to be checked for FCC stock traced vs GRN or STO inward misses.
* Loss buckets still open: FCC bin ₹3.0K, RTO loss ₹129 and Shortpick ₹18.
* SKU-level data not shared for this store, so category and SKU view is not covered.
* Clear FCC bin of ₹3.0K by tomorrow. Stock traced goes back to its bin and posts as adjustment gain.
* Validate adjustment gains of ₹19.9K against GRN and STO inward before month close.
* DHM to review every adjustment entry before posting for the next 7 days.
* IM to share ground RCA on manpower, DHM/SI changes and theft incidents by tomorrow.</t>
  </si>
  <si>
    <t xml:space="preserve">BLR-Sunrise Layout</t>
  </si>
  <si>
    <t xml:space="preserve">* Store is net positive by ₹18.3K because of adjustment gains of ₹22.3K. Gains to be checked for FCC stock traced vs GRN or STO inward misses.
* Loss buckets still open: FCC bin ₹3.8K and RTO loss ₹231.
* SKU-level data not shared for this store, so category and SKU view is not covered.
* Aisles I and 1 hold ₹6.9K, 94% of aisle-level loss.
* Clear FCC bin of ₹3.8K by tomorrow. Stock traced goes back to its bin and posts as adjustment gain.
* Validate adjustment gains of ₹22.3K against GRN and STO inward before month close.
* DHM to review every adjustment entry before posting for the next 7 days.
* IM to share ground RCA on manpower, DHM/SI changes and theft incidents by tomorrow.</t>
  </si>
  <si>
    <t xml:space="preserve">BLR-27th Main Road</t>
  </si>
  <si>
    <t xml:space="preserve">* Store is net positive by ₹19.4K because of adjustment gains of ₹22.5K. Gains to be checked for FCC stock traced vs GRN or STO inward misses.
* Loss buckets still open: FCC bin ₹2.4K and RTO loss ₹697.
* SKU-level data not shared for this store, so category and SKU view is not covered.
* Aisles A and E hold ₹5.7K, 82% of aisle-level loss.
* Clear FCC bin of ₹2.4K by tomorrow. Stock traced goes back to its bin and posts as adjustment gain.
* Reconcile RTO ₹697 with LM.
* Validate adjustment gains of ₹22.5K against GRN and STO inward before month close.
* DHM to review every adjustment entry before posting for the next 7 days.</t>
  </si>
  <si>
    <t xml:space="preserve">BLR-Goraguntepalya</t>
  </si>
  <si>
    <t xml:space="preserve">* Store is net positive by ₹21.3K because of adjustment gains of ₹22.3K. Gains to be checked for FCC stock traced vs GRN or STO inward misses.
* Loss buckets still open: Other bins ₹854, RTO loss ₹51 and FCC bin ₹19.
* SKU-level data not shared for this store, so category and SKU view is not covered.
* Close out Other bins stock of ₹854 and post it back to inventory.
* Validate adjustment gains of ₹22.3K against GRN and STO inward before month close.
* DHM to review every adjustment entry before posting for the next 7 days.
* IM to share ground RCA on manpower, DHM/SI changes and theft incidents by tomorrow.</t>
  </si>
  <si>
    <t xml:space="preserve">BLR-Singasandra Network</t>
  </si>
  <si>
    <t xml:space="preserve">* Store is net positive by ₹22.6K because of adjustment gains of ₹25.2K. Gains to be checked for FCC stock traced vs GRN or STO inward misses.
* Loss buckets still open: FCC bin ₹2.5K and RTO loss ₹113.
* SKU-level data not shared for this store, so category and SKU view is not covered.
* Aisles I and H hold ₹6.8K, 100% of aisle-level loss.
* Clear FCC bin of ₹2.5K by tomorrow. Stock traced goes back to its bin and posts as adjustment gain.
* Validate adjustment gains of ₹25.2K against GRN and STO inward before month close.
* DHM to review every adjustment entry before posting for the next 7 days.
* IM to share ground RCA on manpower, DHM/SI changes and theft incidents by tomorrow.</t>
  </si>
  <si>
    <t xml:space="preserve">BLR-Hadosiddapura</t>
  </si>
  <si>
    <t xml:space="preserve">* Store is net positive by ₹23.2K because of adjustment gains of ₹26.1K. Gains to be checked for FCC stock traced vs GRN or STO inward misses.
* Loss buckets still open: FCC bin ₹1.5K, Shortpick ₹527, Other bins ₹434 and STO short receipt ₹404.
* SKU-level data not shared for this store, so category and SKU view is not covered.
* Aisles I and G hold ₹2.4K, 74% of aisle-level loss.
* Clear FCC bin of ₹1.5K by tomorrow. Stock traced goes back to its bin and posts as adjustment gain.
* Validate adjustment gains of ₹26.1K against GRN and STO inward before month close.
* DHM to review every adjustment entry before posting for the next 7 days.
* IM to share ground RCA on manpower, DHM/SI changes and theft incidents by tomorrow.</t>
  </si>
  <si>
    <t xml:space="preserve">BLR-Mathikere New</t>
  </si>
  <si>
    <t xml:space="preserve">* Store is net positive by ₹25.1K because of adjustment gains of ₹27.5K. Gains to be checked for FCC stock traced vs GRN or STO inward misses.
* Loss buckets still open: STO short receipt ₹2.3K and RTO loss ₹134.
* SKU-level data not shared for this store, so category and SKU view is not covered.
* Aisles I and K hold ₹5.5K, 59% of aisle-level loss.
* Reconcile STO short receipt ₹2.3K with MH and DH.
* Validate adjustment gains of ₹27.5K against GRN and STO inward before month close.
* DHM to review every adjustment entry before posting for the next 7 days.
* IM to share ground RCA on manpower, DHM/SI changes and theft incidents by tomorrow.</t>
  </si>
  <si>
    <t xml:space="preserve">BLR-Whitefield Network-2</t>
  </si>
  <si>
    <t xml:space="preserve">* Store is net positive by ₹25.8K because of adjustment gains of ₹35.3K. Gains to be checked for FCC stock traced vs GRN or STO inward misses.
* Loss buckets still open: FCC bin ₹5.0K, Shortpick ₹4.4K and RTO loss ₹203.
* SKU-level data not shared for this store, so category and SKU view is not covered.
* Aisles A and S hold ₹3.7K, 82% of aisle-level loss.
* Clear FCC bin of ₹5.0K by tomorrow. Stock traced goes back to its bin and posts as adjustment gain.
* Cycle count the shortpick bins against the ₹4.4K shortpick value.
* Validate adjustment gains of ₹35.3K against GRN and STO inward before month close.
* DHM to review every adjustment entry before posting for the next 7 days.</t>
  </si>
  <si>
    <t xml:space="preserve">COI-Singanallur</t>
  </si>
  <si>
    <t xml:space="preserve">* Store is net positive by ₹28.5K because of adjustment gains of ₹29.0K. Gains to be checked for FCC stock traced vs GRN or STO inward misses.
* Loss buckets still open: FCC bin ₹468.
* SKU-level data not shared for this store, so category and SKU view is not covered.
* Aisles H and G hold ₹5.6K, 80% of aisle-level loss.
* Validate adjustment gains of ₹29.0K against GRN and STO inward before month close.
* DHM to review every adjustment entry before posting for the next 7 days.
* IM to share ground RCA on manpower, DHM/SI changes and theft incidents by tomorrow.</t>
  </si>
  <si>
    <t xml:space="preserve">BLR - Bhadrappa Layout</t>
  </si>
  <si>
    <t xml:space="preserve">* Store is net positive by ₹30.9K because of adjustment gains of ₹31.9K. Gains to be checked for FCC stock traced vs GRN or STO inward misses.
* Loss buckets still open: FCC bin ₹673, RTO loss ₹307 and Shortpick ₹73.
* SKU-level data not shared for this store, so category and SKU view is not covered.
* Aisles S and 1 hold ₹2.6K, 100% of aisle-level loss.
* Clear FCC bin of ₹673 by tomorrow. Stock traced goes back to its bin and posts as adjustment gain.
* Validate adjustment gains of ₹31.9K against GRN and STO inward before month close.
* DHM to review every adjustment entry before posting for the next 7 days.
* IM to share ground RCA on manpower, DHM/SI changes and theft incidents by tomorrow.</t>
  </si>
  <si>
    <t xml:space="preserve">BLR-Gunjur New</t>
  </si>
  <si>
    <t xml:space="preserve">* Store is net positive by ₹31.3K because of adjustment gains of ₹46.5K. Gains to be checked for FCC stock traced vs GRN or STO inward misses.
* Loss buckets still open: FCC bin ₹14.8K and RTO loss ₹516.
* SKU-level data not shared for this store, so category and SKU view is not covered.
* Aisles D and G hold ₹10.3K, 62% of aisle-level loss.
* Clear FCC bin of ₹14.8K by tomorrow. Stock traced goes back to its bin and posts as adjustment gain.
* Reconcile RTO ₹516 with LM.
* Validate adjustment gains of ₹46.5K against GRN and STO inward before month close.
* DHM to review every adjustment entry before posting for the next 7 days.</t>
  </si>
  <si>
    <t xml:space="preserve">BLR-Michael Palaya</t>
  </si>
  <si>
    <t xml:space="preserve">* Store is net positive by ₹34.7K because of adjustment gains of ₹38.2K. Gains to be checked for FCC stock traced vs GRN or STO inward misses.
* Loss buckets still open: RTO loss ₹1.3K, FCC bin ₹1.2K and Shortpick ₹970.
* SKU-level data not shared for this store, so category and SKU view is not covered.
* Aisles F and B hold ₹3.7K, 100% of aisle-level loss.
* Clear FCC bin of ₹1.2K by tomorrow. Stock traced goes back to its bin and posts as adjustment gain.
* Reconcile RTO ₹1.3K with LM.
* Validate adjustment gains of ₹38.2K against GRN and STO inward before month close.
* DHM to review every adjustment entry before posting for the next 7 days.</t>
  </si>
  <si>
    <t xml:space="preserve">BLR-Agrahara Road</t>
  </si>
  <si>
    <t xml:space="preserve">* Store is net positive by ₹36.7K because of adjustment gains of ₹39.5K. Gains to be checked for FCC stock traced vs GRN or STO inward misses.
* Loss buckets still open: FCC bin ₹2.4K, Shortpick ₹195 and RTO loss ₹152.
* SKU-level data not shared for this store, so category and SKU view is not covered.
* Aisles I and 1 hold ₹3.0K, 83% of aisle-level loss.
* Clear FCC bin of ₹2.4K by tomorrow. Stock traced goes back to its bin and posts as adjustment gain.
* Validate adjustment gains of ₹39.5K against GRN and STO inward before month close.
* DHM to review every adjustment entry before posting for the next 7 days.
* IM to share ground RCA on manpower, DHM/SI changes and theft incidents by tomorrow.</t>
  </si>
  <si>
    <t xml:space="preserve">BLR-Aswath Nagar</t>
  </si>
  <si>
    <t xml:space="preserve">* Store is net positive by ₹37.4K because of adjustment gains of ₹46.5K. Gains to be checked for FCC stock traced vs GRN or STO inward misses.
* Loss buckets still open: FCC bin ₹6.6K, Other bins ₹1.2K and RTO loss ₹1.2K.
* SKU-level data not shared for this store, so category and SKU view is not covered.
* Clear FCC bin of ₹6.6K by tomorrow. Stock traced goes back to its bin and posts as adjustment gain.
* Reconcile RTO ₹1.2K with LM.
* Close out Other bins stock of ₹1.2K and post it back to inventory.
* Validate adjustment gains of ₹46.5K against GRN and STO inward before month close.</t>
  </si>
  <si>
    <t xml:space="preserve">BLR-RAGHAVENDRA LAYOUT NETWORK</t>
  </si>
  <si>
    <t xml:space="preserve">* Store is net positive by ₹42.8K because of adjustment gains of ₹44.0K. Gains to be checked for FCC stock traced vs GRN or STO inward misses.
* Loss buckets still open: FCC bin ₹978, Shortpick ₹184 and RTO loss ₹73.
* SKU-level data not shared for this store, so category and SKU view is not covered.
* Aisles I and G hold ₹11.0K, 94% of aisle-level loss.
* Clear FCC bin of ₹978 by tomorrow. Stock traced goes back to its bin and posts as adjustment gain.
* Validate adjustment gains of ₹44.0K against GRN and STO inward before month close.
* DHM to review every adjustment entry before posting for the next 7 days.
* IM to share ground RCA on manpower, DHM/SI changes and theft incidents by tomorrow.</t>
  </si>
  <si>
    <t xml:space="preserve">BLR-Choodasandra</t>
  </si>
  <si>
    <t xml:space="preserve">* Store is net positive by ₹44.4K because of adjustment gains of ₹51.7K. Gains to be checked for FCC stock traced vs GRN or STO inward misses.
* Loss buckets still open: FCC bin ₹4.1K, RTO loss ₹1.5K, Other bins ₹1.1K and Shortpick ₹672.
* SKU-level data not shared for this store, so category and SKU view is not covered.
* Aisles 1 and F hold ₹3.8K, 75% of aisle-level loss.
* Clear FCC bin of ₹4.1K by tomorrow. Stock traced goes back to its bin and posts as adjustment gain.
* Reconcile RTO ₹1.5K with LM.
* Close out Other bins stock of ₹1.1K and post it back to inventory.
* Validate adjustment gains of ₹51.7K against GRN and STO inward before month close.</t>
  </si>
  <si>
    <t xml:space="preserve">BLR-Attibele</t>
  </si>
  <si>
    <t xml:space="preserve">* Store is net positive by ₹45.2K because of adjustment gains of ₹46.8K. Gains to be checked for FCC stock traced vs GRN or STO inward misses.
* Loss buckets still open: STO short receipt ₹1.2K, FCC bin ₹291 and RTO loss ₹179.
* SKU-level data not shared for this store, so category and SKU view is not covered.
* Aisle B holds all of the aisle-level loss at ₹18.7K.
* Reconcile STO short receipt ₹1.2K with MH and DH.
* Validate adjustment gains of ₹46.8K against GRN and STO inward before month close.
* DHM to review every adjustment entry before posting for the next 7 days.
* IM to share ground RCA on manpower, DHM/SI changes and theft incidents by tomorrow.</t>
  </si>
  <si>
    <t xml:space="preserve">BLR-Balagere SS</t>
  </si>
  <si>
    <t xml:space="preserve">* Store is net positive by ₹91.5K because of adjustment gains of ₹2.53L. Gains to be checked for FCC stock traced vs GRN or STO inward misses.
* Loss buckets still open: Shortpick ₹1.62L.
* SKU-level data not shared for this store, so category and SKU view is not covered.
* Cycle count the shortpick bins against the ₹1.62L shortpick value.
* Validate adjustment gains of ₹2.53L against GRN and STO inward before month close.
* DHM to review every adjustment entry before posting for the next 7 days.
* IM to share ground RCA on manpower, DHM/SI changes and theft incidents by tomorrow.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</si>
</sst>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(#,##0\);\-"/>
    <numFmt numFmtId="166" formatCode="0"/>
    <numFmt numFmtId="167" formatCode="0.0%"/>
    <numFmt numFmtId="168" formatCode="0.0%;[RED]\-0.0%;\-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B1DEBD"/>
          <bgColor rgb="FF000000"/>
        </patternFill>
      </fill>
    </dxf>
    <dxf>
      <fill>
        <patternFill patternType="solid">
          <fgColor rgb="FFB3DFBE"/>
          <bgColor rgb="FF000000"/>
        </patternFill>
      </fill>
    </dxf>
    <dxf>
      <fill>
        <patternFill patternType="solid">
          <fgColor rgb="FFB5E0C1"/>
          <bgColor rgb="FF000000"/>
        </patternFill>
      </fill>
    </dxf>
    <dxf>
      <fill>
        <patternFill patternType="solid">
          <fgColor rgb="FFBFE4C9"/>
          <bgColor rgb="FF000000"/>
        </patternFill>
      </fill>
    </dxf>
    <dxf>
      <fill>
        <patternFill patternType="solid">
          <fgColor rgb="FFC0E4CA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9E8D1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EEAD5"/>
          <bgColor rgb="FF000000"/>
        </patternFill>
      </fill>
    </dxf>
    <dxf>
      <fill>
        <patternFill patternType="solid">
          <fgColor rgb="FFD3ECD9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7EEDD"/>
          <bgColor rgb="FF000000"/>
        </patternFill>
      </fill>
    </dxf>
    <dxf>
      <fill>
        <patternFill patternType="solid">
          <fgColor rgb="FFD8EEDE"/>
          <bgColor rgb="FF000000"/>
        </patternFill>
      </fill>
    </dxf>
    <dxf>
      <fill>
        <patternFill patternType="solid">
          <fgColor rgb="FFDAEFE0"/>
          <bgColor rgb="FF000000"/>
        </patternFill>
      </fill>
    </dxf>
    <dxf>
      <fill>
        <patternFill patternType="solid">
          <fgColor rgb="FFDDF1E3"/>
          <bgColor rgb="FF000000"/>
        </patternFill>
      </fill>
    </dxf>
    <dxf>
      <fill>
        <patternFill patternType="solid">
          <fgColor rgb="FFDFF1E4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4F3E8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5EB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BF6EE"/>
          <bgColor rgb="FF000000"/>
        </patternFill>
      </fill>
    </dxf>
    <dxf>
      <fill>
        <patternFill patternType="solid">
          <fgColor rgb="FFEC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7F0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EFF8F2"/>
          <bgColor rgb="FF000000"/>
        </patternFill>
      </fill>
    </dxf>
    <dxf>
      <fill>
        <patternFill patternType="solid">
          <fgColor rgb="FFF0F8F2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9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AF5"/>
          <bgColor rgb="FF000000"/>
        </patternFill>
      </fill>
    </dxf>
    <dxf>
      <fill>
        <patternFill patternType="solid">
          <fgColor rgb="FFF4FAF6"/>
          <bgColor rgb="FF000000"/>
        </patternFill>
      </fill>
    </dxf>
    <dxf>
      <fill>
        <patternFill patternType="solid">
          <fgColor rgb="FFF5FAF6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7FB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7D7F"/>
          <bgColor rgb="FF000000"/>
        </patternFill>
      </fill>
    </dxf>
    <dxf>
      <fill>
        <patternFill patternType="solid">
          <fgColor rgb="FFF9FCF9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FC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9596"/>
          <bgColor rgb="FF000000"/>
        </patternFill>
      </fill>
    </dxf>
    <dxf>
      <fill>
        <patternFill patternType="solid">
          <fgColor rgb="FFFB9A9C"/>
          <bgColor rgb="FF000000"/>
        </patternFill>
      </fill>
    </dxf>
    <dxf>
      <fill>
        <patternFill patternType="solid">
          <fgColor rgb="FFFBA4A6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AFB0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CFD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C7C8"/>
          <bgColor rgb="FF000000"/>
        </patternFill>
      </fill>
    </dxf>
    <dxf>
      <fill>
        <patternFill patternType="solid">
          <fgColor rgb="FFFDC8C9"/>
          <bgColor rgb="FF000000"/>
        </patternFill>
      </fill>
    </dxf>
    <dxf>
      <fill>
        <patternFill patternType="solid">
          <fgColor rgb="FFFDCBCC"/>
          <bgColor rgb="FF000000"/>
        </patternFill>
      </fill>
    </dxf>
    <dxf>
      <fill>
        <patternFill patternType="solid">
          <fgColor rgb="FFFDCDCE"/>
          <bgColor rgb="FF000000"/>
        </patternFill>
      </fill>
    </dxf>
    <dxf>
      <fill>
        <patternFill patternType="solid">
          <fgColor rgb="FFFDCECE"/>
          <bgColor rgb="FF000000"/>
        </patternFill>
      </fill>
    </dxf>
    <dxf>
      <fill>
        <patternFill patternType="solid">
          <fgColor rgb="FFFDD0D0"/>
          <bgColor rgb="FF000000"/>
        </patternFill>
      </fill>
    </dxf>
    <dxf>
      <fill>
        <patternFill patternType="solid">
          <fgColor rgb="FFFDD0D1"/>
          <bgColor rgb="FF000000"/>
        </patternFill>
      </fill>
    </dxf>
    <dxf>
      <fill>
        <patternFill patternType="solid">
          <fgColor rgb="FFFDD1D1"/>
          <bgColor rgb="FF000000"/>
        </patternFill>
      </fill>
    </dxf>
    <dxf>
      <fill>
        <patternFill patternType="solid">
          <fgColor rgb="FFFDD1D2"/>
          <bgColor rgb="FF000000"/>
        </patternFill>
      </fill>
    </dxf>
    <dxf>
      <fill>
        <patternFill patternType="solid">
          <fgColor rgb="FFFDD2D3"/>
          <bgColor rgb="FF000000"/>
        </patternFill>
      </fill>
    </dxf>
    <dxf>
      <fill>
        <patternFill patternType="solid">
          <fgColor rgb="FFFDD3D3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D5D6"/>
          <bgColor rgb="FF000000"/>
        </patternFill>
      </fill>
    </dxf>
    <dxf>
      <fill>
        <patternFill patternType="solid">
          <fgColor rgb="FFFED6D6"/>
          <bgColor rgb="FF000000"/>
        </patternFill>
      </fill>
    </dxf>
    <dxf>
      <fill>
        <patternFill patternType="solid">
          <fgColor rgb="FFFED6D7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D8D8"/>
          <bgColor rgb="FF000000"/>
        </patternFill>
      </fill>
    </dxf>
    <dxf>
      <fill>
        <patternFill patternType="solid">
          <fgColor rgb="FFFED9D9"/>
          <bgColor rgb="FF000000"/>
        </patternFill>
      </fill>
    </dxf>
    <dxf>
      <fill>
        <patternFill patternType="solid">
          <fgColor rgb="FFFED9DA"/>
          <bgColor rgb="FF000000"/>
        </patternFill>
      </fill>
    </dxf>
    <dxf>
      <fill>
        <patternFill patternType="solid">
          <fgColor rgb="FFFEDADA"/>
          <bgColor rgb="FF000000"/>
        </patternFill>
      </fill>
    </dxf>
    <dxf>
      <fill>
        <patternFill patternType="solid">
          <fgColor rgb="FFFEDBDB"/>
          <bgColor rgb="FF000000"/>
        </patternFill>
      </fill>
    </dxf>
    <dxf>
      <fill>
        <patternFill patternType="solid">
          <fgColor rgb="FFFEDCDC"/>
          <bgColor rgb="FF000000"/>
        </patternFill>
      </fill>
    </dxf>
    <dxf>
      <fill>
        <patternFill patternType="solid">
          <fgColor rgb="FFFEDEDE"/>
          <bgColor rgb="FF000000"/>
        </patternFill>
      </fill>
    </dxf>
    <dxf>
      <fill>
        <patternFill patternType="solid">
          <fgColor rgb="FFFEDFE0"/>
          <bgColor rgb="FF000000"/>
        </patternFill>
      </fill>
    </dxf>
    <dxf>
      <fill>
        <patternFill patternType="solid">
          <fgColor rgb="FFFEE0E1"/>
          <bgColor rgb="FF000000"/>
        </patternFill>
      </fill>
    </dxf>
    <dxf>
      <fill>
        <patternFill patternType="solid">
          <fgColor rgb="FFFEE1E1"/>
          <bgColor rgb="FF000000"/>
        </patternFill>
      </fill>
    </dxf>
    <dxf>
      <fill>
        <patternFill patternType="solid">
          <fgColor rgb="FFFEE1E2"/>
          <bgColor rgb="FF000000"/>
        </patternFill>
      </fill>
    </dxf>
    <dxf>
      <fill>
        <patternFill patternType="solid">
          <fgColor rgb="FFFEE2E3"/>
          <bgColor rgb="FF000000"/>
        </patternFill>
      </fill>
    </dxf>
    <dxf>
      <fill>
        <patternFill patternType="solid">
          <fgColor rgb="FFFEE3E3"/>
          <bgColor rgb="FF000000"/>
        </patternFill>
      </fill>
    </dxf>
    <dxf>
      <fill>
        <patternFill patternType="solid">
          <fgColor rgb="FFFEE3E4"/>
          <bgColor rgb="FF000000"/>
        </patternFill>
      </fill>
    </dxf>
    <dxf>
      <fill>
        <patternFill patternType="solid">
          <fgColor rgb="FFFEE4E4"/>
          <bgColor rgb="FF000000"/>
        </patternFill>
      </fill>
    </dxf>
    <dxf>
      <fill>
        <patternFill patternType="solid">
          <fgColor rgb="FFFEE4E5"/>
          <bgColor rgb="FF000000"/>
        </patternFill>
      </fill>
    </dxf>
    <dxf>
      <fill>
        <patternFill patternType="solid">
          <fgColor rgb="FFFEE5E5"/>
          <bgColor rgb="FF000000"/>
        </patternFill>
      </fill>
    </dxf>
    <dxf>
      <fill>
        <patternFill patternType="solid">
          <fgColor rgb="FFFEE5E6"/>
          <bgColor rgb="FF000000"/>
        </patternFill>
      </fill>
    </dxf>
    <dxf>
      <fill>
        <patternFill patternType="solid">
          <fgColor rgb="FFFEE7E7"/>
          <bgColor rgb="FF000000"/>
        </patternFill>
      </fill>
    </dxf>
    <dxf>
      <fill>
        <patternFill patternType="solid">
          <fgColor rgb="FFFEE7E8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EAEA"/>
          <bgColor rgb="FF000000"/>
        </patternFill>
      </fill>
    </dxf>
    <dxf>
      <fill>
        <patternFill patternType="solid">
          <fgColor rgb="FFFFEAEB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EBEC"/>
          <bgColor rgb="FF000000"/>
        </patternFill>
      </fill>
    </dxf>
    <dxf>
      <fill>
        <patternFill patternType="solid">
          <fgColor rgb="FFFFECED"/>
          <bgColor rgb="FF000000"/>
        </patternFill>
      </fill>
    </dxf>
    <dxf>
      <fill>
        <patternFill patternType="solid">
          <fgColor rgb="FFFFEDED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EFE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1F2"/>
          <bgColor rgb="FF000000"/>
        </patternFill>
      </fill>
    </dxf>
    <dxf>
      <fill>
        <patternFill patternType="solid">
          <fgColor rgb="FFFFF2F3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4F4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8F8"/>
          <bgColor rgb="FF000000"/>
        </patternFill>
      </fill>
    </dxf>
    <dxf>
      <fill>
        <patternFill patternType="solid">
          <fgColor rgb="FFFFF8F9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BFC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CFD"/>
          <bgColor rgb="FF000000"/>
        </patternFill>
      </fill>
    </dxf>
    <dxf>
      <fill>
        <patternFill patternType="solid">
          <fgColor rgb="FFFFFDFD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FFEFF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4" min="12" style="0" width="12"/>
    <col collapsed="false" customWidth="true" hidden="false" outlineLevel="0" max="16" min="15" style="0" width="13"/>
    <col collapsed="false" customWidth="true" hidden="false" outlineLevel="0" max="17" min="17" style="0" width="110"/>
    <col collapsed="false" customWidth="true" hidden="false" outlineLevel="0" max="18" min="18" style="0" width="30"/>
    <col collapsed="false" customWidth="true" hidden="false" outlineLevel="0" max="19" min="19" style="0" width="12"/>
    <col collapsed="false" customWidth="true" hidden="false" outlineLevel="0" max="20" min="20" style="0" width="14"/>
  </cols>
  <sheetData>
    <row r="1" customFormat="false" ht="17.35" hidden="false" customHeight="false" outlineLevel="0" collapsed="false">
      <c r="C1" s="1" t="s">
        <v>0</v>
      </c>
    </row>
    <row r="2" customFormat="false" ht="15" hidden="false" customHeight="false" outlineLevel="0" collapsed="false">
      <c r="C2" s="2" t="s">
        <v>1</v>
      </c>
    </row>
    <row r="4" customFormat="false" ht="15" hidden="false" customHeight="false" outlineLevel="0" collapsed="false">
      <c r="C4" s="3" t="s">
        <v>2</v>
      </c>
    </row>
    <row r="5" customFormat="false" ht="15" hidden="false" customHeight="false" outlineLevel="0" collapsed="false">
      <c r="C5" s="4" t="s">
        <v>3</v>
      </c>
      <c r="D5" s="4" t="s">
        <v>4</v>
      </c>
    </row>
    <row r="6" customFormat="false" ht="15" hidden="false" customHeight="false" outlineLevel="0" collapsed="false">
      <c r="C6" s="5" t="s">
        <v>5</v>
      </c>
      <c r="D6" s="6" t="n">
        <f aca="false">SUM($O$160:$O$418)</f>
        <v>2352254</v>
      </c>
    </row>
    <row r="7" customFormat="false" ht="15" hidden="false" customHeight="false" outlineLevel="0" collapsed="false">
      <c r="C7" s="5" t="s">
        <v>6</v>
      </c>
      <c r="D7" s="6" t="n">
        <f aca="false">SUMIFS($O$160:$O$418,$D$160:$D$418,"&lt;&gt;Not Mapped")</f>
        <v>2352254</v>
      </c>
    </row>
    <row r="8" customFormat="false" ht="15" hidden="false" customHeight="false" outlineLevel="0" collapsed="false">
      <c r="C8" s="5" t="s">
        <v>7</v>
      </c>
      <c r="D8" s="7" t="n">
        <f aca="false">COUNTIFS($D$160:$D$418,"&lt;&gt;Not Mapped")</f>
        <v>257</v>
      </c>
    </row>
    <row r="9" customFormat="false" ht="15" hidden="false" customHeight="false" outlineLevel="0" collapsed="false">
      <c r="C9" s="5" t="s">
        <v>8</v>
      </c>
      <c r="D9" s="7" t="n">
        <f aca="false">COUNTIF($O$160:$O$418,"&gt;0")</f>
        <v>143</v>
      </c>
    </row>
    <row r="10" customFormat="false" ht="15" hidden="false" customHeight="false" outlineLevel="0" collapsed="false">
      <c r="C10" s="5" t="s">
        <v>9</v>
      </c>
      <c r="D10" s="8" t="n">
        <f aca="false">SUMPRODUCT(LARGE($O$160:$O$418,ROW($A$1:$A$10)))/SUM($O$160:$O$418)</f>
        <v>0.392317751399296</v>
      </c>
    </row>
    <row r="11" customFormat="false" ht="15" hidden="false" customHeight="false" outlineLevel="0" collapsed="false">
      <c r="C11" s="5" t="s">
        <v>10</v>
      </c>
      <c r="D11" s="8" t="n">
        <f aca="false">SUMPRODUCT(LARGE($O$160:$O$418,ROW($A$1:$A$25)))/SUM($O$160:$O$418)</f>
        <v>0.694201391516392</v>
      </c>
    </row>
    <row r="13" customFormat="false" ht="15" hidden="false" customHeight="false" outlineLevel="0" collapsed="false">
      <c r="C13" s="3" t="s">
        <v>11</v>
      </c>
    </row>
    <row r="14" customFormat="false" ht="15" hidden="false" customHeight="false" outlineLevel="0" collapsed="false">
      <c r="C14" s="2" t="s">
        <v>12</v>
      </c>
    </row>
    <row r="15" customFormat="false" ht="23.85" hidden="false" customHeight="false" outlineLevel="0" collapsed="false">
      <c r="C15" s="4" t="s">
        <v>13</v>
      </c>
      <c r="D15" s="4" t="s">
        <v>14</v>
      </c>
      <c r="E15" s="4" t="s">
        <v>15</v>
      </c>
      <c r="F15" s="4" t="s">
        <v>16</v>
      </c>
    </row>
    <row r="16" customFormat="false" ht="15" hidden="false" customHeight="false" outlineLevel="0" collapsed="false">
      <c r="C16" s="5" t="s">
        <v>17</v>
      </c>
      <c r="D16" s="9" t="n">
        <f aca="false">SUM($G$160:$G$418)</f>
        <v>-1027651</v>
      </c>
      <c r="E16" s="10" t="n">
        <f aca="false">D16/SUM($O$160:$O$418)</f>
        <v>-0.436879265589515</v>
      </c>
      <c r="F16" s="9" t="n">
        <f aca="false">SUMIF($G$160:$G$418,"&gt;0")</f>
        <v>1326549</v>
      </c>
    </row>
    <row r="17" customFormat="false" ht="15" hidden="false" customHeight="false" outlineLevel="0" collapsed="false">
      <c r="C17" s="5" t="s">
        <v>18</v>
      </c>
      <c r="D17" s="9" t="n">
        <f aca="false">SUM($H$160:$H$418)</f>
        <v>2229481</v>
      </c>
      <c r="E17" s="10" t="n">
        <f aca="false">D17/SUM($O$160:$O$418)</f>
        <v>0.94780623181</v>
      </c>
      <c r="F17" s="9" t="n">
        <f aca="false">SUMIF($H$160:$H$418,"&gt;0")</f>
        <v>2229481</v>
      </c>
    </row>
    <row r="18" customFormat="false" ht="15" hidden="false" customHeight="false" outlineLevel="0" collapsed="false">
      <c r="C18" s="5" t="s">
        <v>19</v>
      </c>
      <c r="D18" s="9" t="n">
        <f aca="false">SUM($I$160:$I$418)</f>
        <v>28770</v>
      </c>
      <c r="E18" s="10" t="n">
        <f aca="false">D18/SUM($O$160:$O$418)</f>
        <v>0.0122308220115685</v>
      </c>
      <c r="F18" s="9" t="n">
        <f aca="false">SUMIF($I$160:$I$418,"&gt;0")</f>
        <v>42679</v>
      </c>
    </row>
    <row r="19" customFormat="false" ht="15" hidden="false" customHeight="false" outlineLevel="0" collapsed="false">
      <c r="C19" s="5" t="s">
        <v>20</v>
      </c>
      <c r="D19" s="9" t="n">
        <f aca="false">SUM($J$160:$J$418)</f>
        <v>641816</v>
      </c>
      <c r="E19" s="10" t="n">
        <f aca="false">D19/SUM($O$160:$O$418)</f>
        <v>0.272851486276567</v>
      </c>
      <c r="F19" s="9" t="n">
        <f aca="false">SUMIF($J$160:$J$418,"&gt;0")</f>
        <v>641816</v>
      </c>
    </row>
    <row r="20" customFormat="false" ht="15" hidden="false" customHeight="false" outlineLevel="0" collapsed="false">
      <c r="C20" s="5" t="s">
        <v>21</v>
      </c>
      <c r="D20" s="9" t="n">
        <f aca="false">SUM($K$160:$K$418)</f>
        <v>211928</v>
      </c>
      <c r="E20" s="10" t="n">
        <f aca="false">D20/SUM($O$160:$O$418)</f>
        <v>0.0900957124528218</v>
      </c>
      <c r="F20" s="9" t="n">
        <f aca="false">SUMIF($K$160:$K$418,"&gt;0")</f>
        <v>211928</v>
      </c>
    </row>
    <row r="21" customFormat="false" ht="15" hidden="false" customHeight="false" outlineLevel="0" collapsed="false">
      <c r="C21" s="5" t="s">
        <v>22</v>
      </c>
      <c r="D21" s="9" t="n">
        <f aca="false">SUM($L$160:$L$418)</f>
        <v>0</v>
      </c>
      <c r="E21" s="10" t="n">
        <f aca="false">D21/SUM($O$160:$O$418)</f>
        <v>0</v>
      </c>
      <c r="F21" s="9" t="n">
        <f aca="false">SUMIF($L$160:$L$418,"&gt;0")</f>
        <v>0</v>
      </c>
    </row>
    <row r="22" customFormat="false" ht="15" hidden="false" customHeight="false" outlineLevel="0" collapsed="false">
      <c r="C22" s="5" t="s">
        <v>23</v>
      </c>
      <c r="D22" s="9" t="n">
        <f aca="false">SUM($M$160:$M$418)</f>
        <v>187041</v>
      </c>
      <c r="E22" s="10" t="n">
        <f aca="false">D22/SUM($O$160:$O$418)</f>
        <v>0.0795156475448655</v>
      </c>
      <c r="F22" s="9" t="n">
        <f aca="false">SUMIF($M$160:$M$418,"&gt;0")</f>
        <v>187041</v>
      </c>
    </row>
    <row r="23" customFormat="false" ht="15" hidden="false" customHeight="false" outlineLevel="0" collapsed="false">
      <c r="C23" s="5" t="s">
        <v>24</v>
      </c>
      <c r="D23" s="9" t="n">
        <f aca="false">SUM($N$160:$N$418)</f>
        <v>80888</v>
      </c>
      <c r="E23" s="10" t="n">
        <f aca="false">D23/SUM($O$160:$O$418)</f>
        <v>0.0343874428526851</v>
      </c>
      <c r="F23" s="9" t="n">
        <f aca="false">SUMIF($N$160:$N$418,"&gt;0")</f>
        <v>80888</v>
      </c>
    </row>
    <row r="24" customFormat="false" ht="15" hidden="false" customHeight="false" outlineLevel="0" collapsed="false">
      <c r="C24" s="11" t="s">
        <v>25</v>
      </c>
      <c r="D24" s="12" t="n">
        <f aca="false">SUM(D16:D23)</f>
        <v>2352273</v>
      </c>
      <c r="E24" s="13" t="n">
        <f aca="false">D24/SUM($O$160:$O$418)</f>
        <v>1.00000807735899</v>
      </c>
      <c r="F24" s="12" t="n">
        <f aca="false">SUM(F16:F23)</f>
        <v>4720382</v>
      </c>
    </row>
    <row r="26" customFormat="false" ht="15" hidden="false" customHeight="false" outlineLevel="0" collapsed="false">
      <c r="C26" s="3" t="s">
        <v>26</v>
      </c>
    </row>
    <row r="27" customFormat="false" ht="15" hidden="false" customHeight="false" outlineLevel="0" collapsed="false">
      <c r="C27" s="4" t="s">
        <v>27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32</v>
      </c>
      <c r="I27" s="4" t="s">
        <v>33</v>
      </c>
    </row>
    <row r="28" customFormat="false" ht="23.85" hidden="false" customHeight="false" outlineLevel="0" collapsed="false">
      <c r="C28" s="5" t="s">
        <v>34</v>
      </c>
      <c r="D28" s="5" t="s">
        <v>35</v>
      </c>
      <c r="E28" s="5" t="s">
        <v>36</v>
      </c>
      <c r="F28" s="9" t="n">
        <f aca="false">INDEX($O$160:$O$418,MATCH(C28,$C$160:$C$418,0))</f>
        <v>155636</v>
      </c>
      <c r="G28" s="10" t="n">
        <f aca="false">INDEX($P$160:$P$418,MATCH(C28,$C$160:$C$418,0))</f>
        <v>0.0661646233782576</v>
      </c>
      <c r="H28" s="14" t="s">
        <v>37</v>
      </c>
      <c r="I28" s="5" t="s">
        <v>38</v>
      </c>
    </row>
    <row r="29" customFormat="false" ht="23.85" hidden="false" customHeight="false" outlineLevel="0" collapsed="false">
      <c r="C29" s="5" t="s">
        <v>39</v>
      </c>
      <c r="D29" s="5" t="s">
        <v>35</v>
      </c>
      <c r="E29" s="5" t="s">
        <v>36</v>
      </c>
      <c r="F29" s="9" t="n">
        <f aca="false">INDEX($O$160:$O$418,MATCH(C29,$C$160:$C$418,0))</f>
        <v>135225</v>
      </c>
      <c r="G29" s="10" t="n">
        <f aca="false">INDEX($P$160:$P$418,MATCH(C29,$C$160:$C$418,0))</f>
        <v>0.0574874141993169</v>
      </c>
      <c r="H29" s="14" t="s">
        <v>40</v>
      </c>
      <c r="I29" s="5" t="s">
        <v>41</v>
      </c>
    </row>
    <row r="30" customFormat="false" ht="23.85" hidden="false" customHeight="false" outlineLevel="0" collapsed="false">
      <c r="C30" s="5" t="s">
        <v>42</v>
      </c>
      <c r="D30" s="5" t="s">
        <v>43</v>
      </c>
      <c r="E30" s="5" t="s">
        <v>44</v>
      </c>
      <c r="F30" s="9" t="n">
        <f aca="false">INDEX($O$160:$O$418,MATCH(C30,$C$160:$C$418,0))</f>
        <v>110703</v>
      </c>
      <c r="G30" s="10" t="n">
        <f aca="false">INDEX($P$160:$P$418,MATCH(C30,$C$160:$C$418,0))</f>
        <v>0.0470625196088518</v>
      </c>
      <c r="H30" s="14" t="s">
        <v>45</v>
      </c>
      <c r="I30" s="5" t="s">
        <v>46</v>
      </c>
    </row>
    <row r="31" customFormat="false" ht="23.85" hidden="false" customHeight="false" outlineLevel="0" collapsed="false">
      <c r="C31" s="5" t="s">
        <v>47</v>
      </c>
      <c r="D31" s="5" t="s">
        <v>48</v>
      </c>
      <c r="E31" s="5" t="s">
        <v>49</v>
      </c>
      <c r="F31" s="9" t="n">
        <f aca="false">INDEX($O$160:$O$418,MATCH(C31,$C$160:$C$418,0))</f>
        <v>105001</v>
      </c>
      <c r="G31" s="10" t="n">
        <f aca="false">INDEX($P$160:$P$418,MATCH(C31,$C$160:$C$418,0))</f>
        <v>0.0446384616627286</v>
      </c>
      <c r="H31" s="14" t="s">
        <v>50</v>
      </c>
      <c r="I31" s="5" t="s">
        <v>51</v>
      </c>
    </row>
    <row r="32" customFormat="false" ht="23.85" hidden="false" customHeight="false" outlineLevel="0" collapsed="false">
      <c r="C32" s="5" t="s">
        <v>52</v>
      </c>
      <c r="D32" s="5" t="s">
        <v>53</v>
      </c>
      <c r="E32" s="5" t="s">
        <v>54</v>
      </c>
      <c r="F32" s="9" t="n">
        <f aca="false">INDEX($O$160:$O$418,MATCH(C32,$C$160:$C$418,0))</f>
        <v>94456</v>
      </c>
      <c r="G32" s="10" t="n">
        <f aca="false">INDEX($P$160:$P$418,MATCH(C32,$C$160:$C$418,0))</f>
        <v>0.0401555274217835</v>
      </c>
      <c r="H32" s="14" t="s">
        <v>55</v>
      </c>
      <c r="I32" s="5" t="s">
        <v>56</v>
      </c>
    </row>
    <row r="33" customFormat="false" ht="23.85" hidden="false" customHeight="false" outlineLevel="0" collapsed="false">
      <c r="C33" s="5" t="s">
        <v>57</v>
      </c>
      <c r="D33" s="5" t="s">
        <v>53</v>
      </c>
      <c r="E33" s="5" t="s">
        <v>54</v>
      </c>
      <c r="F33" s="9" t="n">
        <f aca="false">INDEX($O$160:$O$418,MATCH(C33,$C$160:$C$418,0))</f>
        <v>83180</v>
      </c>
      <c r="G33" s="10" t="n">
        <f aca="false">INDEX($P$160:$P$418,MATCH(C33,$C$160:$C$418,0))</f>
        <v>0.0353618274216985</v>
      </c>
      <c r="H33" s="14" t="s">
        <v>58</v>
      </c>
      <c r="I33" s="5" t="s">
        <v>59</v>
      </c>
    </row>
    <row r="34" customFormat="false" ht="23.85" hidden="false" customHeight="false" outlineLevel="0" collapsed="false">
      <c r="C34" s="5" t="s">
        <v>60</v>
      </c>
      <c r="D34" s="5" t="s">
        <v>61</v>
      </c>
      <c r="E34" s="5" t="s">
        <v>54</v>
      </c>
      <c r="F34" s="9" t="n">
        <f aca="false">INDEX($O$160:$O$418,MATCH(C34,$C$160:$C$418,0))</f>
        <v>67844</v>
      </c>
      <c r="G34" s="10" t="n">
        <f aca="false">INDEX($P$160:$P$418,MATCH(C34,$C$160:$C$418,0))</f>
        <v>0.0288421233421221</v>
      </c>
      <c r="H34" s="14" t="s">
        <v>62</v>
      </c>
      <c r="I34" s="5" t="s">
        <v>63</v>
      </c>
    </row>
    <row r="35" customFormat="false" ht="23.85" hidden="false" customHeight="false" outlineLevel="0" collapsed="false">
      <c r="C35" s="5" t="s">
        <v>64</v>
      </c>
      <c r="D35" s="5" t="s">
        <v>35</v>
      </c>
      <c r="E35" s="5" t="s">
        <v>36</v>
      </c>
      <c r="F35" s="9" t="n">
        <f aca="false">INDEX($O$160:$O$418,MATCH(C35,$C$160:$C$418,0))</f>
        <v>58886</v>
      </c>
      <c r="G35" s="10" t="n">
        <f aca="false">INDEX($P$160:$P$418,MATCH(C35,$C$160:$C$418,0))</f>
        <v>0.0250338611391457</v>
      </c>
      <c r="H35" s="14" t="s">
        <v>65</v>
      </c>
      <c r="I35" s="5" t="s">
        <v>66</v>
      </c>
    </row>
    <row r="36" customFormat="false" ht="23.85" hidden="false" customHeight="false" outlineLevel="0" collapsed="false">
      <c r="C36" s="5" t="s">
        <v>67</v>
      </c>
      <c r="D36" s="5" t="s">
        <v>68</v>
      </c>
      <c r="E36" s="5" t="s">
        <v>49</v>
      </c>
      <c r="F36" s="9" t="n">
        <f aca="false">INDEX($O$160:$O$418,MATCH(C36,$C$160:$C$418,0))</f>
        <v>57750</v>
      </c>
      <c r="G36" s="10" t="n">
        <f aca="false">INDEX($P$160:$P$418,MATCH(C36,$C$160:$C$418,0))</f>
        <v>0.0245509200962141</v>
      </c>
      <c r="H36" s="14" t="s">
        <v>69</v>
      </c>
      <c r="I36" s="5" t="s">
        <v>70</v>
      </c>
    </row>
    <row r="37" customFormat="false" ht="23.85" hidden="false" customHeight="false" outlineLevel="0" collapsed="false">
      <c r="C37" s="5" t="s">
        <v>71</v>
      </c>
      <c r="D37" s="5" t="s">
        <v>72</v>
      </c>
      <c r="E37" s="5" t="s">
        <v>54</v>
      </c>
      <c r="F37" s="9" t="n">
        <f aca="false">INDEX($O$160:$O$418,MATCH(C37,$C$160:$C$418,0))</f>
        <v>54150</v>
      </c>
      <c r="G37" s="10" t="n">
        <f aca="false">INDEX($P$160:$P$418,MATCH(C37,$C$160:$C$418,0))</f>
        <v>0.0230204731291774</v>
      </c>
      <c r="H37" s="14" t="s">
        <v>73</v>
      </c>
      <c r="I37" s="5" t="s">
        <v>74</v>
      </c>
    </row>
    <row r="38" customFormat="false" ht="23.85" hidden="false" customHeight="false" outlineLevel="0" collapsed="false">
      <c r="C38" s="5" t="s">
        <v>75</v>
      </c>
      <c r="D38" s="5" t="s">
        <v>61</v>
      </c>
      <c r="E38" s="5" t="s">
        <v>54</v>
      </c>
      <c r="F38" s="9" t="n">
        <f aca="false">INDEX($O$160:$O$418,MATCH(C38,$C$160:$C$418,0))</f>
        <v>54093</v>
      </c>
      <c r="G38" s="10" t="n">
        <f aca="false">INDEX($P$160:$P$418,MATCH(C38,$C$160:$C$418,0))</f>
        <v>0.0229962410521993</v>
      </c>
      <c r="H38" s="14" t="s">
        <v>76</v>
      </c>
      <c r="I38" s="5" t="s">
        <v>77</v>
      </c>
    </row>
    <row r="39" customFormat="false" ht="23.85" hidden="false" customHeight="false" outlineLevel="0" collapsed="false">
      <c r="C39" s="5" t="s">
        <v>78</v>
      </c>
      <c r="D39" s="5" t="s">
        <v>79</v>
      </c>
      <c r="E39" s="5" t="s">
        <v>80</v>
      </c>
      <c r="F39" s="9" t="n">
        <f aca="false">INDEX($O$160:$O$418,MATCH(C39,$C$160:$C$418,0))</f>
        <v>52152</v>
      </c>
      <c r="G39" s="10" t="n">
        <f aca="false">INDEX($P$160:$P$418,MATCH(C39,$C$160:$C$418,0))</f>
        <v>0.022171075062472</v>
      </c>
      <c r="H39" s="14" t="s">
        <v>81</v>
      </c>
      <c r="I39" s="5" t="s">
        <v>82</v>
      </c>
    </row>
    <row r="40" customFormat="false" ht="23.85" hidden="false" customHeight="false" outlineLevel="0" collapsed="false">
      <c r="C40" s="5" t="s">
        <v>83</v>
      </c>
      <c r="D40" s="5" t="s">
        <v>84</v>
      </c>
      <c r="E40" s="5" t="s">
        <v>85</v>
      </c>
      <c r="F40" s="9" t="n">
        <f aca="false">INDEX($O$160:$O$418,MATCH(C40,$C$160:$C$418,0))</f>
        <v>51771</v>
      </c>
      <c r="G40" s="10" t="n">
        <f aca="false">INDEX($P$160:$P$418,MATCH(C40,$C$160:$C$418,0))</f>
        <v>0.0220091027584606</v>
      </c>
      <c r="H40" s="14" t="s">
        <v>86</v>
      </c>
      <c r="I40" s="5" t="s">
        <v>87</v>
      </c>
    </row>
    <row r="41" customFormat="false" ht="23.85" hidden="false" customHeight="false" outlineLevel="0" collapsed="false">
      <c r="C41" s="5" t="s">
        <v>88</v>
      </c>
      <c r="D41" s="5" t="s">
        <v>89</v>
      </c>
      <c r="E41" s="5" t="s">
        <v>54</v>
      </c>
      <c r="F41" s="9" t="n">
        <f aca="false">INDEX($O$160:$O$418,MATCH(C41,$C$160:$C$418,0))</f>
        <v>49497</v>
      </c>
      <c r="G41" s="10" t="n">
        <f aca="false">INDEX($P$160:$P$418,MATCH(C41,$C$160:$C$418,0))</f>
        <v>0.0210423704242824</v>
      </c>
      <c r="H41" s="14" t="s">
        <v>90</v>
      </c>
      <c r="I41" s="5" t="s">
        <v>91</v>
      </c>
    </row>
    <row r="42" customFormat="false" ht="23.85" hidden="false" customHeight="false" outlineLevel="0" collapsed="false">
      <c r="C42" s="5" t="s">
        <v>92</v>
      </c>
      <c r="D42" s="5" t="s">
        <v>53</v>
      </c>
      <c r="E42" s="5" t="s">
        <v>54</v>
      </c>
      <c r="F42" s="9" t="n">
        <f aca="false">INDEX($O$160:$O$418,MATCH(C42,$C$160:$C$418,0))</f>
        <v>48871</v>
      </c>
      <c r="G42" s="10" t="n">
        <f aca="false">INDEX($P$160:$P$418,MATCH(C42,$C$160:$C$418,0))</f>
        <v>0.020776242701681</v>
      </c>
      <c r="H42" s="14" t="s">
        <v>93</v>
      </c>
      <c r="I42" s="5" t="s">
        <v>94</v>
      </c>
    </row>
    <row r="44" customFormat="false" ht="15" hidden="false" customHeight="false" outlineLevel="0" collapsed="false">
      <c r="C44" s="3" t="s">
        <v>95</v>
      </c>
    </row>
    <row r="45" customFormat="false" ht="15" hidden="false" customHeight="false" outlineLevel="0" collapsed="false">
      <c r="C45" s="2" t="s">
        <v>96</v>
      </c>
    </row>
    <row r="46" customFormat="false" ht="23.85" hidden="false" customHeight="false" outlineLevel="0" collapsed="false">
      <c r="C46" s="4" t="s">
        <v>27</v>
      </c>
      <c r="D46" s="4" t="s">
        <v>97</v>
      </c>
      <c r="E46" s="4" t="s">
        <v>98</v>
      </c>
      <c r="F46" s="4" t="s">
        <v>99</v>
      </c>
      <c r="G46" s="4" t="s">
        <v>100</v>
      </c>
      <c r="H46" s="4" t="s">
        <v>101</v>
      </c>
    </row>
    <row r="47" customFormat="false" ht="15" hidden="false" customHeight="false" outlineLevel="0" collapsed="false">
      <c r="C47" s="5" t="s">
        <v>52</v>
      </c>
      <c r="D47" s="15" t="s">
        <v>102</v>
      </c>
      <c r="E47" s="9" t="n">
        <v>37384</v>
      </c>
      <c r="F47" s="10" t="n">
        <v>0.398064480956475</v>
      </c>
      <c r="G47" s="5" t="s">
        <v>103</v>
      </c>
      <c r="H47" s="9" t="n">
        <v>4995</v>
      </c>
    </row>
    <row r="48" customFormat="false" ht="15" hidden="false" customHeight="false" outlineLevel="0" collapsed="false">
      <c r="C48" s="5" t="s">
        <v>104</v>
      </c>
      <c r="D48" s="15" t="s">
        <v>102</v>
      </c>
      <c r="E48" s="9" t="n">
        <v>34826</v>
      </c>
      <c r="F48" s="10" t="n">
        <v>0.662697885629841</v>
      </c>
      <c r="G48" s="5" t="s">
        <v>105</v>
      </c>
      <c r="H48" s="9" t="n">
        <v>8525</v>
      </c>
    </row>
    <row r="49" customFormat="false" ht="15" hidden="false" customHeight="false" outlineLevel="0" collapsed="false">
      <c r="C49" s="5" t="s">
        <v>34</v>
      </c>
      <c r="D49" s="15" t="s">
        <v>106</v>
      </c>
      <c r="E49" s="9" t="n">
        <v>32216</v>
      </c>
      <c r="F49" s="10" t="n">
        <v>0.260234658836089</v>
      </c>
      <c r="G49" s="5" t="s">
        <v>107</v>
      </c>
      <c r="H49" s="9" t="n">
        <v>9966</v>
      </c>
    </row>
    <row r="50" customFormat="false" ht="15" hidden="false" customHeight="false" outlineLevel="0" collapsed="false">
      <c r="C50" s="5" t="s">
        <v>108</v>
      </c>
      <c r="D50" s="15" t="s">
        <v>109</v>
      </c>
      <c r="E50" s="9" t="n">
        <v>32160</v>
      </c>
      <c r="F50" s="10" t="n">
        <v>0.56517752939785</v>
      </c>
      <c r="G50" s="5" t="s">
        <v>110</v>
      </c>
      <c r="H50" s="9" t="n">
        <v>5859</v>
      </c>
    </row>
    <row r="51" customFormat="false" ht="15" hidden="false" customHeight="false" outlineLevel="0" collapsed="false">
      <c r="C51" s="5" t="s">
        <v>39</v>
      </c>
      <c r="D51" s="15" t="s">
        <v>111</v>
      </c>
      <c r="E51" s="9" t="n">
        <v>29924</v>
      </c>
      <c r="F51" s="10" t="n">
        <v>0.213252454459133</v>
      </c>
      <c r="G51" s="5" t="s">
        <v>112</v>
      </c>
      <c r="H51" s="9" t="n">
        <v>3856</v>
      </c>
    </row>
    <row r="52" customFormat="false" ht="15" hidden="false" customHeight="false" outlineLevel="0" collapsed="false">
      <c r="C52" s="5" t="s">
        <v>34</v>
      </c>
      <c r="D52" s="15" t="s">
        <v>113</v>
      </c>
      <c r="E52" s="9" t="n">
        <v>28151</v>
      </c>
      <c r="F52" s="10" t="n">
        <v>0.227401598642401</v>
      </c>
      <c r="G52" s="5" t="s">
        <v>114</v>
      </c>
      <c r="H52" s="9" t="n">
        <v>6556</v>
      </c>
    </row>
    <row r="53" customFormat="false" ht="15" hidden="false" customHeight="false" outlineLevel="0" collapsed="false">
      <c r="C53" s="5" t="s">
        <v>39</v>
      </c>
      <c r="D53" s="15" t="s">
        <v>102</v>
      </c>
      <c r="E53" s="9" t="n">
        <v>24165</v>
      </c>
      <c r="F53" s="10" t="n">
        <v>0.172212509510397</v>
      </c>
      <c r="G53" s="5" t="s">
        <v>115</v>
      </c>
      <c r="H53" s="9" t="n">
        <v>10691</v>
      </c>
    </row>
    <row r="54" customFormat="false" ht="15" hidden="false" customHeight="false" outlineLevel="0" collapsed="false">
      <c r="C54" s="5" t="s">
        <v>39</v>
      </c>
      <c r="D54" s="15" t="s">
        <v>116</v>
      </c>
      <c r="E54" s="9" t="n">
        <v>24007</v>
      </c>
      <c r="F54" s="10" t="n">
        <v>0.171085728832045</v>
      </c>
      <c r="G54" s="5" t="s">
        <v>117</v>
      </c>
      <c r="H54" s="9" t="n">
        <v>6577</v>
      </c>
    </row>
    <row r="55" customFormat="false" ht="15" hidden="false" customHeight="false" outlineLevel="0" collapsed="false">
      <c r="C55" s="5" t="s">
        <v>64</v>
      </c>
      <c r="D55" s="15" t="s">
        <v>118</v>
      </c>
      <c r="E55" s="9" t="n">
        <v>22593</v>
      </c>
      <c r="F55" s="10" t="n">
        <v>0.323798391530339</v>
      </c>
      <c r="G55" s="5" t="s">
        <v>119</v>
      </c>
      <c r="H55" s="9" t="n">
        <v>5150</v>
      </c>
    </row>
    <row r="56" customFormat="false" ht="15" hidden="false" customHeight="false" outlineLevel="0" collapsed="false">
      <c r="C56" s="5" t="s">
        <v>39</v>
      </c>
      <c r="D56" s="15" t="s">
        <v>118</v>
      </c>
      <c r="E56" s="9" t="n">
        <v>22439</v>
      </c>
      <c r="F56" s="10" t="n">
        <v>0.159916126069448</v>
      </c>
      <c r="G56" s="5" t="s">
        <v>120</v>
      </c>
      <c r="H56" s="9" t="n">
        <v>5345</v>
      </c>
    </row>
    <row r="57" customFormat="false" ht="15" hidden="false" customHeight="false" outlineLevel="0" collapsed="false">
      <c r="C57" s="5" t="s">
        <v>121</v>
      </c>
      <c r="D57" s="15" t="s">
        <v>122</v>
      </c>
      <c r="E57" s="9" t="n">
        <v>22209</v>
      </c>
      <c r="F57" s="10" t="n">
        <v>0.686204455589788</v>
      </c>
      <c r="G57" s="5" t="s">
        <v>123</v>
      </c>
      <c r="H57" s="9" t="n">
        <v>9073</v>
      </c>
    </row>
    <row r="58" customFormat="false" ht="15" hidden="false" customHeight="false" outlineLevel="0" collapsed="false">
      <c r="C58" s="5" t="s">
        <v>124</v>
      </c>
      <c r="D58" s="15" t="s">
        <v>102</v>
      </c>
      <c r="E58" s="9" t="n">
        <v>21589</v>
      </c>
      <c r="F58" s="10" t="n">
        <v>0.518464413260497</v>
      </c>
      <c r="G58" s="5" t="s">
        <v>125</v>
      </c>
      <c r="H58" s="9" t="n">
        <v>6104</v>
      </c>
    </row>
    <row r="59" customFormat="false" ht="15" hidden="false" customHeight="false" outlineLevel="0" collapsed="false">
      <c r="C59" s="5" t="s">
        <v>47</v>
      </c>
      <c r="D59" s="15" t="s">
        <v>102</v>
      </c>
      <c r="E59" s="9" t="n">
        <v>20875</v>
      </c>
      <c r="F59" s="10" t="n">
        <v>0.354873275027005</v>
      </c>
      <c r="G59" s="5" t="s">
        <v>125</v>
      </c>
      <c r="H59" s="9" t="n">
        <v>6317</v>
      </c>
    </row>
    <row r="60" customFormat="false" ht="15" hidden="false" customHeight="false" outlineLevel="0" collapsed="false">
      <c r="C60" s="5" t="s">
        <v>126</v>
      </c>
      <c r="D60" s="15" t="s">
        <v>116</v>
      </c>
      <c r="E60" s="9" t="n">
        <v>19770</v>
      </c>
      <c r="F60" s="10" t="n">
        <v>0.495808765867442</v>
      </c>
      <c r="G60" s="5" t="s">
        <v>127</v>
      </c>
      <c r="H60" s="9" t="n">
        <v>4777</v>
      </c>
    </row>
    <row r="61" customFormat="false" ht="15" hidden="false" customHeight="false" outlineLevel="0" collapsed="false">
      <c r="C61" s="5" t="s">
        <v>128</v>
      </c>
      <c r="D61" s="15" t="s">
        <v>129</v>
      </c>
      <c r="E61" s="9" t="n">
        <v>19510</v>
      </c>
      <c r="F61" s="10" t="n">
        <v>0.49326982272906</v>
      </c>
      <c r="G61" s="5" t="s">
        <v>130</v>
      </c>
      <c r="H61" s="9" t="n">
        <v>8656</v>
      </c>
    </row>
    <row r="62" customFormat="false" ht="15" hidden="false" customHeight="false" outlineLevel="0" collapsed="false">
      <c r="C62" s="5" t="s">
        <v>131</v>
      </c>
      <c r="D62" s="15" t="s">
        <v>116</v>
      </c>
      <c r="E62" s="9" t="n">
        <v>18685</v>
      </c>
      <c r="F62" s="10" t="n">
        <v>0.328197528539584</v>
      </c>
      <c r="G62" s="5" t="s">
        <v>130</v>
      </c>
      <c r="H62" s="9" t="n">
        <v>8656</v>
      </c>
    </row>
    <row r="63" customFormat="false" ht="15" hidden="false" customHeight="false" outlineLevel="0" collapsed="false">
      <c r="C63" s="5" t="s">
        <v>108</v>
      </c>
      <c r="D63" s="15" t="s">
        <v>129</v>
      </c>
      <c r="E63" s="9" t="n">
        <v>17159</v>
      </c>
      <c r="F63" s="10" t="n">
        <v>0.301548056278961</v>
      </c>
      <c r="G63" s="5" t="s">
        <v>132</v>
      </c>
      <c r="H63" s="9" t="n">
        <v>3314</v>
      </c>
    </row>
    <row r="64" customFormat="false" ht="15" hidden="false" customHeight="false" outlineLevel="0" collapsed="false">
      <c r="C64" s="5" t="s">
        <v>57</v>
      </c>
      <c r="D64" s="15" t="s">
        <v>129</v>
      </c>
      <c r="E64" s="9" t="n">
        <v>17031</v>
      </c>
      <c r="F64" s="10" t="n">
        <v>0.207855727330043</v>
      </c>
      <c r="G64" s="5" t="s">
        <v>110</v>
      </c>
      <c r="H64" s="9" t="n">
        <v>2111</v>
      </c>
    </row>
    <row r="65" customFormat="false" ht="15" hidden="false" customHeight="false" outlineLevel="0" collapsed="false">
      <c r="C65" s="5" t="s">
        <v>133</v>
      </c>
      <c r="D65" s="15" t="s">
        <v>102</v>
      </c>
      <c r="E65" s="9" t="n">
        <v>16402</v>
      </c>
      <c r="F65" s="10" t="n">
        <v>0.392035599380768</v>
      </c>
      <c r="G65" s="5" t="s">
        <v>134</v>
      </c>
      <c r="H65" s="9" t="n">
        <v>4642</v>
      </c>
    </row>
    <row r="66" customFormat="false" ht="15" hidden="false" customHeight="false" outlineLevel="0" collapsed="false">
      <c r="C66" s="5" t="s">
        <v>83</v>
      </c>
      <c r="D66" s="15" t="s">
        <v>122</v>
      </c>
      <c r="E66" s="9" t="n">
        <v>16221</v>
      </c>
      <c r="F66" s="10" t="n">
        <v>0.331178420381567</v>
      </c>
      <c r="G66" s="5" t="s">
        <v>135</v>
      </c>
      <c r="H66" s="9" t="n">
        <v>10920</v>
      </c>
    </row>
    <row r="68" customFormat="false" ht="15" hidden="false" customHeight="false" outlineLevel="0" collapsed="false">
      <c r="C68" s="3" t="s">
        <v>136</v>
      </c>
    </row>
    <row r="69" customFormat="false" ht="15" hidden="false" customHeight="false" outlineLevel="0" collapsed="false">
      <c r="C69" s="2" t="s">
        <v>137</v>
      </c>
    </row>
    <row r="70" customFormat="false" ht="23.85" hidden="false" customHeight="false" outlineLevel="0" collapsed="false">
      <c r="C70" s="4" t="s">
        <v>138</v>
      </c>
      <c r="D70" s="4" t="s">
        <v>139</v>
      </c>
      <c r="E70" s="4" t="s">
        <v>140</v>
      </c>
      <c r="F70" s="4" t="s">
        <v>141</v>
      </c>
      <c r="G70" s="4" t="s">
        <v>142</v>
      </c>
      <c r="H70" s="4" t="s">
        <v>100</v>
      </c>
      <c r="I70" s="4" t="s">
        <v>143</v>
      </c>
    </row>
    <row r="71" customFormat="false" ht="15" hidden="false" customHeight="false" outlineLevel="0" collapsed="false">
      <c r="C71" s="5" t="s">
        <v>144</v>
      </c>
      <c r="D71" s="9" t="n">
        <v>212883</v>
      </c>
      <c r="E71" s="10" t="n">
        <v>0.161741395309485</v>
      </c>
      <c r="F71" s="10" t="n">
        <v>0.161741395309485</v>
      </c>
      <c r="G71" s="15" t="s">
        <v>145</v>
      </c>
      <c r="H71" s="5" t="s">
        <v>146</v>
      </c>
      <c r="I71" s="10" t="n">
        <v>0.286887789441168</v>
      </c>
    </row>
    <row r="72" customFormat="false" ht="15" hidden="false" customHeight="false" outlineLevel="0" collapsed="false">
      <c r="C72" s="5" t="s">
        <v>147</v>
      </c>
      <c r="D72" s="9" t="n">
        <v>175345</v>
      </c>
      <c r="E72" s="10" t="n">
        <v>0.133221509174988</v>
      </c>
      <c r="F72" s="10" t="n">
        <v>0.294962904484472</v>
      </c>
      <c r="G72" s="15" t="s">
        <v>145</v>
      </c>
      <c r="H72" s="5" t="s">
        <v>148</v>
      </c>
      <c r="I72" s="10" t="n">
        <v>0.216756039992242</v>
      </c>
    </row>
    <row r="73" customFormat="false" ht="15" hidden="false" customHeight="false" outlineLevel="0" collapsed="false">
      <c r="C73" s="5" t="s">
        <v>149</v>
      </c>
      <c r="D73" s="9" t="n">
        <v>141999</v>
      </c>
      <c r="E73" s="10" t="n">
        <v>0.107886045817165</v>
      </c>
      <c r="F73" s="10" t="n">
        <v>0.402848950301637</v>
      </c>
      <c r="G73" s="15" t="s">
        <v>150</v>
      </c>
      <c r="H73" s="5" t="s">
        <v>125</v>
      </c>
      <c r="I73" s="10" t="n">
        <v>0.483475939109016</v>
      </c>
    </row>
    <row r="74" customFormat="false" ht="15" hidden="false" customHeight="false" outlineLevel="0" collapsed="false">
      <c r="C74" s="5" t="s">
        <v>151</v>
      </c>
      <c r="D74" s="9" t="n">
        <v>114292</v>
      </c>
      <c r="E74" s="10" t="n">
        <v>0.0868352631133963</v>
      </c>
      <c r="F74" s="10" t="n">
        <v>0.489684213415033</v>
      </c>
      <c r="G74" s="15" t="s">
        <v>145</v>
      </c>
      <c r="H74" s="5" t="s">
        <v>152</v>
      </c>
      <c r="I74" s="10" t="n">
        <v>0.310962559616029</v>
      </c>
    </row>
    <row r="75" customFormat="false" ht="15" hidden="false" customHeight="false" outlineLevel="0" collapsed="false">
      <c r="C75" s="5" t="s">
        <v>153</v>
      </c>
      <c r="D75" s="9" t="n">
        <v>112431</v>
      </c>
      <c r="E75" s="10" t="n">
        <v>0.0854213882442512</v>
      </c>
      <c r="F75" s="10" t="n">
        <v>0.575105601659285</v>
      </c>
      <c r="G75" s="15" t="s">
        <v>150</v>
      </c>
      <c r="H75" s="5" t="s">
        <v>154</v>
      </c>
      <c r="I75" s="10" t="n">
        <v>0.277102202330498</v>
      </c>
    </row>
    <row r="76" customFormat="false" ht="15" hidden="false" customHeight="false" outlineLevel="0" collapsed="false">
      <c r="C76" s="5" t="s">
        <v>155</v>
      </c>
      <c r="D76" s="9" t="n">
        <v>88999</v>
      </c>
      <c r="E76" s="10" t="n">
        <v>0.0676188108319562</v>
      </c>
      <c r="F76" s="10" t="n">
        <v>0.642724412491241</v>
      </c>
      <c r="G76" s="15" t="s">
        <v>156</v>
      </c>
      <c r="H76" s="5" t="s">
        <v>135</v>
      </c>
      <c r="I76" s="10" t="n">
        <v>0.594078829833493</v>
      </c>
    </row>
    <row r="77" customFormat="false" ht="15" hidden="false" customHeight="false" outlineLevel="0" collapsed="false">
      <c r="C77" s="5" t="s">
        <v>157</v>
      </c>
      <c r="D77" s="9" t="n">
        <v>55807</v>
      </c>
      <c r="E77" s="10" t="n">
        <v>0.0424006632348255</v>
      </c>
      <c r="F77" s="10" t="n">
        <v>0.685125075726066</v>
      </c>
      <c r="G77" s="15" t="s">
        <v>150</v>
      </c>
      <c r="H77" s="5" t="s">
        <v>158</v>
      </c>
      <c r="I77" s="10" t="n">
        <v>0.496486934794836</v>
      </c>
    </row>
    <row r="78" customFormat="false" ht="15" hidden="false" customHeight="false" outlineLevel="0" collapsed="false">
      <c r="C78" s="5" t="s">
        <v>159</v>
      </c>
      <c r="D78" s="9" t="n">
        <v>54857</v>
      </c>
      <c r="E78" s="10" t="n">
        <v>0.0416788989297788</v>
      </c>
      <c r="F78" s="10" t="n">
        <v>0.726803974655845</v>
      </c>
      <c r="G78" s="15" t="s">
        <v>150</v>
      </c>
      <c r="H78" s="5" t="s">
        <v>103</v>
      </c>
      <c r="I78" s="10" t="n">
        <v>0.540810439282496</v>
      </c>
    </row>
    <row r="79" customFormat="false" ht="15" hidden="false" customHeight="false" outlineLevel="0" collapsed="false">
      <c r="C79" s="5" t="s">
        <v>160</v>
      </c>
      <c r="D79" s="9" t="n">
        <v>49074</v>
      </c>
      <c r="E79" s="10" t="n">
        <v>0.0372849712500789</v>
      </c>
      <c r="F79" s="10" t="n">
        <v>0.764088945905924</v>
      </c>
      <c r="G79" s="15" t="s">
        <v>150</v>
      </c>
      <c r="H79" s="5" t="s">
        <v>130</v>
      </c>
      <c r="I79" s="10" t="n">
        <v>0.938560945312156</v>
      </c>
    </row>
    <row r="80" customFormat="false" ht="15" hidden="false" customHeight="false" outlineLevel="0" collapsed="false">
      <c r="C80" s="5" t="s">
        <v>161</v>
      </c>
      <c r="D80" s="9" t="n">
        <v>42153</v>
      </c>
      <c r="E80" s="10" t="n">
        <v>0.0320267088198051</v>
      </c>
      <c r="F80" s="10" t="n">
        <v>0.796115654725729</v>
      </c>
      <c r="G80" s="15" t="s">
        <v>150</v>
      </c>
      <c r="H80" s="5" t="s">
        <v>162</v>
      </c>
      <c r="I80" s="10" t="n">
        <v>0.72564151591525</v>
      </c>
    </row>
    <row r="81" customFormat="false" ht="15" hidden="false" customHeight="false" outlineLevel="0" collapsed="false">
      <c r="C81" s="5" t="s">
        <v>163</v>
      </c>
      <c r="D81" s="9" t="n">
        <v>36876</v>
      </c>
      <c r="E81" s="10" t="n">
        <v>0.0280169273855785</v>
      </c>
      <c r="F81" s="10" t="n">
        <v>0.824132582111308</v>
      </c>
      <c r="G81" s="15" t="s">
        <v>145</v>
      </c>
      <c r="H81" s="5" t="s">
        <v>164</v>
      </c>
      <c r="I81" s="10" t="n">
        <v>0.956971051892252</v>
      </c>
    </row>
    <row r="83" customFormat="false" ht="15" hidden="false" customHeight="false" outlineLevel="0" collapsed="false">
      <c r="C83" s="3" t="s">
        <v>165</v>
      </c>
    </row>
    <row r="84" customFormat="false" ht="15" hidden="false" customHeight="false" outlineLevel="0" collapsed="false">
      <c r="C84" s="4" t="s">
        <v>166</v>
      </c>
      <c r="D84" s="4" t="s">
        <v>138</v>
      </c>
      <c r="E84" s="4" t="s">
        <v>139</v>
      </c>
      <c r="F84" s="4" t="s">
        <v>167</v>
      </c>
      <c r="G84" s="4" t="s">
        <v>168</v>
      </c>
      <c r="H84" s="4" t="s">
        <v>169</v>
      </c>
    </row>
    <row r="85" customFormat="false" ht="15" hidden="false" customHeight="false" outlineLevel="0" collapsed="false">
      <c r="C85" s="5" t="s">
        <v>125</v>
      </c>
      <c r="D85" s="5" t="s">
        <v>149</v>
      </c>
      <c r="E85" s="9" t="n">
        <v>68653</v>
      </c>
      <c r="F85" s="15" t="n">
        <v>42</v>
      </c>
      <c r="G85" s="5" t="s">
        <v>104</v>
      </c>
      <c r="H85" s="9" t="n">
        <v>8261</v>
      </c>
    </row>
    <row r="86" customFormat="false" ht="15" hidden="false" customHeight="false" outlineLevel="0" collapsed="false">
      <c r="C86" s="5" t="s">
        <v>135</v>
      </c>
      <c r="D86" s="5" t="s">
        <v>155</v>
      </c>
      <c r="E86" s="9" t="n">
        <v>52873</v>
      </c>
      <c r="F86" s="15" t="n">
        <v>34</v>
      </c>
      <c r="G86" s="5" t="s">
        <v>83</v>
      </c>
      <c r="H86" s="9" t="n">
        <v>10283</v>
      </c>
    </row>
    <row r="87" customFormat="false" ht="15" hidden="false" customHeight="false" outlineLevel="0" collapsed="false">
      <c r="C87" s="5" t="s">
        <v>130</v>
      </c>
      <c r="D87" s="5" t="s">
        <v>160</v>
      </c>
      <c r="E87" s="9" t="n">
        <v>46059</v>
      </c>
      <c r="F87" s="15" t="n">
        <v>14</v>
      </c>
      <c r="G87" s="5" t="s">
        <v>34</v>
      </c>
      <c r="H87" s="9" t="n">
        <v>14950</v>
      </c>
    </row>
    <row r="88" customFormat="false" ht="15" hidden="false" customHeight="false" outlineLevel="0" collapsed="false">
      <c r="C88" s="5" t="s">
        <v>105</v>
      </c>
      <c r="D88" s="5" t="s">
        <v>149</v>
      </c>
      <c r="E88" s="9" t="n">
        <v>34629</v>
      </c>
      <c r="F88" s="15" t="n">
        <v>37</v>
      </c>
      <c r="G88" s="5" t="s">
        <v>104</v>
      </c>
      <c r="H88" s="9" t="n">
        <v>8363</v>
      </c>
    </row>
    <row r="89" customFormat="false" ht="15" hidden="false" customHeight="false" outlineLevel="0" collapsed="false">
      <c r="C89" s="5" t="s">
        <v>154</v>
      </c>
      <c r="D89" s="5" t="s">
        <v>153</v>
      </c>
      <c r="E89" s="9" t="n">
        <v>31155</v>
      </c>
      <c r="F89" s="15" t="n">
        <v>38</v>
      </c>
      <c r="G89" s="5" t="s">
        <v>60</v>
      </c>
      <c r="H89" s="9" t="n">
        <v>3364</v>
      </c>
    </row>
    <row r="90" customFormat="false" ht="15" hidden="false" customHeight="false" outlineLevel="0" collapsed="false">
      <c r="C90" s="5" t="s">
        <v>162</v>
      </c>
      <c r="D90" s="5" t="s">
        <v>161</v>
      </c>
      <c r="E90" s="9" t="n">
        <v>30588</v>
      </c>
      <c r="F90" s="15" t="n">
        <v>28</v>
      </c>
      <c r="G90" s="5" t="s">
        <v>170</v>
      </c>
      <c r="H90" s="9" t="n">
        <v>9056</v>
      </c>
    </row>
    <row r="91" customFormat="false" ht="15" hidden="false" customHeight="false" outlineLevel="0" collapsed="false">
      <c r="C91" s="5" t="s">
        <v>103</v>
      </c>
      <c r="D91" s="5" t="s">
        <v>159</v>
      </c>
      <c r="E91" s="9" t="n">
        <v>29667</v>
      </c>
      <c r="F91" s="15" t="n">
        <v>26</v>
      </c>
      <c r="G91" s="5" t="s">
        <v>171</v>
      </c>
      <c r="H91" s="9" t="n">
        <v>26581</v>
      </c>
    </row>
    <row r="92" customFormat="false" ht="15" hidden="false" customHeight="false" outlineLevel="0" collapsed="false">
      <c r="C92" s="5" t="s">
        <v>158</v>
      </c>
      <c r="D92" s="5" t="s">
        <v>157</v>
      </c>
      <c r="E92" s="9" t="n">
        <v>27708</v>
      </c>
      <c r="F92" s="15" t="n">
        <v>5</v>
      </c>
      <c r="G92" s="5" t="s">
        <v>39</v>
      </c>
      <c r="H92" s="9" t="n">
        <v>19404</v>
      </c>
    </row>
    <row r="93" customFormat="false" ht="15" hidden="false" customHeight="false" outlineLevel="0" collapsed="false">
      <c r="C93" s="5" t="s">
        <v>127</v>
      </c>
      <c r="D93" s="5" t="s">
        <v>159</v>
      </c>
      <c r="E93" s="9" t="n">
        <v>20944</v>
      </c>
      <c r="F93" s="15" t="n">
        <v>29</v>
      </c>
      <c r="G93" s="5" t="s">
        <v>172</v>
      </c>
      <c r="H93" s="9" t="n">
        <v>5689</v>
      </c>
    </row>
    <row r="94" customFormat="false" ht="15" hidden="false" customHeight="false" outlineLevel="0" collapsed="false">
      <c r="C94" s="5" t="s">
        <v>173</v>
      </c>
      <c r="D94" s="5" t="s">
        <v>153</v>
      </c>
      <c r="E94" s="9" t="n">
        <v>18751</v>
      </c>
      <c r="F94" s="15" t="n">
        <v>30</v>
      </c>
      <c r="G94" s="5" t="s">
        <v>60</v>
      </c>
      <c r="H94" s="9" t="n">
        <v>2517</v>
      </c>
    </row>
    <row r="95" customFormat="false" ht="15" hidden="false" customHeight="false" outlineLevel="0" collapsed="false">
      <c r="C95" s="5" t="s">
        <v>174</v>
      </c>
      <c r="D95" s="5" t="s">
        <v>153</v>
      </c>
      <c r="E95" s="9" t="n">
        <v>17515</v>
      </c>
      <c r="F95" s="15" t="n">
        <v>36</v>
      </c>
      <c r="G95" s="5" t="s">
        <v>175</v>
      </c>
      <c r="H95" s="9" t="n">
        <v>2173</v>
      </c>
    </row>
    <row r="96" customFormat="false" ht="15" hidden="false" customHeight="false" outlineLevel="0" collapsed="false">
      <c r="C96" s="5" t="s">
        <v>176</v>
      </c>
      <c r="D96" s="5" t="s">
        <v>177</v>
      </c>
      <c r="E96" s="9" t="n">
        <v>16314</v>
      </c>
      <c r="F96" s="15" t="n">
        <v>34</v>
      </c>
      <c r="G96" s="5" t="s">
        <v>88</v>
      </c>
      <c r="H96" s="9" t="n">
        <v>3533</v>
      </c>
    </row>
    <row r="97" customFormat="false" ht="15" hidden="false" customHeight="false" outlineLevel="0" collapsed="false">
      <c r="C97" s="5" t="s">
        <v>178</v>
      </c>
      <c r="D97" s="5" t="s">
        <v>179</v>
      </c>
      <c r="E97" s="9" t="n">
        <v>15744</v>
      </c>
      <c r="F97" s="15" t="n">
        <v>31</v>
      </c>
      <c r="G97" s="5" t="s">
        <v>47</v>
      </c>
      <c r="H97" s="9" t="n">
        <v>2236</v>
      </c>
    </row>
    <row r="98" customFormat="false" ht="15" hidden="false" customHeight="false" outlineLevel="0" collapsed="false">
      <c r="C98" s="5" t="s">
        <v>180</v>
      </c>
      <c r="D98" s="5" t="s">
        <v>149</v>
      </c>
      <c r="E98" s="9" t="n">
        <v>15393</v>
      </c>
      <c r="F98" s="15" t="n">
        <v>35</v>
      </c>
      <c r="G98" s="5" t="s">
        <v>104</v>
      </c>
      <c r="H98" s="9" t="n">
        <v>3288</v>
      </c>
    </row>
    <row r="99" customFormat="false" ht="15" hidden="false" customHeight="false" outlineLevel="0" collapsed="false">
      <c r="C99" s="5" t="s">
        <v>181</v>
      </c>
      <c r="D99" s="5" t="s">
        <v>182</v>
      </c>
      <c r="E99" s="9" t="n">
        <v>14112</v>
      </c>
      <c r="F99" s="15" t="n">
        <v>32</v>
      </c>
      <c r="G99" s="5" t="s">
        <v>47</v>
      </c>
      <c r="H99" s="9" t="n">
        <v>2347</v>
      </c>
    </row>
    <row r="101" customFormat="false" ht="15" hidden="false" customHeight="false" outlineLevel="0" collapsed="false">
      <c r="C101" s="3" t="s">
        <v>183</v>
      </c>
    </row>
    <row r="102" customFormat="false" ht="15" hidden="false" customHeight="false" outlineLevel="0" collapsed="false">
      <c r="C102" s="4" t="s">
        <v>184</v>
      </c>
      <c r="D102" s="4" t="s">
        <v>185</v>
      </c>
      <c r="E102" s="4" t="s">
        <v>186</v>
      </c>
      <c r="F102" s="4" t="s">
        <v>187</v>
      </c>
      <c r="G102" s="4" t="s">
        <v>188</v>
      </c>
    </row>
    <row r="103" customFormat="false" ht="23.85" hidden="false" customHeight="false" outlineLevel="0" collapsed="false">
      <c r="C103" s="14" t="s">
        <v>189</v>
      </c>
      <c r="D103" s="14" t="s">
        <v>190</v>
      </c>
      <c r="E103" s="9" t="n">
        <f aca="false">SUMIF($H$160:$H$418,"&gt;=500")</f>
        <v>2224738</v>
      </c>
      <c r="F103" s="5" t="s">
        <v>191</v>
      </c>
      <c r="G103" s="5" t="s">
        <v>192</v>
      </c>
    </row>
    <row r="104" customFormat="false" ht="23.85" hidden="false" customHeight="false" outlineLevel="0" collapsed="false">
      <c r="C104" s="14" t="s">
        <v>193</v>
      </c>
      <c r="D104" s="14" t="s">
        <v>194</v>
      </c>
      <c r="E104" s="9"/>
      <c r="F104" s="5" t="s">
        <v>191</v>
      </c>
      <c r="G104" s="5" t="s">
        <v>195</v>
      </c>
    </row>
    <row r="105" customFormat="false" ht="23.85" hidden="false" customHeight="false" outlineLevel="0" collapsed="false">
      <c r="C105" s="14" t="s">
        <v>196</v>
      </c>
      <c r="D105" s="14" t="s">
        <v>197</v>
      </c>
      <c r="E105" s="9" t="n">
        <f aca="false">SUMIF($G$160:$G$418,"&gt;=3000")</f>
        <v>1307123</v>
      </c>
      <c r="F105" s="5" t="s">
        <v>198</v>
      </c>
      <c r="G105" s="5" t="s">
        <v>199</v>
      </c>
    </row>
    <row r="106" customFormat="false" ht="23.85" hidden="false" customHeight="false" outlineLevel="0" collapsed="false">
      <c r="C106" s="14" t="s">
        <v>200</v>
      </c>
      <c r="D106" s="14" t="s">
        <v>201</v>
      </c>
      <c r="E106" s="9" t="n">
        <f aca="false">SUMIF($J$160:$J$418,"&gt;=1000")</f>
        <v>612216</v>
      </c>
      <c r="F106" s="5" t="s">
        <v>202</v>
      </c>
      <c r="G106" s="5" t="s">
        <v>195</v>
      </c>
    </row>
    <row r="107" customFormat="false" ht="15" hidden="false" customHeight="false" outlineLevel="0" collapsed="false">
      <c r="C107" s="14" t="s">
        <v>203</v>
      </c>
      <c r="D107" s="14" t="s">
        <v>204</v>
      </c>
      <c r="E107" s="9" t="n">
        <f aca="false">SUMIF($K$160:$K$418,"&gt;=500")</f>
        <v>190923</v>
      </c>
      <c r="F107" s="5" t="s">
        <v>205</v>
      </c>
      <c r="G107" s="5" t="s">
        <v>206</v>
      </c>
    </row>
    <row r="108" customFormat="false" ht="23.85" hidden="false" customHeight="false" outlineLevel="0" collapsed="false">
      <c r="C108" s="14" t="s">
        <v>207</v>
      </c>
      <c r="D108" s="14" t="s">
        <v>208</v>
      </c>
      <c r="E108" s="9" t="n">
        <f aca="false">SUMIF($M$160:$M$418,"&gt;=500")</f>
        <v>183066</v>
      </c>
      <c r="F108" s="5" t="s">
        <v>209</v>
      </c>
      <c r="G108" s="5" t="s">
        <v>206</v>
      </c>
    </row>
    <row r="109" customFormat="false" ht="23.85" hidden="false" customHeight="false" outlineLevel="0" collapsed="false">
      <c r="C109" s="14" t="s">
        <v>210</v>
      </c>
      <c r="D109" s="14" t="s">
        <v>211</v>
      </c>
      <c r="E109" s="9" t="n">
        <f aca="false">SUMIF($L$160:$L$418,"&gt;=500")+SUMIF($N$160:$N$418,"&gt;=500")</f>
        <v>79111</v>
      </c>
      <c r="F109" s="5" t="s">
        <v>212</v>
      </c>
      <c r="G109" s="5" t="s">
        <v>206</v>
      </c>
    </row>
    <row r="110" customFormat="false" ht="23.85" hidden="false" customHeight="false" outlineLevel="0" collapsed="false">
      <c r="C110" s="14" t="s">
        <v>213</v>
      </c>
      <c r="D110" s="14" t="s">
        <v>214</v>
      </c>
      <c r="E110" s="9" t="n">
        <f aca="false">-SUMIF($O$160:$O$418,"&lt;0")</f>
        <v>1171310</v>
      </c>
      <c r="F110" s="5" t="s">
        <v>215</v>
      </c>
      <c r="G110" s="5" t="s">
        <v>206</v>
      </c>
    </row>
    <row r="111" customFormat="false" ht="15" hidden="false" customHeight="false" outlineLevel="0" collapsed="false">
      <c r="C111" s="14" t="s">
        <v>216</v>
      </c>
      <c r="D111" s="14" t="s">
        <v>217</v>
      </c>
      <c r="E111" s="9"/>
      <c r="F111" s="5" t="s">
        <v>218</v>
      </c>
      <c r="G111" s="5" t="s">
        <v>219</v>
      </c>
    </row>
    <row r="112" customFormat="false" ht="23.85" hidden="false" customHeight="false" outlineLevel="0" collapsed="false">
      <c r="C112" s="14" t="s">
        <v>220</v>
      </c>
      <c r="D112" s="14" t="s">
        <v>221</v>
      </c>
      <c r="E112" s="9"/>
      <c r="F112" s="5" t="s">
        <v>222</v>
      </c>
      <c r="G112" s="5" t="s">
        <v>219</v>
      </c>
    </row>
    <row r="113" customFormat="false" ht="35.05" hidden="false" customHeight="false" outlineLevel="0" collapsed="false">
      <c r="C113" s="14" t="s">
        <v>223</v>
      </c>
      <c r="D113" s="14" t="s">
        <v>224</v>
      </c>
      <c r="E113" s="9"/>
      <c r="F113" s="5" t="s">
        <v>29</v>
      </c>
      <c r="G113" s="5" t="s">
        <v>192</v>
      </c>
    </row>
    <row r="115" customFormat="false" ht="15" hidden="false" customHeight="false" outlineLevel="0" collapsed="false">
      <c r="C115" s="3" t="s">
        <v>225</v>
      </c>
    </row>
    <row r="116" customFormat="false" ht="15" hidden="false" customHeight="false" outlineLevel="0" collapsed="false">
      <c r="C116" s="2" t="s">
        <v>226</v>
      </c>
    </row>
    <row r="117" customFormat="false" ht="23.85" hidden="false" customHeight="false" outlineLevel="0" collapsed="false">
      <c r="C117" s="4" t="s">
        <v>27</v>
      </c>
      <c r="D117" s="4" t="s">
        <v>30</v>
      </c>
      <c r="E117" s="4" t="s">
        <v>227</v>
      </c>
      <c r="F117" s="4" t="s">
        <v>228</v>
      </c>
      <c r="G117" s="4" t="s">
        <v>229</v>
      </c>
      <c r="H117" s="4" t="s">
        <v>230</v>
      </c>
      <c r="I117" s="4" t="s">
        <v>231</v>
      </c>
    </row>
    <row r="118" customFormat="false" ht="15" hidden="false" customHeight="false" outlineLevel="0" collapsed="false">
      <c r="C118" s="5" t="s">
        <v>34</v>
      </c>
      <c r="D118" s="9" t="n">
        <f aca="false">INDEX($O$160:$O$418,MATCH(C118,$C$160:$C$418,0))</f>
        <v>155636</v>
      </c>
      <c r="E118" s="9" t="n">
        <v>150000</v>
      </c>
      <c r="F118" s="9" t="n">
        <v>275</v>
      </c>
      <c r="G118" s="9" t="n">
        <f aca="false">MAX(0,D118-F118)</f>
        <v>155361</v>
      </c>
      <c r="H118" s="16" t="n">
        <f aca="false">IFERROR(E118/G118,0)</f>
        <v>0.965493270511905</v>
      </c>
      <c r="I118" s="5" t="str">
        <f aca="false">IF(E118&gt;D118,"Above IH loss",IF(E118&gt;G118,"Above non-perishable pool","OK"))</f>
        <v>OK</v>
      </c>
    </row>
    <row r="119" customFormat="false" ht="15" hidden="false" customHeight="false" outlineLevel="0" collapsed="false">
      <c r="C119" s="5" t="s">
        <v>39</v>
      </c>
      <c r="D119" s="9" t="n">
        <f aca="false">INDEX($O$160:$O$418,MATCH(C119,$C$160:$C$418,0))</f>
        <v>135225</v>
      </c>
      <c r="E119" s="9" t="n">
        <v>100000</v>
      </c>
      <c r="F119" s="9" t="n">
        <v>215</v>
      </c>
      <c r="G119" s="9" t="n">
        <f aca="false">MAX(0,D119-F119)</f>
        <v>135010</v>
      </c>
      <c r="H119" s="16" t="n">
        <f aca="false">IFERROR(E119/G119,0)</f>
        <v>0.740685875120361</v>
      </c>
      <c r="I119" s="5" t="str">
        <f aca="false">IF(E119&gt;D119,"Above IH loss",IF(E119&gt;G119,"Above non-perishable pool","OK"))</f>
        <v>OK</v>
      </c>
    </row>
    <row r="120" customFormat="false" ht="15" hidden="false" customHeight="false" outlineLevel="0" collapsed="false">
      <c r="C120" s="5" t="s">
        <v>47</v>
      </c>
      <c r="D120" s="9" t="n">
        <f aca="false">INDEX($O$160:$O$418,MATCH(C120,$C$160:$C$418,0))</f>
        <v>105001</v>
      </c>
      <c r="E120" s="9" t="n">
        <v>50000</v>
      </c>
      <c r="F120" s="9" t="n">
        <v>0</v>
      </c>
      <c r="G120" s="9" t="n">
        <f aca="false">MAX(0,D120-F120)</f>
        <v>105001</v>
      </c>
      <c r="H120" s="16" t="n">
        <f aca="false">IFERROR(E120/G120,0)</f>
        <v>0.476185941086275</v>
      </c>
      <c r="I120" s="5" t="str">
        <f aca="false">IF(E120&gt;D120,"Above IH loss",IF(E120&gt;G120,"Above non-perishable pool","OK"))</f>
        <v>OK</v>
      </c>
    </row>
    <row r="121" customFormat="false" ht="15" hidden="false" customHeight="false" outlineLevel="0" collapsed="false">
      <c r="C121" s="5" t="s">
        <v>64</v>
      </c>
      <c r="D121" s="9" t="n">
        <f aca="false">INDEX($O$160:$O$418,MATCH(C121,$C$160:$C$418,0))</f>
        <v>58886</v>
      </c>
      <c r="E121" s="9" t="n">
        <v>50000</v>
      </c>
      <c r="F121" s="9" t="n">
        <v>0</v>
      </c>
      <c r="G121" s="9" t="n">
        <f aca="false">MAX(0,D121-F121)</f>
        <v>58886</v>
      </c>
      <c r="H121" s="16" t="n">
        <f aca="false">IFERROR(E121/G121,0)</f>
        <v>0.849098257650375</v>
      </c>
      <c r="I121" s="5" t="str">
        <f aca="false">IF(E121&gt;D121,"Above IH loss",IF(E121&gt;G121,"Above non-perishable pool","OK"))</f>
        <v>OK</v>
      </c>
    </row>
    <row r="122" customFormat="false" ht="15" hidden="false" customHeight="false" outlineLevel="0" collapsed="false">
      <c r="C122" s="5" t="s">
        <v>67</v>
      </c>
      <c r="D122" s="9" t="n">
        <f aca="false">INDEX($O$160:$O$418,MATCH(C122,$C$160:$C$418,0))</f>
        <v>57750</v>
      </c>
      <c r="E122" s="9" t="n">
        <v>40000</v>
      </c>
      <c r="F122" s="9" t="n">
        <v>32024</v>
      </c>
      <c r="G122" s="9" t="n">
        <f aca="false">MAX(0,D122-F122)</f>
        <v>25726</v>
      </c>
      <c r="H122" s="16" t="n">
        <f aca="false">IFERROR(E122/G122,0)</f>
        <v>1.55484723625904</v>
      </c>
      <c r="I122" s="5" t="str">
        <f aca="false">IF(E122&gt;D122,"Above IH loss",IF(E122&gt;G122,"Above non-perishable pool","OK"))</f>
        <v>Above non-perishable pool</v>
      </c>
    </row>
    <row r="123" customFormat="false" ht="15" hidden="false" customHeight="false" outlineLevel="0" collapsed="false">
      <c r="C123" s="5" t="s">
        <v>83</v>
      </c>
      <c r="D123" s="9" t="n">
        <f aca="false">INDEX($O$160:$O$418,MATCH(C123,$C$160:$C$418,0))</f>
        <v>51771</v>
      </c>
      <c r="E123" s="9" t="n">
        <v>35000</v>
      </c>
      <c r="F123" s="9" t="n">
        <v>21133</v>
      </c>
      <c r="G123" s="9" t="n">
        <f aca="false">MAX(0,D123-F123)</f>
        <v>30638</v>
      </c>
      <c r="H123" s="16" t="n">
        <f aca="false">IFERROR(E123/G123,0)</f>
        <v>1.14237221750767</v>
      </c>
      <c r="I123" s="5" t="str">
        <f aca="false">IF(E123&gt;D123,"Above IH loss",IF(E123&gt;G123,"Above non-perishable pool","OK"))</f>
        <v>Above non-perishable pool</v>
      </c>
    </row>
    <row r="124" customFormat="false" ht="15" hidden="false" customHeight="false" outlineLevel="0" collapsed="false">
      <c r="C124" s="5" t="s">
        <v>104</v>
      </c>
      <c r="D124" s="9" t="n">
        <f aca="false">INDEX($O$160:$O$418,MATCH(C124,$C$160:$C$418,0))</f>
        <v>48665</v>
      </c>
      <c r="E124" s="9" t="n">
        <v>40000</v>
      </c>
      <c r="F124" s="9" t="n">
        <v>0</v>
      </c>
      <c r="G124" s="9" t="n">
        <f aca="false">MAX(0,D124-F124)</f>
        <v>48665</v>
      </c>
      <c r="H124" s="16" t="n">
        <f aca="false">IFERROR(E124/G124,0)</f>
        <v>0.821945957053324</v>
      </c>
      <c r="I124" s="5" t="str">
        <f aca="false">IF(E124&gt;D124,"Above IH loss",IF(E124&gt;G124,"Above non-perishable pool","OK"))</f>
        <v>OK</v>
      </c>
    </row>
    <row r="125" customFormat="false" ht="15" hidden="false" customHeight="false" outlineLevel="0" collapsed="false">
      <c r="C125" s="5" t="s">
        <v>232</v>
      </c>
      <c r="D125" s="9" t="n">
        <f aca="false">INDEX($O$160:$O$418,MATCH(C125,$C$160:$C$418,0))</f>
        <v>47094</v>
      </c>
      <c r="E125" s="9" t="n">
        <v>40000</v>
      </c>
      <c r="F125" s="9" t="n">
        <v>12228</v>
      </c>
      <c r="G125" s="9" t="n">
        <f aca="false">MAX(0,D125-F125)</f>
        <v>34866</v>
      </c>
      <c r="H125" s="16" t="n">
        <f aca="false">IFERROR(E125/G125,0)</f>
        <v>1.14724946939712</v>
      </c>
      <c r="I125" s="5" t="str">
        <f aca="false">IF(E125&gt;D125,"Above IH loss",IF(E125&gt;G125,"Above non-perishable pool","OK"))</f>
        <v>Above non-perishable pool</v>
      </c>
    </row>
    <row r="126" customFormat="false" ht="15" hidden="false" customHeight="false" outlineLevel="0" collapsed="false">
      <c r="C126" s="5" t="s">
        <v>233</v>
      </c>
      <c r="D126" s="9" t="n">
        <f aca="false">INDEX($O$160:$O$418,MATCH(C126,$C$160:$C$418,0))</f>
        <v>43571</v>
      </c>
      <c r="E126" s="9" t="n">
        <v>40000</v>
      </c>
      <c r="F126" s="9" t="n">
        <v>30527</v>
      </c>
      <c r="G126" s="9" t="n">
        <f aca="false">MAX(0,D126-F126)</f>
        <v>13044</v>
      </c>
      <c r="H126" s="16" t="n">
        <f aca="false">IFERROR(E126/G126,0)</f>
        <v>3.06654400490647</v>
      </c>
      <c r="I126" s="5" t="str">
        <f aca="false">IF(E126&gt;D126,"Above IH loss",IF(E126&gt;G126,"Above non-perishable pool","OK"))</f>
        <v>Above non-perishable pool</v>
      </c>
    </row>
    <row r="127" customFormat="false" ht="15" hidden="false" customHeight="false" outlineLevel="0" collapsed="false">
      <c r="C127" s="5" t="s">
        <v>126</v>
      </c>
      <c r="D127" s="9" t="n">
        <f aca="false">INDEX($O$160:$O$418,MATCH(C127,$C$160:$C$418,0))</f>
        <v>43012</v>
      </c>
      <c r="E127" s="9" t="n">
        <v>40000</v>
      </c>
      <c r="F127" s="9" t="n">
        <v>9173</v>
      </c>
      <c r="G127" s="9" t="n">
        <f aca="false">MAX(0,D127-F127)</f>
        <v>33839</v>
      </c>
      <c r="H127" s="16" t="n">
        <f aca="false">IFERROR(E127/G127,0)</f>
        <v>1.18206802801501</v>
      </c>
      <c r="I127" s="5" t="str">
        <f aca="false">IF(E127&gt;D127,"Above IH loss",IF(E127&gt;G127,"Above non-perishable pool","OK"))</f>
        <v>Above non-perishable pool</v>
      </c>
    </row>
    <row r="128" customFormat="false" ht="15" hidden="false" customHeight="false" outlineLevel="0" collapsed="false">
      <c r="C128" s="5" t="s">
        <v>234</v>
      </c>
      <c r="D128" s="9" t="n">
        <f aca="false">INDEX($O$160:$O$418,MATCH(C128,$C$160:$C$418,0))</f>
        <v>41500</v>
      </c>
      <c r="E128" s="9" t="n">
        <v>40000</v>
      </c>
      <c r="F128" s="9" t="n">
        <v>12355</v>
      </c>
      <c r="G128" s="9" t="n">
        <f aca="false">MAX(0,D128-F128)</f>
        <v>29145</v>
      </c>
      <c r="H128" s="16" t="n">
        <f aca="false">IFERROR(E128/G128,0)</f>
        <v>1.37244810430606</v>
      </c>
      <c r="I128" s="5" t="str">
        <f aca="false">IF(E128&gt;D128,"Above IH loss",IF(E128&gt;G128,"Above non-perishable pool","OK"))</f>
        <v>Above non-perishable pool</v>
      </c>
    </row>
    <row r="129" customFormat="false" ht="15" hidden="false" customHeight="false" outlineLevel="0" collapsed="false">
      <c r="C129" s="5" t="s">
        <v>235</v>
      </c>
      <c r="D129" s="9" t="n">
        <f aca="false">INDEX($O$160:$O$418,MATCH(C129,$C$160:$C$418,0))</f>
        <v>40242</v>
      </c>
      <c r="E129" s="9" t="n">
        <v>40000</v>
      </c>
      <c r="F129" s="9" t="n">
        <v>31583</v>
      </c>
      <c r="G129" s="9" t="n">
        <f aca="false">MAX(0,D129-F129)</f>
        <v>8659</v>
      </c>
      <c r="H129" s="16" t="n">
        <f aca="false">IFERROR(E129/G129,0)</f>
        <v>4.61947107056242</v>
      </c>
      <c r="I129" s="5" t="str">
        <f aca="false">IF(E129&gt;D129,"Above IH loss",IF(E129&gt;G129,"Above non-perishable pool","OK"))</f>
        <v>Above non-perishable pool</v>
      </c>
    </row>
    <row r="130" customFormat="false" ht="15" hidden="false" customHeight="false" outlineLevel="0" collapsed="false">
      <c r="C130" s="5" t="s">
        <v>236</v>
      </c>
      <c r="D130" s="9" t="n">
        <f aca="false">INDEX($O$160:$O$418,MATCH(C130,$C$160:$C$418,0))</f>
        <v>39679</v>
      </c>
      <c r="E130" s="9" t="n">
        <v>40000</v>
      </c>
      <c r="F130" s="9" t="n">
        <v>13890</v>
      </c>
      <c r="G130" s="9" t="n">
        <f aca="false">MAX(0,D130-F130)</f>
        <v>25789</v>
      </c>
      <c r="H130" s="16" t="n">
        <f aca="false">IFERROR(E130/G130,0)</f>
        <v>1.55104889681647</v>
      </c>
      <c r="I130" s="5" t="str">
        <f aca="false">IF(E130&gt;D130,"Above IH loss",IF(E130&gt;G130,"Above non-perishable pool","OK"))</f>
        <v>Above IH loss</v>
      </c>
    </row>
    <row r="131" customFormat="false" ht="15" hidden="false" customHeight="false" outlineLevel="0" collapsed="false">
      <c r="C131" s="5" t="s">
        <v>237</v>
      </c>
      <c r="D131" s="9" t="n">
        <f aca="false">INDEX($O$160:$O$418,MATCH(C131,$C$160:$C$418,0))</f>
        <v>38336</v>
      </c>
      <c r="E131" s="9" t="n">
        <v>38000</v>
      </c>
      <c r="F131" s="9" t="n">
        <v>0</v>
      </c>
      <c r="G131" s="9" t="n">
        <f aca="false">MAX(0,D131-F131)</f>
        <v>38336</v>
      </c>
      <c r="H131" s="16" t="n">
        <f aca="false">IFERROR(E131/G131,0)</f>
        <v>0.991235392320534</v>
      </c>
      <c r="I131" s="5" t="str">
        <f aca="false">IF(E131&gt;D131,"Above IH loss",IF(E131&gt;G131,"Above non-perishable pool","OK"))</f>
        <v>OK</v>
      </c>
    </row>
    <row r="132" customFormat="false" ht="15" hidden="false" customHeight="false" outlineLevel="0" collapsed="false">
      <c r="C132" s="5" t="s">
        <v>238</v>
      </c>
      <c r="D132" s="9" t="n">
        <f aca="false">INDEX($O$160:$O$418,MATCH(C132,$C$160:$C$418,0))</f>
        <v>30401</v>
      </c>
      <c r="E132" s="9" t="n">
        <v>30000</v>
      </c>
      <c r="F132" s="9" t="n">
        <v>12836</v>
      </c>
      <c r="G132" s="9" t="n">
        <f aca="false">MAX(0,D132-F132)</f>
        <v>17565</v>
      </c>
      <c r="H132" s="16" t="n">
        <f aca="false">IFERROR(E132/G132,0)</f>
        <v>1.70794192997438</v>
      </c>
      <c r="I132" s="5" t="str">
        <f aca="false">IF(E132&gt;D132,"Above IH loss",IF(E132&gt;G132,"Above non-perishable pool","OK"))</f>
        <v>Above non-perishable pool</v>
      </c>
    </row>
    <row r="133" customFormat="false" ht="15" hidden="false" customHeight="false" outlineLevel="0" collapsed="false">
      <c r="C133" s="5" t="s">
        <v>108</v>
      </c>
      <c r="D133" s="9" t="n">
        <f aca="false">INDEX($O$160:$O$418,MATCH(C133,$C$160:$C$418,0))</f>
        <v>29752</v>
      </c>
      <c r="E133" s="9" t="n">
        <v>25000</v>
      </c>
      <c r="F133" s="9" t="n">
        <v>8227</v>
      </c>
      <c r="G133" s="9" t="n">
        <f aca="false">MAX(0,D133-F133)</f>
        <v>21525</v>
      </c>
      <c r="H133" s="16" t="n">
        <f aca="false">IFERROR(E133/G133,0)</f>
        <v>1.16144018583043</v>
      </c>
      <c r="I133" s="5" t="str">
        <f aca="false">IF(E133&gt;D133,"Above IH loss",IF(E133&gt;G133,"Above non-perishable pool","OK"))</f>
        <v>Above non-perishable pool</v>
      </c>
    </row>
    <row r="134" customFormat="false" ht="15" hidden="false" customHeight="false" outlineLevel="0" collapsed="false">
      <c r="C134" s="5" t="s">
        <v>239</v>
      </c>
      <c r="D134" s="9" t="n">
        <f aca="false">INDEX($O$160:$O$418,MATCH(C134,$C$160:$C$418,0))</f>
        <v>28377</v>
      </c>
      <c r="E134" s="9" t="n">
        <v>28000</v>
      </c>
      <c r="F134" s="9" t="n">
        <v>0</v>
      </c>
      <c r="G134" s="9" t="n">
        <f aca="false">MAX(0,D134-F134)</f>
        <v>28377</v>
      </c>
      <c r="H134" s="16" t="n">
        <f aca="false">IFERROR(E134/G134,0)</f>
        <v>0.986714592804031</v>
      </c>
      <c r="I134" s="5" t="str">
        <f aca="false">IF(E134&gt;D134,"Above IH loss",IF(E134&gt;G134,"Above non-perishable pool","OK"))</f>
        <v>OK</v>
      </c>
    </row>
    <row r="135" customFormat="false" ht="15" hidden="false" customHeight="false" outlineLevel="0" collapsed="false">
      <c r="C135" s="5" t="s">
        <v>240</v>
      </c>
      <c r="D135" s="9" t="n">
        <f aca="false">INDEX($O$160:$O$418,MATCH(C135,$C$160:$C$418,0))</f>
        <v>21901</v>
      </c>
      <c r="E135" s="9" t="n">
        <v>20000</v>
      </c>
      <c r="F135" s="9" t="n">
        <v>0</v>
      </c>
      <c r="G135" s="9" t="n">
        <f aca="false">MAX(0,D135-F135)</f>
        <v>21901</v>
      </c>
      <c r="H135" s="16" t="n">
        <f aca="false">IFERROR(E135/G135,0)</f>
        <v>0.913200310488106</v>
      </c>
      <c r="I135" s="5" t="str">
        <f aca="false">IF(E135&gt;D135,"Above IH loss",IF(E135&gt;G135,"Above non-perishable pool","OK"))</f>
        <v>OK</v>
      </c>
    </row>
    <row r="136" customFormat="false" ht="15" hidden="false" customHeight="false" outlineLevel="0" collapsed="false">
      <c r="C136" s="5" t="s">
        <v>241</v>
      </c>
      <c r="D136" s="9" t="n">
        <f aca="false">INDEX($O$160:$O$418,MATCH(C136,$C$160:$C$418,0))</f>
        <v>21363</v>
      </c>
      <c r="E136" s="9" t="n">
        <v>21000</v>
      </c>
      <c r="F136" s="9" t="n">
        <v>0</v>
      </c>
      <c r="G136" s="9" t="n">
        <f aca="false">MAX(0,D136-F136)</f>
        <v>21363</v>
      </c>
      <c r="H136" s="16" t="n">
        <f aca="false">IFERROR(E136/G136,0)</f>
        <v>0.983008004493751</v>
      </c>
      <c r="I136" s="5" t="str">
        <f aca="false">IF(E136&gt;D136,"Above IH loss",IF(E136&gt;G136,"Above non-perishable pool","OK"))</f>
        <v>OK</v>
      </c>
    </row>
    <row r="137" customFormat="false" ht="15" hidden="false" customHeight="false" outlineLevel="0" collapsed="false">
      <c r="C137" s="5" t="s">
        <v>242</v>
      </c>
      <c r="D137" s="9" t="n">
        <f aca="false">INDEX($O$160:$O$418,MATCH(C137,$C$160:$C$418,0))</f>
        <v>20817</v>
      </c>
      <c r="E137" s="9" t="n">
        <v>20000</v>
      </c>
      <c r="F137" s="9" t="n">
        <v>0</v>
      </c>
      <c r="G137" s="9" t="n">
        <f aca="false">MAX(0,D137-F137)</f>
        <v>20817</v>
      </c>
      <c r="H137" s="16" t="n">
        <f aca="false">IFERROR(E137/G137,0)</f>
        <v>0.960753230532738</v>
      </c>
      <c r="I137" s="5" t="str">
        <f aca="false">IF(E137&gt;D137,"Above IH loss",IF(E137&gt;G137,"Above non-perishable pool","OK"))</f>
        <v>OK</v>
      </c>
    </row>
    <row r="138" customFormat="false" ht="15" hidden="false" customHeight="false" outlineLevel="0" collapsed="false">
      <c r="C138" s="5" t="s">
        <v>243</v>
      </c>
      <c r="D138" s="9" t="n">
        <f aca="false">INDEX($O$160:$O$418,MATCH(C138,$C$160:$C$418,0))</f>
        <v>15527</v>
      </c>
      <c r="E138" s="9" t="n">
        <v>10000</v>
      </c>
      <c r="F138" s="9" t="n">
        <v>0</v>
      </c>
      <c r="G138" s="9" t="n">
        <f aca="false">MAX(0,D138-F138)</f>
        <v>15527</v>
      </c>
      <c r="H138" s="16" t="n">
        <f aca="false">IFERROR(E138/G138,0)</f>
        <v>0.644039415212211</v>
      </c>
      <c r="I138" s="5" t="str">
        <f aca="false">IF(E138&gt;D138,"Above IH loss",IF(E138&gt;G138,"Above non-perishable pool","OK"))</f>
        <v>OK</v>
      </c>
    </row>
    <row r="139" customFormat="false" ht="15" hidden="false" customHeight="false" outlineLevel="0" collapsed="false">
      <c r="C139" s="5" t="s">
        <v>244</v>
      </c>
      <c r="D139" s="9" t="n">
        <f aca="false">INDEX($O$160:$O$418,MATCH(C139,$C$160:$C$418,0))</f>
        <v>14693</v>
      </c>
      <c r="E139" s="9" t="n">
        <v>10000</v>
      </c>
      <c r="F139" s="9" t="n">
        <v>0</v>
      </c>
      <c r="G139" s="9" t="n">
        <f aca="false">MAX(0,D139-F139)</f>
        <v>14693</v>
      </c>
      <c r="H139" s="16" t="n">
        <f aca="false">IFERROR(E139/G139,0)</f>
        <v>0.680596202273191</v>
      </c>
      <c r="I139" s="5" t="str">
        <f aca="false">IF(E139&gt;D139,"Above IH loss",IF(E139&gt;G139,"Above non-perishable pool","OK"))</f>
        <v>OK</v>
      </c>
    </row>
    <row r="140" customFormat="false" ht="15" hidden="false" customHeight="false" outlineLevel="0" collapsed="false">
      <c r="C140" s="5" t="s">
        <v>245</v>
      </c>
      <c r="D140" s="9" t="n">
        <f aca="false">INDEX($O$160:$O$418,MATCH(C140,$C$160:$C$418,0))</f>
        <v>13576</v>
      </c>
      <c r="E140" s="9" t="n">
        <v>6000</v>
      </c>
      <c r="F140" s="9" t="n">
        <v>0</v>
      </c>
      <c r="G140" s="9" t="n">
        <f aca="false">MAX(0,D140-F140)</f>
        <v>13576</v>
      </c>
      <c r="H140" s="16" t="n">
        <f aca="false">IFERROR(E140/G140,0)</f>
        <v>0.441956393635828</v>
      </c>
      <c r="I140" s="5" t="str">
        <f aca="false">IF(E140&gt;D140,"Above IH loss",IF(E140&gt;G140,"Above non-perishable pool","OK"))</f>
        <v>OK</v>
      </c>
    </row>
    <row r="141" customFormat="false" ht="15" hidden="false" customHeight="false" outlineLevel="0" collapsed="false">
      <c r="C141" s="5" t="s">
        <v>246</v>
      </c>
      <c r="D141" s="9" t="n">
        <f aca="false">INDEX($O$160:$O$418,MATCH(C141,$C$160:$C$418,0))</f>
        <v>9545</v>
      </c>
      <c r="E141" s="9" t="n">
        <v>15000</v>
      </c>
      <c r="F141" s="9" t="n">
        <v>0</v>
      </c>
      <c r="G141" s="9" t="n">
        <f aca="false">MAX(0,D141-F141)</f>
        <v>9545</v>
      </c>
      <c r="H141" s="16" t="n">
        <f aca="false">IFERROR(E141/G141,0)</f>
        <v>1.57150340492404</v>
      </c>
      <c r="I141" s="5" t="str">
        <f aca="false">IF(E141&gt;D141,"Above IH loss",IF(E141&gt;G141,"Above non-perishable pool","OK"))</f>
        <v>Above IH loss</v>
      </c>
    </row>
    <row r="142" customFormat="false" ht="15" hidden="false" customHeight="false" outlineLevel="0" collapsed="false">
      <c r="C142" s="5" t="s">
        <v>247</v>
      </c>
      <c r="D142" s="9" t="n">
        <f aca="false">INDEX($O$160:$O$418,MATCH(C142,$C$160:$C$418,0))</f>
        <v>7689</v>
      </c>
      <c r="E142" s="9" t="n">
        <v>10000</v>
      </c>
      <c r="F142" s="9" t="n">
        <v>0</v>
      </c>
      <c r="G142" s="9" t="n">
        <f aca="false">MAX(0,D142-F142)</f>
        <v>7689</v>
      </c>
      <c r="H142" s="16" t="n">
        <f aca="false">IFERROR(E142/G142,0)</f>
        <v>1.3005592404734</v>
      </c>
      <c r="I142" s="5" t="str">
        <f aca="false">IF(E142&gt;D142,"Above IH loss",IF(E142&gt;G142,"Above non-perishable pool","OK"))</f>
        <v>Above IH loss</v>
      </c>
    </row>
    <row r="143" customFormat="false" ht="15" hidden="false" customHeight="false" outlineLevel="0" collapsed="false">
      <c r="C143" s="5" t="s">
        <v>248</v>
      </c>
      <c r="D143" s="9" t="n">
        <f aca="false">INDEX($O$160:$O$418,MATCH(C143,$C$160:$C$418,0))</f>
        <v>7536</v>
      </c>
      <c r="E143" s="9" t="n">
        <v>10000</v>
      </c>
      <c r="F143" s="9" t="n">
        <v>0</v>
      </c>
      <c r="G143" s="9" t="n">
        <f aca="false">MAX(0,D143-F143)</f>
        <v>7536</v>
      </c>
      <c r="H143" s="16" t="n">
        <f aca="false">IFERROR(E143/G143,0)</f>
        <v>1.32696390658174</v>
      </c>
      <c r="I143" s="5" t="str">
        <f aca="false">IF(E143&gt;D143,"Above IH loss",IF(E143&gt;G143,"Above non-perishable pool","OK"))</f>
        <v>Above IH loss</v>
      </c>
    </row>
    <row r="144" customFormat="false" ht="15" hidden="false" customHeight="false" outlineLevel="0" collapsed="false">
      <c r="C144" s="5" t="s">
        <v>249</v>
      </c>
      <c r="D144" s="9" t="n">
        <f aca="false">INDEX($O$160:$O$418,MATCH(C144,$C$160:$C$418,0))</f>
        <v>6380</v>
      </c>
      <c r="E144" s="9" t="n">
        <v>10000</v>
      </c>
      <c r="F144" s="9" t="n">
        <v>0</v>
      </c>
      <c r="G144" s="9" t="n">
        <f aca="false">MAX(0,D144-F144)</f>
        <v>6380</v>
      </c>
      <c r="H144" s="16" t="n">
        <f aca="false">IFERROR(E144/G144,0)</f>
        <v>1.56739811912226</v>
      </c>
      <c r="I144" s="5" t="str">
        <f aca="false">IF(E144&gt;D144,"Above IH loss",IF(E144&gt;G144,"Above non-perishable pool","OK"))</f>
        <v>Above IH loss</v>
      </c>
    </row>
    <row r="145" customFormat="false" ht="15" hidden="false" customHeight="false" outlineLevel="0" collapsed="false">
      <c r="C145" s="5" t="s">
        <v>250</v>
      </c>
      <c r="D145" s="9" t="n">
        <f aca="false">INDEX($O$160:$O$418,MATCH(C145,$C$160:$C$418,0))</f>
        <v>6342</v>
      </c>
      <c r="E145" s="9" t="n">
        <v>10000</v>
      </c>
      <c r="F145" s="9" t="n">
        <v>0</v>
      </c>
      <c r="G145" s="9" t="n">
        <f aca="false">MAX(0,D145-F145)</f>
        <v>6342</v>
      </c>
      <c r="H145" s="16" t="n">
        <f aca="false">IFERROR(E145/G145,0)</f>
        <v>1.57678965625986</v>
      </c>
      <c r="I145" s="5" t="str">
        <f aca="false">IF(E145&gt;D145,"Above IH loss",IF(E145&gt;G145,"Above non-perishable pool","OK"))</f>
        <v>Above IH loss</v>
      </c>
    </row>
    <row r="146" customFormat="false" ht="15" hidden="false" customHeight="false" outlineLevel="0" collapsed="false">
      <c r="C146" s="5" t="s">
        <v>251</v>
      </c>
      <c r="D146" s="9" t="n">
        <f aca="false">INDEX($O$160:$O$418,MATCH(C146,$C$160:$C$418,0))</f>
        <v>5899</v>
      </c>
      <c r="E146" s="9" t="n">
        <v>9000</v>
      </c>
      <c r="F146" s="9" t="n">
        <v>0</v>
      </c>
      <c r="G146" s="9" t="n">
        <f aca="false">MAX(0,D146-F146)</f>
        <v>5899</v>
      </c>
      <c r="H146" s="16" t="n">
        <f aca="false">IFERROR(E146/G146,0)</f>
        <v>1.52568231903713</v>
      </c>
      <c r="I146" s="5" t="str">
        <f aca="false">IF(E146&gt;D146,"Above IH loss",IF(E146&gt;G146,"Above non-perishable pool","OK"))</f>
        <v>Above IH loss</v>
      </c>
    </row>
    <row r="147" customFormat="false" ht="15" hidden="false" customHeight="false" outlineLevel="0" collapsed="false">
      <c r="C147" s="5" t="s">
        <v>252</v>
      </c>
      <c r="D147" s="9" t="n">
        <f aca="false">INDEX($O$160:$O$418,MATCH(C147,$C$160:$C$418,0))</f>
        <v>5158</v>
      </c>
      <c r="E147" s="9" t="n">
        <v>7000</v>
      </c>
      <c r="F147" s="9" t="n">
        <v>0</v>
      </c>
      <c r="G147" s="9" t="n">
        <f aca="false">MAX(0,D147-F147)</f>
        <v>5158</v>
      </c>
      <c r="H147" s="16" t="n">
        <f aca="false">IFERROR(E147/G147,0)</f>
        <v>1.35711516091508</v>
      </c>
      <c r="I147" s="5" t="str">
        <f aca="false">IF(E147&gt;D147,"Above IH loss",IF(E147&gt;G147,"Above non-perishable pool","OK"))</f>
        <v>Above IH loss</v>
      </c>
    </row>
    <row r="148" customFormat="false" ht="15" hidden="false" customHeight="false" outlineLevel="0" collapsed="false">
      <c r="C148" s="5" t="s">
        <v>253</v>
      </c>
      <c r="D148" s="9" t="n">
        <f aca="false">INDEX($O$160:$O$418,MATCH(C148,$C$160:$C$418,0))</f>
        <v>1975</v>
      </c>
      <c r="E148" s="9" t="n">
        <v>5000</v>
      </c>
      <c r="F148" s="9" t="n">
        <v>0</v>
      </c>
      <c r="G148" s="9" t="n">
        <f aca="false">MAX(0,D148-F148)</f>
        <v>1975</v>
      </c>
      <c r="H148" s="16" t="n">
        <f aca="false">IFERROR(E148/G148,0)</f>
        <v>2.53164556962025</v>
      </c>
      <c r="I148" s="5" t="str">
        <f aca="false">IF(E148&gt;D148,"Above IH loss",IF(E148&gt;G148,"Above non-perishable pool","OK"))</f>
        <v>Above IH loss</v>
      </c>
    </row>
    <row r="149" customFormat="false" ht="15" hidden="false" customHeight="false" outlineLevel="0" collapsed="false">
      <c r="C149" s="11" t="s">
        <v>25</v>
      </c>
      <c r="D149" s="12" t="n">
        <f aca="false">SUM(D118:D148)</f>
        <v>1153299</v>
      </c>
      <c r="E149" s="12" t="n">
        <f aca="false">SUM(E118:E148)</f>
        <v>989000</v>
      </c>
      <c r="F149" s="12" t="n">
        <f aca="false">SUM(F118:F148)</f>
        <v>184466</v>
      </c>
      <c r="G149" s="12" t="n">
        <f aca="false">SUM(G118:G148)</f>
        <v>968833</v>
      </c>
      <c r="H149" s="17" t="n">
        <f aca="false">IFERROR(E149/G149,0)</f>
        <v>1.02081576494607</v>
      </c>
      <c r="I149" s="11" t="str">
        <f aca="false">COUNTIF(I118:I148,"&lt;&gt;OK")&amp;" stores flagged"</f>
        <v>18 stores flagged</v>
      </c>
    </row>
    <row r="158" customFormat="false" ht="15" hidden="false" customHeight="false" outlineLevel="0" collapsed="false">
      <c r="A158" s="3" t="s">
        <v>254</v>
      </c>
    </row>
    <row r="159" customFormat="false" ht="45" hidden="false" customHeight="true" outlineLevel="0" collapsed="false">
      <c r="A159" s="4" t="s">
        <v>255</v>
      </c>
      <c r="B159" s="4" t="s">
        <v>256</v>
      </c>
      <c r="C159" s="4" t="s">
        <v>257</v>
      </c>
      <c r="D159" s="4" t="s">
        <v>28</v>
      </c>
      <c r="E159" s="4" t="s">
        <v>29</v>
      </c>
      <c r="F159" s="4" t="s">
        <v>258</v>
      </c>
      <c r="G159" s="4" t="s">
        <v>259</v>
      </c>
      <c r="H159" s="4" t="s">
        <v>260</v>
      </c>
      <c r="I159" s="4" t="s">
        <v>261</v>
      </c>
      <c r="J159" s="4" t="s">
        <v>262</v>
      </c>
      <c r="K159" s="4" t="s">
        <v>263</v>
      </c>
      <c r="L159" s="4" t="s">
        <v>264</v>
      </c>
      <c r="M159" s="4" t="s">
        <v>265</v>
      </c>
      <c r="N159" s="4" t="s">
        <v>266</v>
      </c>
      <c r="O159" s="4" t="s">
        <v>267</v>
      </c>
      <c r="P159" s="4" t="s">
        <v>268</v>
      </c>
      <c r="Q159" s="4" t="s">
        <v>269</v>
      </c>
      <c r="R159" s="4" t="s">
        <v>270</v>
      </c>
      <c r="S159" s="4" t="s">
        <v>271</v>
      </c>
      <c r="T159" s="4" t="s">
        <v>272</v>
      </c>
    </row>
    <row r="160" customFormat="false" ht="186" hidden="false" customHeight="true" outlineLevel="0" collapsed="false">
      <c r="A160" s="18" t="s">
        <v>273</v>
      </c>
      <c r="B160" s="18" t="s">
        <v>274</v>
      </c>
      <c r="C160" s="18" t="s">
        <v>34</v>
      </c>
      <c r="D160" s="18" t="s">
        <v>35</v>
      </c>
      <c r="E160" s="18" t="s">
        <v>36</v>
      </c>
      <c r="F160" s="18" t="s">
        <v>275</v>
      </c>
      <c r="G160" s="19" t="n">
        <v>69321</v>
      </c>
      <c r="H160" s="19" t="n">
        <v>75628</v>
      </c>
      <c r="I160" s="19" t="n">
        <v>0</v>
      </c>
      <c r="J160" s="19" t="n">
        <v>246</v>
      </c>
      <c r="K160" s="19" t="n">
        <v>1427</v>
      </c>
      <c r="L160" s="19" t="n">
        <v>0</v>
      </c>
      <c r="M160" s="19" t="n">
        <v>0</v>
      </c>
      <c r="N160" s="19" t="n">
        <v>9015</v>
      </c>
      <c r="O160" s="19" t="n">
        <v>155636</v>
      </c>
      <c r="P160" s="20" t="n">
        <f aca="false">IFERROR(O160/SUMIFS($O$160:$O$418,$D$160:$D$418,"&lt;&gt;Not Mapped"),0)</f>
        <v>0.0661646233782576</v>
      </c>
      <c r="Q160" s="21" t="s">
        <v>276</v>
      </c>
      <c r="R160" s="21" t="s">
        <v>277</v>
      </c>
      <c r="S160" s="22" t="n">
        <v>15000</v>
      </c>
      <c r="T160" s="22" t="n">
        <v>150000</v>
      </c>
    </row>
    <row r="161" customFormat="false" ht="186" hidden="false" customHeight="true" outlineLevel="0" collapsed="false">
      <c r="A161" s="18" t="s">
        <v>273</v>
      </c>
      <c r="B161" s="18" t="s">
        <v>274</v>
      </c>
      <c r="C161" s="18" t="s">
        <v>39</v>
      </c>
      <c r="D161" s="18" t="s">
        <v>35</v>
      </c>
      <c r="E161" s="18" t="s">
        <v>36</v>
      </c>
      <c r="F161" s="18" t="s">
        <v>275</v>
      </c>
      <c r="G161" s="19" t="n">
        <v>18075</v>
      </c>
      <c r="H161" s="19" t="n">
        <v>115931</v>
      </c>
      <c r="I161" s="19" t="n">
        <v>-13909</v>
      </c>
      <c r="J161" s="19" t="n">
        <v>463</v>
      </c>
      <c r="K161" s="19" t="n">
        <v>14666</v>
      </c>
      <c r="L161" s="19" t="n">
        <v>0</v>
      </c>
      <c r="M161" s="19" t="n">
        <v>0</v>
      </c>
      <c r="N161" s="19" t="n">
        <v>0</v>
      </c>
      <c r="O161" s="19" t="n">
        <v>135225</v>
      </c>
      <c r="P161" s="20" t="n">
        <f aca="false">IFERROR(O161/SUMIFS($O$160:$O$418,$D$160:$D$418,"&lt;&gt;Not Mapped"),0)</f>
        <v>0.0574874141993169</v>
      </c>
      <c r="Q161" s="21" t="s">
        <v>278</v>
      </c>
      <c r="R161" s="21" t="s">
        <v>279</v>
      </c>
      <c r="S161" s="21"/>
      <c r="T161" s="22" t="n">
        <v>100000</v>
      </c>
    </row>
    <row r="162" customFormat="false" ht="138" hidden="false" customHeight="true" outlineLevel="0" collapsed="false">
      <c r="A162" s="18" t="s">
        <v>273</v>
      </c>
      <c r="B162" s="18" t="s">
        <v>274</v>
      </c>
      <c r="C162" s="18" t="s">
        <v>42</v>
      </c>
      <c r="D162" s="18" t="s">
        <v>43</v>
      </c>
      <c r="E162" s="18" t="s">
        <v>44</v>
      </c>
      <c r="F162" s="18" t="s">
        <v>280</v>
      </c>
      <c r="G162" s="19" t="n">
        <v>-82711</v>
      </c>
      <c r="H162" s="19" t="n">
        <v>0</v>
      </c>
      <c r="I162" s="19" t="n">
        <v>0</v>
      </c>
      <c r="J162" s="19" t="n">
        <v>191944</v>
      </c>
      <c r="K162" s="19" t="n">
        <v>0</v>
      </c>
      <c r="L162" s="19" t="n">
        <v>0</v>
      </c>
      <c r="M162" s="19" t="n">
        <v>0</v>
      </c>
      <c r="N162" s="19" t="n">
        <v>1470</v>
      </c>
      <c r="O162" s="19" t="n">
        <v>110703</v>
      </c>
      <c r="P162" s="20" t="n">
        <f aca="false">IFERROR(O162/SUMIFS($O$160:$O$418,$D$160:$D$418,"&lt;&gt;Not Mapped"),0)</f>
        <v>0.0470625196088518</v>
      </c>
      <c r="Q162" s="21" t="s">
        <v>281</v>
      </c>
      <c r="R162" s="21" t="s">
        <v>282</v>
      </c>
      <c r="S162" s="22" t="n">
        <v>25000</v>
      </c>
      <c r="T162" s="21"/>
    </row>
    <row r="163" customFormat="false" ht="186" hidden="false" customHeight="true" outlineLevel="0" collapsed="false">
      <c r="A163" s="18" t="s">
        <v>273</v>
      </c>
      <c r="B163" s="18" t="s">
        <v>274</v>
      </c>
      <c r="C163" s="18" t="s">
        <v>47</v>
      </c>
      <c r="D163" s="18" t="s">
        <v>48</v>
      </c>
      <c r="E163" s="18" t="s">
        <v>49</v>
      </c>
      <c r="F163" s="18" t="s">
        <v>280</v>
      </c>
      <c r="G163" s="19" t="n">
        <v>39978</v>
      </c>
      <c r="H163" s="19" t="n">
        <v>61074</v>
      </c>
      <c r="I163" s="19" t="n">
        <v>219</v>
      </c>
      <c r="J163" s="19" t="n">
        <v>451</v>
      </c>
      <c r="K163" s="19" t="n">
        <v>1542</v>
      </c>
      <c r="L163" s="19" t="n">
        <v>0</v>
      </c>
      <c r="M163" s="19" t="n">
        <v>1737</v>
      </c>
      <c r="N163" s="19" t="n">
        <v>0</v>
      </c>
      <c r="O163" s="19" t="n">
        <v>105001</v>
      </c>
      <c r="P163" s="20" t="n">
        <f aca="false">IFERROR(O163/SUMIFS($O$160:$O$418,$D$160:$D$418,"&lt;&gt;Not Mapped"),0)</f>
        <v>0.0446384616627286</v>
      </c>
      <c r="Q163" s="21" t="s">
        <v>283</v>
      </c>
      <c r="R163" s="21" t="s">
        <v>284</v>
      </c>
      <c r="S163" s="21"/>
      <c r="T163" s="22" t="n">
        <v>50000</v>
      </c>
    </row>
    <row r="164" customFormat="false" ht="162" hidden="false" customHeight="true" outlineLevel="0" collapsed="false">
      <c r="A164" s="18" t="s">
        <v>273</v>
      </c>
      <c r="B164" s="18" t="s">
        <v>274</v>
      </c>
      <c r="C164" s="18" t="s">
        <v>52</v>
      </c>
      <c r="D164" s="18" t="s">
        <v>53</v>
      </c>
      <c r="E164" s="18" t="s">
        <v>54</v>
      </c>
      <c r="F164" s="18" t="s">
        <v>280</v>
      </c>
      <c r="G164" s="19" t="n">
        <v>22334</v>
      </c>
      <c r="H164" s="19" t="n">
        <v>66087</v>
      </c>
      <c r="I164" s="19" t="n">
        <v>0</v>
      </c>
      <c r="J164" s="19" t="n">
        <v>731</v>
      </c>
      <c r="K164" s="19" t="n">
        <v>763</v>
      </c>
      <c r="L164" s="19" t="n">
        <v>0</v>
      </c>
      <c r="M164" s="19" t="n">
        <v>4541</v>
      </c>
      <c r="N164" s="19" t="n">
        <v>0</v>
      </c>
      <c r="O164" s="19" t="n">
        <v>94456</v>
      </c>
      <c r="P164" s="20" t="n">
        <f aca="false">IFERROR(O164/SUMIFS($O$160:$O$418,$D$160:$D$418,"&lt;&gt;Not Mapped"),0)</f>
        <v>0.0401555274217835</v>
      </c>
      <c r="Q164" s="21" t="s">
        <v>285</v>
      </c>
      <c r="R164" s="21"/>
      <c r="S164" s="21"/>
      <c r="T164" s="21"/>
    </row>
    <row r="165" customFormat="false" ht="150" hidden="false" customHeight="true" outlineLevel="0" collapsed="false">
      <c r="A165" s="18" t="s">
        <v>273</v>
      </c>
      <c r="B165" s="18" t="s">
        <v>274</v>
      </c>
      <c r="C165" s="18" t="s">
        <v>57</v>
      </c>
      <c r="D165" s="18" t="s">
        <v>53</v>
      </c>
      <c r="E165" s="18" t="s">
        <v>54</v>
      </c>
      <c r="F165" s="18" t="s">
        <v>280</v>
      </c>
      <c r="G165" s="19" t="n">
        <v>71595</v>
      </c>
      <c r="H165" s="19" t="n">
        <v>9181</v>
      </c>
      <c r="I165" s="19" t="n">
        <v>0</v>
      </c>
      <c r="J165" s="19" t="n">
        <v>360</v>
      </c>
      <c r="K165" s="19" t="n">
        <v>87</v>
      </c>
      <c r="L165" s="19" t="n">
        <v>0</v>
      </c>
      <c r="M165" s="19" t="n">
        <v>1957</v>
      </c>
      <c r="N165" s="19" t="n">
        <v>0</v>
      </c>
      <c r="O165" s="19" t="n">
        <v>83180</v>
      </c>
      <c r="P165" s="20" t="n">
        <f aca="false">IFERROR(O165/SUMIFS($O$160:$O$418,$D$160:$D$418,"&lt;&gt;Not Mapped"),0)</f>
        <v>0.0353618274216985</v>
      </c>
      <c r="Q165" s="21" t="s">
        <v>286</v>
      </c>
      <c r="R165" s="21"/>
      <c r="S165" s="21"/>
      <c r="T165" s="21"/>
    </row>
    <row r="166" customFormat="false" ht="186" hidden="false" customHeight="true" outlineLevel="0" collapsed="false">
      <c r="A166" s="18" t="s">
        <v>273</v>
      </c>
      <c r="B166" s="18" t="s">
        <v>274</v>
      </c>
      <c r="C166" s="18" t="s">
        <v>60</v>
      </c>
      <c r="D166" s="18" t="s">
        <v>61</v>
      </c>
      <c r="E166" s="18" t="s">
        <v>54</v>
      </c>
      <c r="F166" s="18" t="s">
        <v>280</v>
      </c>
      <c r="G166" s="19" t="n">
        <v>15940</v>
      </c>
      <c r="H166" s="19" t="n">
        <v>42998</v>
      </c>
      <c r="I166" s="19" t="n">
        <v>1688</v>
      </c>
      <c r="J166" s="19" t="n">
        <v>2605</v>
      </c>
      <c r="K166" s="19" t="n">
        <v>3932</v>
      </c>
      <c r="L166" s="19" t="n">
        <v>0</v>
      </c>
      <c r="M166" s="19" t="n">
        <v>680</v>
      </c>
      <c r="N166" s="19" t="n">
        <v>0</v>
      </c>
      <c r="O166" s="19" t="n">
        <v>67844</v>
      </c>
      <c r="P166" s="20" t="n">
        <f aca="false">IFERROR(O166/SUMIFS($O$160:$O$418,$D$160:$D$418,"&lt;&gt;Not Mapped"),0)</f>
        <v>0.0288421233421221</v>
      </c>
      <c r="Q166" s="21" t="s">
        <v>287</v>
      </c>
      <c r="R166" s="21"/>
      <c r="S166" s="21"/>
      <c r="T166" s="21"/>
    </row>
    <row r="167" customFormat="false" ht="186" hidden="false" customHeight="true" outlineLevel="0" collapsed="false">
      <c r="A167" s="18" t="s">
        <v>273</v>
      </c>
      <c r="B167" s="18" t="s">
        <v>274</v>
      </c>
      <c r="C167" s="18" t="s">
        <v>64</v>
      </c>
      <c r="D167" s="18" t="s">
        <v>35</v>
      </c>
      <c r="E167" s="18" t="s">
        <v>36</v>
      </c>
      <c r="F167" s="18" t="s">
        <v>275</v>
      </c>
      <c r="G167" s="19" t="n">
        <v>19452</v>
      </c>
      <c r="H167" s="19" t="n">
        <v>38867</v>
      </c>
      <c r="I167" s="19" t="n">
        <v>0</v>
      </c>
      <c r="J167" s="19" t="n">
        <v>0</v>
      </c>
      <c r="K167" s="19" t="n">
        <v>530</v>
      </c>
      <c r="L167" s="19" t="n">
        <v>0</v>
      </c>
      <c r="M167" s="19" t="n">
        <v>37</v>
      </c>
      <c r="N167" s="19" t="n">
        <v>0</v>
      </c>
      <c r="O167" s="19" t="n">
        <v>58886</v>
      </c>
      <c r="P167" s="20" t="n">
        <f aca="false">IFERROR(O167/SUMIFS($O$160:$O$418,$D$160:$D$418,"&lt;&gt;Not Mapped"),0)</f>
        <v>0.0250338611391457</v>
      </c>
      <c r="Q167" s="21" t="s">
        <v>288</v>
      </c>
      <c r="R167" s="21"/>
      <c r="S167" s="21"/>
      <c r="T167" s="22" t="n">
        <v>50000</v>
      </c>
    </row>
    <row r="168" customFormat="false" ht="174" hidden="false" customHeight="true" outlineLevel="0" collapsed="false">
      <c r="A168" s="18" t="s">
        <v>273</v>
      </c>
      <c r="B168" s="18" t="s">
        <v>274</v>
      </c>
      <c r="C168" s="18" t="s">
        <v>67</v>
      </c>
      <c r="D168" s="18" t="s">
        <v>68</v>
      </c>
      <c r="E168" s="18" t="s">
        <v>49</v>
      </c>
      <c r="F168" s="18" t="s">
        <v>280</v>
      </c>
      <c r="G168" s="19" t="n">
        <v>41355</v>
      </c>
      <c r="H168" s="19" t="n">
        <v>12847</v>
      </c>
      <c r="I168" s="19" t="n">
        <v>226</v>
      </c>
      <c r="J168" s="19" t="n">
        <v>2374</v>
      </c>
      <c r="K168" s="19" t="n">
        <v>948</v>
      </c>
      <c r="L168" s="19" t="n">
        <v>0</v>
      </c>
      <c r="M168" s="19" t="n">
        <v>0</v>
      </c>
      <c r="N168" s="19" t="n">
        <v>0</v>
      </c>
      <c r="O168" s="19" t="n">
        <v>57750</v>
      </c>
      <c r="P168" s="20" t="n">
        <f aca="false">IFERROR(O168/SUMIFS($O$160:$O$418,$D$160:$D$418,"&lt;&gt;Not Mapped"),0)</f>
        <v>0.0245509200962141</v>
      </c>
      <c r="Q168" s="21" t="s">
        <v>289</v>
      </c>
      <c r="R168" s="21"/>
      <c r="S168" s="21"/>
      <c r="T168" s="22" t="n">
        <v>40000</v>
      </c>
    </row>
    <row r="169" customFormat="false" ht="150" hidden="false" customHeight="true" outlineLevel="0" collapsed="false">
      <c r="A169" s="18" t="s">
        <v>273</v>
      </c>
      <c r="B169" s="18" t="s">
        <v>274</v>
      </c>
      <c r="C169" s="18" t="s">
        <v>71</v>
      </c>
      <c r="D169" s="18" t="s">
        <v>72</v>
      </c>
      <c r="E169" s="18" t="s">
        <v>54</v>
      </c>
      <c r="F169" s="18" t="s">
        <v>280</v>
      </c>
      <c r="G169" s="19" t="n">
        <v>5817</v>
      </c>
      <c r="H169" s="19" t="n">
        <v>29841</v>
      </c>
      <c r="I169" s="19" t="n">
        <v>0</v>
      </c>
      <c r="J169" s="19" t="n">
        <v>1403</v>
      </c>
      <c r="K169" s="19" t="n">
        <v>3816</v>
      </c>
      <c r="L169" s="19" t="n">
        <v>0</v>
      </c>
      <c r="M169" s="19" t="n">
        <v>0</v>
      </c>
      <c r="N169" s="19" t="n">
        <v>13273</v>
      </c>
      <c r="O169" s="19" t="n">
        <v>54150</v>
      </c>
      <c r="P169" s="20" t="n">
        <f aca="false">IFERROR(O169/SUMIFS($O$160:$O$418,$D$160:$D$418,"&lt;&gt;Not Mapped"),0)</f>
        <v>0.0230204731291774</v>
      </c>
      <c r="Q169" s="21" t="s">
        <v>290</v>
      </c>
      <c r="R169" s="21"/>
      <c r="S169" s="21"/>
      <c r="T169" s="21"/>
    </row>
    <row r="170" customFormat="false" ht="162" hidden="false" customHeight="true" outlineLevel="0" collapsed="false">
      <c r="A170" s="18" t="s">
        <v>273</v>
      </c>
      <c r="B170" s="18" t="s">
        <v>274</v>
      </c>
      <c r="C170" s="18" t="s">
        <v>75</v>
      </c>
      <c r="D170" s="18" t="s">
        <v>61</v>
      </c>
      <c r="E170" s="18" t="s">
        <v>54</v>
      </c>
      <c r="F170" s="18" t="s">
        <v>280</v>
      </c>
      <c r="G170" s="19" t="n">
        <v>20452</v>
      </c>
      <c r="H170" s="19" t="n">
        <v>23732</v>
      </c>
      <c r="I170" s="19" t="n">
        <v>0</v>
      </c>
      <c r="J170" s="19" t="n">
        <v>7696</v>
      </c>
      <c r="K170" s="19" t="n">
        <v>584</v>
      </c>
      <c r="L170" s="19" t="n">
        <v>0</v>
      </c>
      <c r="M170" s="19" t="n">
        <v>1629</v>
      </c>
      <c r="N170" s="19" t="n">
        <v>0</v>
      </c>
      <c r="O170" s="19" t="n">
        <v>54093</v>
      </c>
      <c r="P170" s="20" t="n">
        <f aca="false">IFERROR(O170/SUMIFS($O$160:$O$418,$D$160:$D$418,"&lt;&gt;Not Mapped"),0)</f>
        <v>0.0229962410521993</v>
      </c>
      <c r="Q170" s="21" t="s">
        <v>291</v>
      </c>
      <c r="R170" s="21"/>
      <c r="S170" s="21"/>
      <c r="T170" s="21"/>
    </row>
    <row r="171" customFormat="false" ht="162" hidden="false" customHeight="true" outlineLevel="0" collapsed="false">
      <c r="A171" s="18" t="s">
        <v>273</v>
      </c>
      <c r="B171" s="18" t="s">
        <v>274</v>
      </c>
      <c r="C171" s="18" t="s">
        <v>78</v>
      </c>
      <c r="D171" s="18" t="s">
        <v>79</v>
      </c>
      <c r="E171" s="18" t="s">
        <v>80</v>
      </c>
      <c r="F171" s="18" t="s">
        <v>280</v>
      </c>
      <c r="G171" s="19" t="n">
        <v>37013</v>
      </c>
      <c r="H171" s="19" t="n">
        <v>13720</v>
      </c>
      <c r="I171" s="19" t="n">
        <v>0</v>
      </c>
      <c r="J171" s="19" t="n">
        <v>0</v>
      </c>
      <c r="K171" s="19" t="n">
        <v>69</v>
      </c>
      <c r="L171" s="19" t="n">
        <v>0</v>
      </c>
      <c r="M171" s="19" t="n">
        <v>1350</v>
      </c>
      <c r="N171" s="19" t="n">
        <v>0</v>
      </c>
      <c r="O171" s="19" t="n">
        <v>52152</v>
      </c>
      <c r="P171" s="20" t="n">
        <f aca="false">IFERROR(O171/SUMIFS($O$160:$O$418,$D$160:$D$418,"&lt;&gt;Not Mapped"),0)</f>
        <v>0.022171075062472</v>
      </c>
      <c r="Q171" s="21" t="s">
        <v>292</v>
      </c>
      <c r="R171" s="21"/>
      <c r="S171" s="21"/>
      <c r="T171" s="21"/>
    </row>
    <row r="172" customFormat="false" ht="198" hidden="false" customHeight="true" outlineLevel="0" collapsed="false">
      <c r="A172" s="18" t="s">
        <v>273</v>
      </c>
      <c r="B172" s="18" t="s">
        <v>274</v>
      </c>
      <c r="C172" s="18" t="s">
        <v>83</v>
      </c>
      <c r="D172" s="18" t="s">
        <v>84</v>
      </c>
      <c r="E172" s="18" t="s">
        <v>85</v>
      </c>
      <c r="F172" s="18" t="s">
        <v>280</v>
      </c>
      <c r="G172" s="19" t="n">
        <v>16761</v>
      </c>
      <c r="H172" s="19" t="n">
        <v>27598</v>
      </c>
      <c r="I172" s="19" t="n">
        <v>0</v>
      </c>
      <c r="J172" s="19" t="n">
        <v>5808</v>
      </c>
      <c r="K172" s="19" t="n">
        <v>1603</v>
      </c>
      <c r="L172" s="19" t="n">
        <v>0</v>
      </c>
      <c r="M172" s="19" t="n">
        <v>0</v>
      </c>
      <c r="N172" s="19" t="n">
        <v>0</v>
      </c>
      <c r="O172" s="19" t="n">
        <v>51771</v>
      </c>
      <c r="P172" s="20" t="n">
        <f aca="false">IFERROR(O172/SUMIFS($O$160:$O$418,$D$160:$D$418,"&lt;&gt;Not Mapped"),0)</f>
        <v>0.0220091027584606</v>
      </c>
      <c r="Q172" s="21" t="s">
        <v>293</v>
      </c>
      <c r="R172" s="21"/>
      <c r="S172" s="21"/>
      <c r="T172" s="22" t="n">
        <v>35000</v>
      </c>
    </row>
    <row r="173" customFormat="false" ht="174" hidden="false" customHeight="true" outlineLevel="0" collapsed="false">
      <c r="A173" s="18" t="s">
        <v>273</v>
      </c>
      <c r="B173" s="18" t="s">
        <v>274</v>
      </c>
      <c r="C173" s="18" t="s">
        <v>88</v>
      </c>
      <c r="D173" s="18" t="s">
        <v>89</v>
      </c>
      <c r="E173" s="18" t="s">
        <v>54</v>
      </c>
      <c r="F173" s="18" t="s">
        <v>280</v>
      </c>
      <c r="G173" s="19" t="n">
        <v>34189</v>
      </c>
      <c r="H173" s="19" t="n">
        <v>13467</v>
      </c>
      <c r="I173" s="19" t="n">
        <v>1279</v>
      </c>
      <c r="J173" s="19" t="n">
        <v>0</v>
      </c>
      <c r="K173" s="19" t="n">
        <v>541</v>
      </c>
      <c r="L173" s="19" t="n">
        <v>0</v>
      </c>
      <c r="M173" s="19" t="n">
        <v>21</v>
      </c>
      <c r="N173" s="19" t="n">
        <v>0</v>
      </c>
      <c r="O173" s="19" t="n">
        <v>49497</v>
      </c>
      <c r="P173" s="20" t="n">
        <f aca="false">IFERROR(O173/SUMIFS($O$160:$O$418,$D$160:$D$418,"&lt;&gt;Not Mapped"),0)</f>
        <v>0.0210423704242824</v>
      </c>
      <c r="Q173" s="21" t="s">
        <v>294</v>
      </c>
      <c r="R173" s="21"/>
      <c r="S173" s="21"/>
      <c r="T173" s="21"/>
    </row>
    <row r="174" customFormat="false" ht="162" hidden="false" customHeight="true" outlineLevel="0" collapsed="false">
      <c r="A174" s="18" t="s">
        <v>273</v>
      </c>
      <c r="B174" s="18" t="s">
        <v>274</v>
      </c>
      <c r="C174" s="18" t="s">
        <v>92</v>
      </c>
      <c r="D174" s="18" t="s">
        <v>53</v>
      </c>
      <c r="E174" s="18" t="s">
        <v>54</v>
      </c>
      <c r="F174" s="18" t="s">
        <v>280</v>
      </c>
      <c r="G174" s="19" t="n">
        <v>31101</v>
      </c>
      <c r="H174" s="19" t="n">
        <v>16912</v>
      </c>
      <c r="I174" s="19" t="n">
        <v>235</v>
      </c>
      <c r="J174" s="19" t="n">
        <v>28</v>
      </c>
      <c r="K174" s="19" t="n">
        <v>595</v>
      </c>
      <c r="L174" s="19" t="n">
        <v>0</v>
      </c>
      <c r="M174" s="19" t="n">
        <v>0</v>
      </c>
      <c r="N174" s="19" t="n">
        <v>0</v>
      </c>
      <c r="O174" s="19" t="n">
        <v>48871</v>
      </c>
      <c r="P174" s="20" t="n">
        <f aca="false">IFERROR(O174/SUMIFS($O$160:$O$418,$D$160:$D$418,"&lt;&gt;Not Mapped"),0)</f>
        <v>0.020776242701681</v>
      </c>
      <c r="Q174" s="21" t="s">
        <v>295</v>
      </c>
      <c r="R174" s="21"/>
      <c r="S174" s="21"/>
      <c r="T174" s="21"/>
    </row>
    <row r="175" customFormat="false" ht="198" hidden="false" customHeight="true" outlineLevel="0" collapsed="false">
      <c r="A175" s="18" t="s">
        <v>273</v>
      </c>
      <c r="B175" s="18" t="s">
        <v>274</v>
      </c>
      <c r="C175" s="18" t="s">
        <v>104</v>
      </c>
      <c r="D175" s="18" t="s">
        <v>296</v>
      </c>
      <c r="E175" s="18" t="s">
        <v>297</v>
      </c>
      <c r="F175" s="18" t="s">
        <v>280</v>
      </c>
      <c r="G175" s="19" t="n">
        <v>26779</v>
      </c>
      <c r="H175" s="19" t="n">
        <v>20348</v>
      </c>
      <c r="I175" s="19" t="n">
        <v>0</v>
      </c>
      <c r="J175" s="19" t="n">
        <v>1436</v>
      </c>
      <c r="K175" s="19" t="n">
        <v>101</v>
      </c>
      <c r="L175" s="19" t="n">
        <v>0</v>
      </c>
      <c r="M175" s="19" t="n">
        <v>0</v>
      </c>
      <c r="N175" s="19" t="n">
        <v>0</v>
      </c>
      <c r="O175" s="19" t="n">
        <v>48665</v>
      </c>
      <c r="P175" s="20" t="n">
        <f aca="false">IFERROR(O175/SUMIFS($O$160:$O$418,$D$160:$D$418,"&lt;&gt;Not Mapped"),0)</f>
        <v>0.0206886671252339</v>
      </c>
      <c r="Q175" s="21" t="s">
        <v>298</v>
      </c>
      <c r="R175" s="21"/>
      <c r="S175" s="21"/>
      <c r="T175" s="21" t="s">
        <v>299</v>
      </c>
    </row>
    <row r="176" customFormat="false" ht="150" hidden="false" customHeight="true" outlineLevel="0" collapsed="false">
      <c r="A176" s="18"/>
      <c r="B176" s="18" t="s">
        <v>274</v>
      </c>
      <c r="C176" s="18" t="s">
        <v>300</v>
      </c>
      <c r="D176" s="18" t="s">
        <v>301</v>
      </c>
      <c r="E176" s="18" t="s">
        <v>302</v>
      </c>
      <c r="F176" s="18" t="s">
        <v>280</v>
      </c>
      <c r="G176" s="19" t="n">
        <v>44009</v>
      </c>
      <c r="H176" s="19" t="n">
        <v>4060</v>
      </c>
      <c r="I176" s="19" t="n">
        <v>0</v>
      </c>
      <c r="J176" s="19" t="n">
        <v>0</v>
      </c>
      <c r="K176" s="19" t="n">
        <v>190</v>
      </c>
      <c r="L176" s="19" t="n">
        <v>0</v>
      </c>
      <c r="M176" s="19" t="n">
        <v>0</v>
      </c>
      <c r="N176" s="19" t="n">
        <v>0</v>
      </c>
      <c r="O176" s="19" t="n">
        <v>48259</v>
      </c>
      <c r="P176" s="20" t="n">
        <f aca="false">IFERROR(O176/SUMIFS($O$160:$O$418,$D$160:$D$418,"&lt;&gt;Not Mapped"),0)</f>
        <v>0.0205160667172848</v>
      </c>
      <c r="Q176" s="21" t="s">
        <v>303</v>
      </c>
      <c r="R176" s="21" t="s">
        <v>304</v>
      </c>
      <c r="S176" s="21"/>
      <c r="T176" s="21"/>
    </row>
    <row r="177" customFormat="false" ht="126" hidden="false" customHeight="true" outlineLevel="0" collapsed="false">
      <c r="A177" s="18" t="s">
        <v>273</v>
      </c>
      <c r="B177" s="18" t="s">
        <v>274</v>
      </c>
      <c r="C177" s="18" t="s">
        <v>172</v>
      </c>
      <c r="D177" s="18" t="s">
        <v>305</v>
      </c>
      <c r="E177" s="18" t="s">
        <v>54</v>
      </c>
      <c r="F177" s="18" t="s">
        <v>280</v>
      </c>
      <c r="G177" s="19" t="n">
        <v>15241</v>
      </c>
      <c r="H177" s="19" t="n">
        <v>17511</v>
      </c>
      <c r="I177" s="19" t="n">
        <v>0</v>
      </c>
      <c r="J177" s="19" t="n">
        <v>651</v>
      </c>
      <c r="K177" s="19" t="n">
        <v>1730</v>
      </c>
      <c r="L177" s="19" t="n">
        <v>0</v>
      </c>
      <c r="M177" s="19" t="n">
        <v>12084</v>
      </c>
      <c r="N177" s="19" t="n">
        <v>0</v>
      </c>
      <c r="O177" s="19" t="n">
        <v>47218</v>
      </c>
      <c r="P177" s="20" t="n">
        <f aca="false">IFERROR(O177/SUMIFS($O$160:$O$418,$D$160:$D$418,"&lt;&gt;Not Mapped"),0)</f>
        <v>0.0200735124693167</v>
      </c>
      <c r="Q177" s="21" t="s">
        <v>306</v>
      </c>
      <c r="R177" s="21"/>
      <c r="S177" s="21"/>
      <c r="T177" s="21"/>
    </row>
    <row r="178" customFormat="false" ht="150" hidden="false" customHeight="true" outlineLevel="0" collapsed="false">
      <c r="A178" s="18" t="s">
        <v>273</v>
      </c>
      <c r="B178" s="18" t="s">
        <v>274</v>
      </c>
      <c r="C178" s="18" t="s">
        <v>232</v>
      </c>
      <c r="D178" s="18" t="s">
        <v>72</v>
      </c>
      <c r="E178" s="18" t="s">
        <v>85</v>
      </c>
      <c r="F178" s="18" t="s">
        <v>280</v>
      </c>
      <c r="G178" s="19" t="n">
        <v>9409</v>
      </c>
      <c r="H178" s="19" t="n">
        <v>27235</v>
      </c>
      <c r="I178" s="19" t="n">
        <v>0</v>
      </c>
      <c r="J178" s="19" t="n">
        <v>235</v>
      </c>
      <c r="K178" s="19" t="n">
        <v>6731</v>
      </c>
      <c r="L178" s="19" t="n">
        <v>0</v>
      </c>
      <c r="M178" s="19" t="n">
        <v>3486</v>
      </c>
      <c r="N178" s="19" t="n">
        <v>0</v>
      </c>
      <c r="O178" s="19" t="n">
        <v>47094</v>
      </c>
      <c r="P178" s="20" t="n">
        <f aca="false">IFERROR(O178/SUMIFS($O$160:$O$418,$D$160:$D$418,"&lt;&gt;Not Mapped"),0)</f>
        <v>0.0200207970737854</v>
      </c>
      <c r="Q178" s="21" t="s">
        <v>307</v>
      </c>
      <c r="R178" s="21"/>
      <c r="S178" s="21"/>
      <c r="T178" s="22" t="n">
        <v>40000</v>
      </c>
    </row>
    <row r="179" customFormat="false" ht="150" hidden="false" customHeight="true" outlineLevel="0" collapsed="false">
      <c r="A179" s="18" t="s">
        <v>273</v>
      </c>
      <c r="B179" s="18" t="s">
        <v>274</v>
      </c>
      <c r="C179" s="18" t="s">
        <v>308</v>
      </c>
      <c r="D179" s="18" t="s">
        <v>309</v>
      </c>
      <c r="E179" s="18" t="s">
        <v>80</v>
      </c>
      <c r="F179" s="18" t="s">
        <v>280</v>
      </c>
      <c r="G179" s="19" t="n">
        <v>27603</v>
      </c>
      <c r="H179" s="19" t="n">
        <v>14083</v>
      </c>
      <c r="I179" s="19" t="n">
        <v>0</v>
      </c>
      <c r="J179" s="19" t="n">
        <v>3884</v>
      </c>
      <c r="K179" s="19" t="n">
        <v>804</v>
      </c>
      <c r="L179" s="19" t="n">
        <v>0</v>
      </c>
      <c r="M179" s="19" t="n">
        <v>0</v>
      </c>
      <c r="N179" s="19" t="n">
        <v>0</v>
      </c>
      <c r="O179" s="19" t="n">
        <v>46374</v>
      </c>
      <c r="P179" s="20" t="n">
        <f aca="false">IFERROR(O179/SUMIFS($O$160:$O$418,$D$160:$D$418,"&lt;&gt;Not Mapped"),0)</f>
        <v>0.0197147076803781</v>
      </c>
      <c r="Q179" s="21" t="s">
        <v>310</v>
      </c>
      <c r="R179" s="21"/>
      <c r="S179" s="21"/>
      <c r="T179" s="21"/>
    </row>
    <row r="180" customFormat="false" ht="114" hidden="false" customHeight="true" outlineLevel="0" collapsed="false">
      <c r="A180" s="18" t="s">
        <v>273</v>
      </c>
      <c r="B180" s="18" t="s">
        <v>274</v>
      </c>
      <c r="C180" s="18" t="s">
        <v>311</v>
      </c>
      <c r="D180" s="18" t="s">
        <v>309</v>
      </c>
      <c r="E180" s="18" t="s">
        <v>80</v>
      </c>
      <c r="F180" s="18" t="s">
        <v>280</v>
      </c>
      <c r="G180" s="19" t="n">
        <v>201</v>
      </c>
      <c r="H180" s="19" t="n">
        <v>2037</v>
      </c>
      <c r="I180" s="19" t="n">
        <v>0</v>
      </c>
      <c r="J180" s="19" t="n">
        <v>0</v>
      </c>
      <c r="K180" s="19" t="n">
        <v>170</v>
      </c>
      <c r="L180" s="19" t="n">
        <v>0</v>
      </c>
      <c r="M180" s="19" t="n">
        <v>41386</v>
      </c>
      <c r="N180" s="19" t="n">
        <v>0</v>
      </c>
      <c r="O180" s="19" t="n">
        <v>43795</v>
      </c>
      <c r="P180" s="20" t="n">
        <f aca="false">IFERROR(O180/SUMIFS($O$160:$O$418,$D$160:$D$418,"&lt;&gt;Not Mapped"),0)</f>
        <v>0.0186183124781592</v>
      </c>
      <c r="Q180" s="21" t="s">
        <v>312</v>
      </c>
      <c r="R180" s="21"/>
      <c r="S180" s="21"/>
      <c r="T180" s="21"/>
    </row>
    <row r="181" customFormat="false" ht="198" hidden="false" customHeight="true" outlineLevel="0" collapsed="false">
      <c r="A181" s="18" t="s">
        <v>273</v>
      </c>
      <c r="B181" s="18" t="s">
        <v>274</v>
      </c>
      <c r="C181" s="18" t="s">
        <v>233</v>
      </c>
      <c r="D181" s="18" t="s">
        <v>313</v>
      </c>
      <c r="E181" s="18" t="s">
        <v>85</v>
      </c>
      <c r="F181" s="18" t="s">
        <v>280</v>
      </c>
      <c r="G181" s="19" t="n">
        <v>3171</v>
      </c>
      <c r="H181" s="19" t="n">
        <v>31819</v>
      </c>
      <c r="I181" s="19" t="n">
        <v>2882</v>
      </c>
      <c r="J181" s="19" t="n">
        <v>3955</v>
      </c>
      <c r="K181" s="19" t="n">
        <v>1745</v>
      </c>
      <c r="L181" s="19" t="n">
        <v>0</v>
      </c>
      <c r="M181" s="19" t="n">
        <v>0</v>
      </c>
      <c r="N181" s="19" t="n">
        <v>0</v>
      </c>
      <c r="O181" s="19" t="n">
        <v>43571</v>
      </c>
      <c r="P181" s="20" t="n">
        <f aca="false">IFERROR(O181/SUMIFS($O$160:$O$418,$D$160:$D$418,"&lt;&gt;Not Mapped"),0)</f>
        <v>0.018523084666877</v>
      </c>
      <c r="Q181" s="21" t="s">
        <v>314</v>
      </c>
      <c r="R181" s="21"/>
      <c r="S181" s="21"/>
      <c r="T181" s="22" t="n">
        <v>40000</v>
      </c>
    </row>
    <row r="182" customFormat="false" ht="138" hidden="false" customHeight="true" outlineLevel="0" collapsed="false">
      <c r="A182" s="18" t="s">
        <v>273</v>
      </c>
      <c r="B182" s="18" t="s">
        <v>274</v>
      </c>
      <c r="C182" s="18" t="s">
        <v>126</v>
      </c>
      <c r="D182" s="18" t="s">
        <v>315</v>
      </c>
      <c r="E182" s="18" t="s">
        <v>49</v>
      </c>
      <c r="F182" s="18" t="s">
        <v>280</v>
      </c>
      <c r="G182" s="19" t="n">
        <v>33628</v>
      </c>
      <c r="H182" s="19" t="n">
        <v>9141</v>
      </c>
      <c r="I182" s="19" t="n">
        <v>0</v>
      </c>
      <c r="J182" s="19" t="n">
        <v>0</v>
      </c>
      <c r="K182" s="19" t="n">
        <v>243</v>
      </c>
      <c r="L182" s="19" t="n">
        <v>0</v>
      </c>
      <c r="M182" s="19" t="n">
        <v>0</v>
      </c>
      <c r="N182" s="19" t="n">
        <v>0</v>
      </c>
      <c r="O182" s="19" t="n">
        <v>43012</v>
      </c>
      <c r="P182" s="20" t="n">
        <f aca="false">IFERROR(O182/SUMIFS($O$160:$O$418,$D$160:$D$418,"&lt;&gt;Not Mapped"),0)</f>
        <v>0.0182854402628288</v>
      </c>
      <c r="Q182" s="21" t="s">
        <v>316</v>
      </c>
      <c r="R182" s="21"/>
      <c r="S182" s="21"/>
      <c r="T182" s="22" t="n">
        <v>40000</v>
      </c>
    </row>
    <row r="183" customFormat="false" ht="138" hidden="false" customHeight="true" outlineLevel="0" collapsed="false">
      <c r="A183" s="18" t="s">
        <v>273</v>
      </c>
      <c r="B183" s="18" t="s">
        <v>274</v>
      </c>
      <c r="C183" s="18" t="s">
        <v>121</v>
      </c>
      <c r="D183" s="18" t="s">
        <v>309</v>
      </c>
      <c r="E183" s="18" t="s">
        <v>80</v>
      </c>
      <c r="F183" s="18" t="s">
        <v>280</v>
      </c>
      <c r="G183" s="19" t="n">
        <v>-18636</v>
      </c>
      <c r="H183" s="19" t="n">
        <v>26089</v>
      </c>
      <c r="I183" s="19" t="n">
        <v>0</v>
      </c>
      <c r="J183" s="19" t="n">
        <v>228</v>
      </c>
      <c r="K183" s="19" t="n">
        <v>237</v>
      </c>
      <c r="L183" s="19" t="n">
        <v>0</v>
      </c>
      <c r="M183" s="19" t="n">
        <v>2148</v>
      </c>
      <c r="N183" s="19" t="n">
        <v>32886</v>
      </c>
      <c r="O183" s="19" t="n">
        <v>42952</v>
      </c>
      <c r="P183" s="20" t="n">
        <f aca="false">IFERROR(O183/SUMIFS($O$160:$O$418,$D$160:$D$418,"&lt;&gt;Not Mapped"),0)</f>
        <v>0.0182599328133781</v>
      </c>
      <c r="Q183" s="21" t="s">
        <v>317</v>
      </c>
      <c r="R183" s="21"/>
      <c r="S183" s="21"/>
      <c r="T183" s="21"/>
    </row>
    <row r="184" customFormat="false" ht="138" hidden="false" customHeight="true" outlineLevel="0" collapsed="false">
      <c r="A184" s="18" t="s">
        <v>273</v>
      </c>
      <c r="B184" s="18" t="s">
        <v>274</v>
      </c>
      <c r="C184" s="18" t="s">
        <v>131</v>
      </c>
      <c r="D184" s="18" t="s">
        <v>305</v>
      </c>
      <c r="E184" s="18" t="s">
        <v>54</v>
      </c>
      <c r="F184" s="18" t="s">
        <v>280</v>
      </c>
      <c r="G184" s="19" t="n">
        <v>23680</v>
      </c>
      <c r="H184" s="19" t="n">
        <v>12580</v>
      </c>
      <c r="I184" s="19" t="n">
        <v>38</v>
      </c>
      <c r="J184" s="19" t="n">
        <v>5740</v>
      </c>
      <c r="K184" s="19" t="n">
        <v>746</v>
      </c>
      <c r="L184" s="19" t="n">
        <v>0</v>
      </c>
      <c r="M184" s="19" t="n">
        <v>0</v>
      </c>
      <c r="N184" s="19" t="n">
        <v>0</v>
      </c>
      <c r="O184" s="19" t="n">
        <v>42783</v>
      </c>
      <c r="P184" s="20" t="n">
        <f aca="false">IFERROR(O184/SUMIFS($O$160:$O$418,$D$160:$D$418,"&lt;&gt;Not Mapped"),0)</f>
        <v>0.0181880868307589</v>
      </c>
      <c r="Q184" s="21" t="s">
        <v>318</v>
      </c>
      <c r="R184" s="21"/>
      <c r="S184" s="21"/>
      <c r="T184" s="21"/>
    </row>
    <row r="185" customFormat="false" ht="162" hidden="false" customHeight="true" outlineLevel="0" collapsed="false">
      <c r="A185" s="18" t="s">
        <v>273</v>
      </c>
      <c r="B185" s="18" t="s">
        <v>274</v>
      </c>
      <c r="C185" s="18" t="s">
        <v>133</v>
      </c>
      <c r="D185" s="18" t="s">
        <v>89</v>
      </c>
      <c r="E185" s="18" t="s">
        <v>54</v>
      </c>
      <c r="F185" s="18" t="s">
        <v>280</v>
      </c>
      <c r="G185" s="19" t="n">
        <v>29680</v>
      </c>
      <c r="H185" s="19" t="n">
        <v>9315</v>
      </c>
      <c r="I185" s="19" t="n">
        <v>0</v>
      </c>
      <c r="J185" s="19" t="n">
        <v>3498</v>
      </c>
      <c r="K185" s="19" t="n">
        <v>283</v>
      </c>
      <c r="L185" s="19" t="n">
        <v>0</v>
      </c>
      <c r="M185" s="19" t="n">
        <v>0</v>
      </c>
      <c r="N185" s="19" t="n">
        <v>0</v>
      </c>
      <c r="O185" s="19" t="n">
        <v>42776</v>
      </c>
      <c r="P185" s="20" t="n">
        <f aca="false">IFERROR(O185/SUMIFS($O$160:$O$418,$D$160:$D$418,"&lt;&gt;Not Mapped"),0)</f>
        <v>0.0181851109616564</v>
      </c>
      <c r="Q185" s="21" t="s">
        <v>319</v>
      </c>
      <c r="R185" s="21"/>
      <c r="S185" s="21"/>
      <c r="T185" s="21"/>
    </row>
    <row r="186" customFormat="false" ht="198" hidden="false" customHeight="true" outlineLevel="0" collapsed="false">
      <c r="A186" s="18" t="s">
        <v>273</v>
      </c>
      <c r="B186" s="18" t="s">
        <v>274</v>
      </c>
      <c r="C186" s="18" t="s">
        <v>171</v>
      </c>
      <c r="D186" s="18" t="s">
        <v>320</v>
      </c>
      <c r="E186" s="18" t="s">
        <v>321</v>
      </c>
      <c r="F186" s="18" t="s">
        <v>280</v>
      </c>
      <c r="G186" s="19" t="n">
        <v>29203</v>
      </c>
      <c r="H186" s="19" t="n">
        <v>9567</v>
      </c>
      <c r="I186" s="19" t="n">
        <v>0</v>
      </c>
      <c r="J186" s="19" t="n">
        <v>778</v>
      </c>
      <c r="K186" s="19" t="n">
        <v>2992</v>
      </c>
      <c r="L186" s="19" t="n">
        <v>0</v>
      </c>
      <c r="M186" s="19" t="n">
        <v>0</v>
      </c>
      <c r="N186" s="19" t="n">
        <v>0</v>
      </c>
      <c r="O186" s="19" t="n">
        <v>42540</v>
      </c>
      <c r="P186" s="20" t="n">
        <f aca="false">IFERROR(O186/SUMIFS($O$160:$O$418,$D$160:$D$418,"&lt;&gt;Not Mapped"),0)</f>
        <v>0.0180847816604839</v>
      </c>
      <c r="Q186" s="21" t="s">
        <v>322</v>
      </c>
      <c r="R186" s="21" t="s">
        <v>323</v>
      </c>
      <c r="S186" s="21" t="s">
        <v>324</v>
      </c>
      <c r="T186" s="21" t="s">
        <v>325</v>
      </c>
    </row>
    <row r="187" customFormat="false" ht="126" hidden="false" customHeight="true" outlineLevel="0" collapsed="false">
      <c r="A187" s="18" t="s">
        <v>273</v>
      </c>
      <c r="B187" s="18" t="s">
        <v>274</v>
      </c>
      <c r="C187" s="18" t="s">
        <v>234</v>
      </c>
      <c r="D187" s="18" t="s">
        <v>296</v>
      </c>
      <c r="E187" s="18" t="s">
        <v>297</v>
      </c>
      <c r="F187" s="18" t="s">
        <v>280</v>
      </c>
      <c r="G187" s="19" t="n">
        <v>16668</v>
      </c>
      <c r="H187" s="19" t="n">
        <v>23989</v>
      </c>
      <c r="I187" s="19" t="n">
        <v>0</v>
      </c>
      <c r="J187" s="19" t="n">
        <v>0</v>
      </c>
      <c r="K187" s="19" t="n">
        <v>843</v>
      </c>
      <c r="L187" s="19" t="n">
        <v>0</v>
      </c>
      <c r="M187" s="19" t="n">
        <v>0</v>
      </c>
      <c r="N187" s="19" t="n">
        <v>0</v>
      </c>
      <c r="O187" s="19" t="n">
        <v>41500</v>
      </c>
      <c r="P187" s="20" t="n">
        <f aca="false">IFERROR(O187/SUMIFS($O$160:$O$418,$D$160:$D$418,"&lt;&gt;Not Mapped"),0)</f>
        <v>0.0176426525366733</v>
      </c>
      <c r="Q187" s="21" t="s">
        <v>326</v>
      </c>
      <c r="R187" s="21"/>
      <c r="S187" s="21"/>
      <c r="T187" s="21" t="s">
        <v>327</v>
      </c>
    </row>
    <row r="188" customFormat="false" ht="174" hidden="false" customHeight="true" outlineLevel="0" collapsed="false">
      <c r="A188" s="18" t="s">
        <v>273</v>
      </c>
      <c r="B188" s="18" t="s">
        <v>274</v>
      </c>
      <c r="C188" s="18" t="s">
        <v>128</v>
      </c>
      <c r="D188" s="18" t="s">
        <v>84</v>
      </c>
      <c r="E188" s="18" t="s">
        <v>85</v>
      </c>
      <c r="F188" s="18" t="s">
        <v>280</v>
      </c>
      <c r="G188" s="19" t="n">
        <v>27933</v>
      </c>
      <c r="H188" s="19" t="n">
        <v>6780</v>
      </c>
      <c r="I188" s="19" t="n">
        <v>0</v>
      </c>
      <c r="J188" s="19" t="n">
        <v>3921</v>
      </c>
      <c r="K188" s="19" t="n">
        <v>2264</v>
      </c>
      <c r="L188" s="19" t="n">
        <v>0</v>
      </c>
      <c r="M188" s="19" t="n">
        <v>180</v>
      </c>
      <c r="N188" s="19" t="n">
        <v>248</v>
      </c>
      <c r="O188" s="19" t="n">
        <v>41326</v>
      </c>
      <c r="P188" s="20" t="n">
        <f aca="false">IFERROR(O188/SUMIFS($O$160:$O$418,$D$160:$D$418,"&lt;&gt;Not Mapped"),0)</f>
        <v>0.0175686809332666</v>
      </c>
      <c r="Q188" s="21" t="s">
        <v>328</v>
      </c>
      <c r="R188" s="21"/>
      <c r="S188" s="21"/>
      <c r="T188" s="21"/>
    </row>
    <row r="189" customFormat="false" ht="174" hidden="false" customHeight="true" outlineLevel="0" collapsed="false">
      <c r="A189" s="18" t="s">
        <v>273</v>
      </c>
      <c r="B189" s="18" t="s">
        <v>274</v>
      </c>
      <c r="C189" s="18" t="s">
        <v>329</v>
      </c>
      <c r="D189" s="18" t="s">
        <v>84</v>
      </c>
      <c r="E189" s="18" t="s">
        <v>85</v>
      </c>
      <c r="F189" s="18" t="s">
        <v>280</v>
      </c>
      <c r="G189" s="19" t="n">
        <v>30178</v>
      </c>
      <c r="H189" s="19" t="n">
        <v>6153</v>
      </c>
      <c r="I189" s="19" t="n">
        <v>0</v>
      </c>
      <c r="J189" s="19" t="n">
        <v>3968</v>
      </c>
      <c r="K189" s="19" t="n">
        <v>810</v>
      </c>
      <c r="L189" s="19" t="n">
        <v>0</v>
      </c>
      <c r="M189" s="19" t="n">
        <v>0</v>
      </c>
      <c r="N189" s="19" t="n">
        <v>0</v>
      </c>
      <c r="O189" s="19" t="n">
        <v>41109</v>
      </c>
      <c r="P189" s="20" t="n">
        <f aca="false">IFERROR(O189/SUMIFS($O$160:$O$418,$D$160:$D$418,"&lt;&gt;Not Mapped"),0)</f>
        <v>0.0174764289910868</v>
      </c>
      <c r="Q189" s="21" t="s">
        <v>330</v>
      </c>
      <c r="R189" s="21"/>
      <c r="S189" s="21"/>
      <c r="T189" s="21"/>
    </row>
    <row r="190" customFormat="false" ht="162" hidden="false" customHeight="true" outlineLevel="0" collapsed="false">
      <c r="A190" s="18" t="s">
        <v>273</v>
      </c>
      <c r="B190" s="18" t="s">
        <v>274</v>
      </c>
      <c r="C190" s="18" t="s">
        <v>235</v>
      </c>
      <c r="D190" s="18" t="s">
        <v>313</v>
      </c>
      <c r="E190" s="18" t="s">
        <v>85</v>
      </c>
      <c r="F190" s="18" t="s">
        <v>280</v>
      </c>
      <c r="G190" s="19" t="n">
        <v>29057</v>
      </c>
      <c r="H190" s="19" t="n">
        <v>9676</v>
      </c>
      <c r="I190" s="19" t="n">
        <v>340</v>
      </c>
      <c r="J190" s="19" t="n">
        <v>395</v>
      </c>
      <c r="K190" s="19" t="n">
        <v>773</v>
      </c>
      <c r="L190" s="19" t="n">
        <v>0</v>
      </c>
      <c r="M190" s="19" t="n">
        <v>0</v>
      </c>
      <c r="N190" s="19" t="n">
        <v>0</v>
      </c>
      <c r="O190" s="19" t="n">
        <v>40242</v>
      </c>
      <c r="P190" s="20" t="n">
        <f aca="false">IFERROR(O190/SUMIFS($O$160:$O$418,$D$160:$D$418,"&lt;&gt;Not Mapped"),0)</f>
        <v>0.0171078463465255</v>
      </c>
      <c r="Q190" s="21" t="s">
        <v>331</v>
      </c>
      <c r="R190" s="21"/>
      <c r="S190" s="21"/>
      <c r="T190" s="22" t="n">
        <v>40000</v>
      </c>
    </row>
    <row r="191" customFormat="false" ht="162" hidden="false" customHeight="true" outlineLevel="0" collapsed="false">
      <c r="A191" s="18" t="s">
        <v>273</v>
      </c>
      <c r="B191" s="18" t="s">
        <v>274</v>
      </c>
      <c r="C191" s="18" t="s">
        <v>332</v>
      </c>
      <c r="D191" s="18" t="s">
        <v>301</v>
      </c>
      <c r="E191" s="18" t="s">
        <v>302</v>
      </c>
      <c r="F191" s="18" t="s">
        <v>280</v>
      </c>
      <c r="G191" s="19" t="n">
        <v>13995</v>
      </c>
      <c r="H191" s="19" t="n">
        <v>11558</v>
      </c>
      <c r="I191" s="19" t="n">
        <v>415</v>
      </c>
      <c r="J191" s="19" t="n">
        <v>828</v>
      </c>
      <c r="K191" s="19" t="n">
        <v>1365</v>
      </c>
      <c r="L191" s="19" t="n">
        <v>0</v>
      </c>
      <c r="M191" s="19" t="n">
        <v>2031</v>
      </c>
      <c r="N191" s="19" t="n">
        <v>9909</v>
      </c>
      <c r="O191" s="19" t="n">
        <v>40101</v>
      </c>
      <c r="P191" s="20" t="n">
        <f aca="false">IFERROR(O191/SUMIFS($O$160:$O$418,$D$160:$D$418,"&lt;&gt;Not Mapped"),0)</f>
        <v>0.0170479038403166</v>
      </c>
      <c r="Q191" s="21" t="s">
        <v>333</v>
      </c>
      <c r="R191" s="21"/>
      <c r="S191" s="21"/>
      <c r="T191" s="21"/>
    </row>
    <row r="192" customFormat="false" ht="138" hidden="false" customHeight="true" outlineLevel="0" collapsed="false">
      <c r="A192" s="18" t="s">
        <v>273</v>
      </c>
      <c r="B192" s="18" t="s">
        <v>274</v>
      </c>
      <c r="C192" s="18" t="s">
        <v>175</v>
      </c>
      <c r="D192" s="18" t="s">
        <v>89</v>
      </c>
      <c r="E192" s="18" t="s">
        <v>54</v>
      </c>
      <c r="F192" s="18" t="s">
        <v>280</v>
      </c>
      <c r="G192" s="19" t="n">
        <v>19635</v>
      </c>
      <c r="H192" s="19" t="n">
        <v>18346</v>
      </c>
      <c r="I192" s="19" t="n">
        <v>0</v>
      </c>
      <c r="J192" s="19" t="n">
        <v>292</v>
      </c>
      <c r="K192" s="19" t="n">
        <v>1633</v>
      </c>
      <c r="L192" s="19" t="n">
        <v>0</v>
      </c>
      <c r="M192" s="19" t="n">
        <v>0</v>
      </c>
      <c r="N192" s="19" t="n">
        <v>0</v>
      </c>
      <c r="O192" s="19" t="n">
        <v>39906</v>
      </c>
      <c r="P192" s="20" t="n">
        <f aca="false">IFERROR(O192/SUMIFS($O$160:$O$418,$D$160:$D$418,"&lt;&gt;Not Mapped"),0)</f>
        <v>0.0169650046296021</v>
      </c>
      <c r="Q192" s="21" t="s">
        <v>334</v>
      </c>
      <c r="R192" s="21"/>
      <c r="S192" s="21"/>
      <c r="T192" s="21"/>
    </row>
    <row r="193" customFormat="false" ht="150" hidden="false" customHeight="true" outlineLevel="0" collapsed="false">
      <c r="A193" s="18" t="s">
        <v>273</v>
      </c>
      <c r="B193" s="18" t="s">
        <v>274</v>
      </c>
      <c r="C193" s="18" t="s">
        <v>236</v>
      </c>
      <c r="D193" s="18" t="s">
        <v>315</v>
      </c>
      <c r="E193" s="18" t="s">
        <v>49</v>
      </c>
      <c r="F193" s="18" t="s">
        <v>280</v>
      </c>
      <c r="G193" s="19" t="n">
        <v>28774</v>
      </c>
      <c r="H193" s="19" t="n">
        <v>10857</v>
      </c>
      <c r="I193" s="19" t="n">
        <v>0</v>
      </c>
      <c r="J193" s="19" t="n">
        <v>0</v>
      </c>
      <c r="K193" s="19" t="n">
        <v>49</v>
      </c>
      <c r="L193" s="19" t="n">
        <v>0</v>
      </c>
      <c r="M193" s="19" t="n">
        <v>0</v>
      </c>
      <c r="N193" s="19" t="n">
        <v>0</v>
      </c>
      <c r="O193" s="19" t="n">
        <v>39679</v>
      </c>
      <c r="P193" s="20" t="n">
        <f aca="false">IFERROR(O193/SUMIFS($O$160:$O$418,$D$160:$D$418,"&lt;&gt;Not Mapped"),0)</f>
        <v>0.0168685014458473</v>
      </c>
      <c r="Q193" s="21" t="s">
        <v>335</v>
      </c>
      <c r="R193" s="21"/>
      <c r="S193" s="21"/>
      <c r="T193" s="22" t="n">
        <v>40000</v>
      </c>
    </row>
    <row r="194" customFormat="false" ht="162" hidden="false" customHeight="true" outlineLevel="0" collapsed="false">
      <c r="A194" s="18" t="s">
        <v>273</v>
      </c>
      <c r="B194" s="18" t="s">
        <v>274</v>
      </c>
      <c r="C194" s="18" t="s">
        <v>336</v>
      </c>
      <c r="D194" s="18" t="s">
        <v>61</v>
      </c>
      <c r="E194" s="18" t="s">
        <v>54</v>
      </c>
      <c r="F194" s="18" t="s">
        <v>280</v>
      </c>
      <c r="G194" s="19" t="n">
        <v>21968</v>
      </c>
      <c r="H194" s="19" t="n">
        <v>12107</v>
      </c>
      <c r="I194" s="19" t="n">
        <v>0</v>
      </c>
      <c r="J194" s="19" t="n">
        <v>5366</v>
      </c>
      <c r="K194" s="19" t="n">
        <v>0</v>
      </c>
      <c r="L194" s="19" t="n">
        <v>0</v>
      </c>
      <c r="M194" s="19" t="n">
        <v>0</v>
      </c>
      <c r="N194" s="19" t="n">
        <v>0</v>
      </c>
      <c r="O194" s="19" t="n">
        <v>39440</v>
      </c>
      <c r="P194" s="20" t="n">
        <f aca="false">IFERROR(O194/SUMIFS($O$160:$O$418,$D$160:$D$418,"&lt;&gt;Not Mapped"),0)</f>
        <v>0.0167668967722023</v>
      </c>
      <c r="Q194" s="21" t="s">
        <v>337</v>
      </c>
      <c r="R194" s="21"/>
      <c r="S194" s="21"/>
      <c r="T194" s="21"/>
    </row>
    <row r="195" customFormat="false" ht="126" hidden="false" customHeight="true" outlineLevel="0" collapsed="false">
      <c r="A195" s="18" t="s">
        <v>273</v>
      </c>
      <c r="B195" s="18" t="s">
        <v>274</v>
      </c>
      <c r="C195" s="18" t="s">
        <v>338</v>
      </c>
      <c r="D195" s="18" t="s">
        <v>309</v>
      </c>
      <c r="E195" s="18" t="s">
        <v>80</v>
      </c>
      <c r="F195" s="18" t="s">
        <v>280</v>
      </c>
      <c r="G195" s="19" t="n">
        <v>16378</v>
      </c>
      <c r="H195" s="19" t="n">
        <v>18410</v>
      </c>
      <c r="I195" s="19" t="n">
        <v>227</v>
      </c>
      <c r="J195" s="19" t="n">
        <v>2848</v>
      </c>
      <c r="K195" s="19" t="n">
        <v>751</v>
      </c>
      <c r="L195" s="19" t="n">
        <v>0</v>
      </c>
      <c r="M195" s="19" t="n">
        <v>756</v>
      </c>
      <c r="N195" s="19" t="n">
        <v>0</v>
      </c>
      <c r="O195" s="19" t="n">
        <v>39369</v>
      </c>
      <c r="P195" s="20" t="n">
        <f aca="false">IFERROR(O195/SUMIFS($O$160:$O$418,$D$160:$D$418,"&lt;&gt;Not Mapped"),0)</f>
        <v>0.0167367129570191</v>
      </c>
      <c r="Q195" s="21" t="s">
        <v>339</v>
      </c>
      <c r="R195" s="21"/>
      <c r="S195" s="21"/>
      <c r="T195" s="21"/>
    </row>
    <row r="196" customFormat="false" ht="174" hidden="false" customHeight="true" outlineLevel="0" collapsed="false">
      <c r="A196" s="18" t="s">
        <v>273</v>
      </c>
      <c r="B196" s="18" t="s">
        <v>274</v>
      </c>
      <c r="C196" s="18" t="s">
        <v>237</v>
      </c>
      <c r="D196" s="18" t="s">
        <v>35</v>
      </c>
      <c r="E196" s="18" t="s">
        <v>36</v>
      </c>
      <c r="F196" s="18" t="s">
        <v>275</v>
      </c>
      <c r="G196" s="19" t="n">
        <v>23481</v>
      </c>
      <c r="H196" s="19" t="n">
        <v>11376</v>
      </c>
      <c r="I196" s="19" t="n">
        <v>0</v>
      </c>
      <c r="J196" s="19" t="n">
        <v>0</v>
      </c>
      <c r="K196" s="19" t="n">
        <v>3479</v>
      </c>
      <c r="L196" s="19" t="n">
        <v>0</v>
      </c>
      <c r="M196" s="19" t="n">
        <v>0</v>
      </c>
      <c r="N196" s="19" t="n">
        <v>0</v>
      </c>
      <c r="O196" s="19" t="n">
        <v>38336</v>
      </c>
      <c r="P196" s="20" t="n">
        <f aca="false">IFERROR(O196/SUMIFS($O$160:$O$418,$D$160:$D$418,"&lt;&gt;Not Mapped"),0)</f>
        <v>0.0162975597023111</v>
      </c>
      <c r="Q196" s="21" t="s">
        <v>340</v>
      </c>
      <c r="R196" s="21"/>
      <c r="S196" s="21"/>
      <c r="T196" s="22" t="n">
        <v>38000</v>
      </c>
    </row>
    <row r="197" customFormat="false" ht="162" hidden="false" customHeight="true" outlineLevel="0" collapsed="false">
      <c r="A197" s="18" t="s">
        <v>273</v>
      </c>
      <c r="B197" s="18" t="s">
        <v>274</v>
      </c>
      <c r="C197" s="18" t="s">
        <v>124</v>
      </c>
      <c r="D197" s="18" t="s">
        <v>341</v>
      </c>
      <c r="E197" s="18" t="s">
        <v>85</v>
      </c>
      <c r="F197" s="18" t="s">
        <v>280</v>
      </c>
      <c r="G197" s="19" t="n">
        <v>7420</v>
      </c>
      <c r="H197" s="19" t="n">
        <v>28642</v>
      </c>
      <c r="I197" s="19" t="n">
        <v>116</v>
      </c>
      <c r="J197" s="19" t="n">
        <v>710</v>
      </c>
      <c r="K197" s="19" t="n">
        <v>298</v>
      </c>
      <c r="L197" s="19" t="n">
        <v>0</v>
      </c>
      <c r="M197" s="19" t="n">
        <v>0</v>
      </c>
      <c r="N197" s="19" t="n">
        <v>0</v>
      </c>
      <c r="O197" s="19" t="n">
        <v>37186</v>
      </c>
      <c r="P197" s="20" t="n">
        <f aca="false">IFERROR(O197/SUMIFS($O$160:$O$418,$D$160:$D$418,"&lt;&gt;Not Mapped"),0)</f>
        <v>0.0158086669211743</v>
      </c>
      <c r="Q197" s="21" t="s">
        <v>342</v>
      </c>
      <c r="R197" s="21"/>
      <c r="S197" s="21"/>
      <c r="T197" s="21"/>
    </row>
    <row r="198" customFormat="false" ht="162" hidden="false" customHeight="true" outlineLevel="0" collapsed="false">
      <c r="A198" s="18" t="s">
        <v>273</v>
      </c>
      <c r="B198" s="18" t="s">
        <v>274</v>
      </c>
      <c r="C198" s="18" t="s">
        <v>343</v>
      </c>
      <c r="D198" s="18" t="s">
        <v>305</v>
      </c>
      <c r="E198" s="18" t="s">
        <v>54</v>
      </c>
      <c r="F198" s="18" t="s">
        <v>280</v>
      </c>
      <c r="G198" s="19" t="n">
        <v>15298</v>
      </c>
      <c r="H198" s="19" t="n">
        <v>12439</v>
      </c>
      <c r="I198" s="19" t="n">
        <v>0</v>
      </c>
      <c r="J198" s="19" t="n">
        <v>1021</v>
      </c>
      <c r="K198" s="19" t="n">
        <v>1315</v>
      </c>
      <c r="L198" s="19" t="n">
        <v>0</v>
      </c>
      <c r="M198" s="19" t="n">
        <v>7022</v>
      </c>
      <c r="N198" s="19" t="n">
        <v>0</v>
      </c>
      <c r="O198" s="19" t="n">
        <v>37095</v>
      </c>
      <c r="P198" s="20" t="n">
        <f aca="false">IFERROR(O198/SUMIFS($O$160:$O$418,$D$160:$D$418,"&lt;&gt;Not Mapped"),0)</f>
        <v>0.0157699806228409</v>
      </c>
      <c r="Q198" s="21" t="s">
        <v>344</v>
      </c>
      <c r="R198" s="21"/>
      <c r="S198" s="21"/>
      <c r="T198" s="21"/>
    </row>
    <row r="199" customFormat="false" ht="126" hidden="false" customHeight="true" outlineLevel="0" collapsed="false">
      <c r="A199" s="18" t="s">
        <v>273</v>
      </c>
      <c r="B199" s="18" t="s">
        <v>274</v>
      </c>
      <c r="C199" s="18" t="s">
        <v>345</v>
      </c>
      <c r="D199" s="18" t="s">
        <v>341</v>
      </c>
      <c r="E199" s="18" t="s">
        <v>85</v>
      </c>
      <c r="F199" s="18" t="s">
        <v>280</v>
      </c>
      <c r="G199" s="19" t="n">
        <v>-24477</v>
      </c>
      <c r="H199" s="19" t="n">
        <v>36085</v>
      </c>
      <c r="I199" s="19" t="n">
        <v>0</v>
      </c>
      <c r="J199" s="19" t="n">
        <v>5221</v>
      </c>
      <c r="K199" s="19" t="n">
        <v>13126</v>
      </c>
      <c r="L199" s="19" t="n">
        <v>0</v>
      </c>
      <c r="M199" s="19" t="n">
        <v>4987</v>
      </c>
      <c r="N199" s="19" t="n">
        <v>0</v>
      </c>
      <c r="O199" s="19" t="n">
        <v>34942</v>
      </c>
      <c r="P199" s="20" t="n">
        <f aca="false">IFERROR(O199/SUMIFS($O$160:$O$418,$D$160:$D$418,"&lt;&gt;Not Mapped"),0)</f>
        <v>0.0148546883117214</v>
      </c>
      <c r="Q199" s="21" t="s">
        <v>346</v>
      </c>
      <c r="R199" s="21"/>
      <c r="S199" s="21"/>
      <c r="T199" s="21"/>
    </row>
    <row r="200" customFormat="false" ht="162" hidden="false" customHeight="true" outlineLevel="0" collapsed="false">
      <c r="A200" s="18" t="s">
        <v>273</v>
      </c>
      <c r="B200" s="18" t="s">
        <v>274</v>
      </c>
      <c r="C200" s="18" t="s">
        <v>347</v>
      </c>
      <c r="D200" s="18" t="s">
        <v>348</v>
      </c>
      <c r="E200" s="18" t="s">
        <v>54</v>
      </c>
      <c r="F200" s="18" t="s">
        <v>280</v>
      </c>
      <c r="G200" s="19" t="n">
        <v>-2863</v>
      </c>
      <c r="H200" s="19" t="n">
        <v>33910</v>
      </c>
      <c r="I200" s="19" t="n">
        <v>0</v>
      </c>
      <c r="J200" s="19" t="n">
        <v>1993</v>
      </c>
      <c r="K200" s="19" t="n">
        <v>363</v>
      </c>
      <c r="L200" s="19" t="n">
        <v>0</v>
      </c>
      <c r="M200" s="19" t="n">
        <v>0</v>
      </c>
      <c r="N200" s="19" t="n">
        <v>0</v>
      </c>
      <c r="O200" s="19" t="n">
        <v>33402</v>
      </c>
      <c r="P200" s="20" t="n">
        <f aca="false">IFERROR(O200/SUMIFS($O$160:$O$418,$D$160:$D$418,"&lt;&gt;Not Mapped"),0)</f>
        <v>0.0141999971091557</v>
      </c>
      <c r="Q200" s="21" t="s">
        <v>349</v>
      </c>
      <c r="R200" s="21"/>
      <c r="S200" s="21"/>
      <c r="T200" s="21"/>
    </row>
    <row r="201" customFormat="false" ht="150" hidden="false" customHeight="true" outlineLevel="0" collapsed="false">
      <c r="A201" s="18" t="s">
        <v>273</v>
      </c>
      <c r="B201" s="18" t="s">
        <v>274</v>
      </c>
      <c r="C201" s="18" t="s">
        <v>350</v>
      </c>
      <c r="D201" s="18" t="s">
        <v>351</v>
      </c>
      <c r="E201" s="18" t="s">
        <v>44</v>
      </c>
      <c r="F201" s="18" t="s">
        <v>280</v>
      </c>
      <c r="G201" s="19" t="n">
        <v>7636</v>
      </c>
      <c r="H201" s="19" t="n">
        <v>21392</v>
      </c>
      <c r="I201" s="19" t="n">
        <v>0</v>
      </c>
      <c r="J201" s="19" t="n">
        <v>301</v>
      </c>
      <c r="K201" s="19" t="n">
        <v>3982</v>
      </c>
      <c r="L201" s="19" t="n">
        <v>0</v>
      </c>
      <c r="M201" s="19" t="n">
        <v>0</v>
      </c>
      <c r="N201" s="19" t="n">
        <v>0</v>
      </c>
      <c r="O201" s="19" t="n">
        <v>33311</v>
      </c>
      <c r="P201" s="20" t="n">
        <f aca="false">IFERROR(O201/SUMIFS($O$160:$O$418,$D$160:$D$418,"&lt;&gt;Not Mapped"),0)</f>
        <v>0.0141613108108223</v>
      </c>
      <c r="Q201" s="21" t="s">
        <v>352</v>
      </c>
      <c r="R201" s="21"/>
      <c r="S201" s="21"/>
      <c r="T201" s="21"/>
    </row>
    <row r="202" customFormat="false" ht="138" hidden="false" customHeight="true" outlineLevel="0" collapsed="false">
      <c r="A202" s="18" t="s">
        <v>273</v>
      </c>
      <c r="B202" s="18" t="s">
        <v>274</v>
      </c>
      <c r="C202" s="18" t="s">
        <v>353</v>
      </c>
      <c r="D202" s="18" t="s">
        <v>315</v>
      </c>
      <c r="E202" s="18" t="s">
        <v>49</v>
      </c>
      <c r="F202" s="18" t="s">
        <v>280</v>
      </c>
      <c r="G202" s="19" t="n">
        <v>21341</v>
      </c>
      <c r="H202" s="19" t="n">
        <v>9514</v>
      </c>
      <c r="I202" s="19" t="n">
        <v>308</v>
      </c>
      <c r="J202" s="19" t="n">
        <v>0</v>
      </c>
      <c r="K202" s="19" t="n">
        <v>0</v>
      </c>
      <c r="L202" s="19" t="n">
        <v>0</v>
      </c>
      <c r="M202" s="19" t="n">
        <v>1394</v>
      </c>
      <c r="N202" s="19" t="n">
        <v>0</v>
      </c>
      <c r="O202" s="19" t="n">
        <v>32557</v>
      </c>
      <c r="P202" s="20" t="n">
        <f aca="false">IFERROR(O202/SUMIFS($O$160:$O$418,$D$160:$D$418,"&lt;&gt;Not Mapped"),0)</f>
        <v>0.0138407671960596</v>
      </c>
      <c r="Q202" s="21" t="s">
        <v>354</v>
      </c>
      <c r="R202" s="21"/>
      <c r="S202" s="21"/>
      <c r="T202" s="21"/>
    </row>
    <row r="203" customFormat="false" ht="150" hidden="false" customHeight="true" outlineLevel="0" collapsed="false">
      <c r="A203" s="18" t="s">
        <v>273</v>
      </c>
      <c r="B203" s="18" t="s">
        <v>274</v>
      </c>
      <c r="C203" s="18" t="s">
        <v>355</v>
      </c>
      <c r="D203" s="18" t="s">
        <v>43</v>
      </c>
      <c r="E203" s="18" t="s">
        <v>44</v>
      </c>
      <c r="F203" s="18" t="s">
        <v>280</v>
      </c>
      <c r="G203" s="19" t="n">
        <v>24834</v>
      </c>
      <c r="H203" s="19" t="n">
        <v>7008</v>
      </c>
      <c r="I203" s="19" t="n">
        <v>0</v>
      </c>
      <c r="J203" s="19" t="n">
        <v>0</v>
      </c>
      <c r="K203" s="19" t="n">
        <v>218</v>
      </c>
      <c r="L203" s="19" t="n">
        <v>0</v>
      </c>
      <c r="M203" s="19" t="n">
        <v>0</v>
      </c>
      <c r="N203" s="19" t="n">
        <v>0</v>
      </c>
      <c r="O203" s="19" t="n">
        <v>32060</v>
      </c>
      <c r="P203" s="20" t="n">
        <f aca="false">IFERROR(O203/SUMIFS($O$160:$O$418,$D$160:$D$418,"&lt;&gt;Not Mapped"),0)</f>
        <v>0.013629480489777</v>
      </c>
      <c r="Q203" s="21" t="s">
        <v>356</v>
      </c>
      <c r="R203" s="21"/>
      <c r="S203" s="21"/>
      <c r="T203" s="21"/>
    </row>
    <row r="204" customFormat="false" ht="162" hidden="false" customHeight="true" outlineLevel="0" collapsed="false">
      <c r="A204" s="18" t="s">
        <v>273</v>
      </c>
      <c r="B204" s="18" t="s">
        <v>274</v>
      </c>
      <c r="C204" s="18" t="s">
        <v>357</v>
      </c>
      <c r="D204" s="18" t="s">
        <v>53</v>
      </c>
      <c r="E204" s="18" t="s">
        <v>54</v>
      </c>
      <c r="F204" s="18" t="s">
        <v>280</v>
      </c>
      <c r="G204" s="19" t="n">
        <v>14300</v>
      </c>
      <c r="H204" s="19" t="n">
        <v>9717</v>
      </c>
      <c r="I204" s="19" t="n">
        <v>114</v>
      </c>
      <c r="J204" s="19" t="n">
        <v>6589</v>
      </c>
      <c r="K204" s="19" t="n">
        <v>776</v>
      </c>
      <c r="L204" s="19" t="n">
        <v>0</v>
      </c>
      <c r="M204" s="19" t="n">
        <v>0</v>
      </c>
      <c r="N204" s="19" t="n">
        <v>0</v>
      </c>
      <c r="O204" s="19" t="n">
        <v>31497</v>
      </c>
      <c r="P204" s="20" t="n">
        <f aca="false">IFERROR(O204/SUMIFS($O$160:$O$418,$D$160:$D$418,"&lt;&gt;Not Mapped"),0)</f>
        <v>0.0133901355890988</v>
      </c>
      <c r="Q204" s="21" t="s">
        <v>358</v>
      </c>
      <c r="R204" s="21"/>
      <c r="S204" s="21"/>
      <c r="T204" s="21"/>
    </row>
    <row r="205" customFormat="false" ht="162" hidden="false" customHeight="true" outlineLevel="0" collapsed="false">
      <c r="A205" s="18" t="s">
        <v>273</v>
      </c>
      <c r="B205" s="18" t="s">
        <v>274</v>
      </c>
      <c r="C205" s="18" t="s">
        <v>238</v>
      </c>
      <c r="D205" s="18" t="s">
        <v>315</v>
      </c>
      <c r="E205" s="18" t="s">
        <v>49</v>
      </c>
      <c r="F205" s="18" t="s">
        <v>280</v>
      </c>
      <c r="G205" s="19" t="n">
        <v>19018</v>
      </c>
      <c r="H205" s="19" t="n">
        <v>10858</v>
      </c>
      <c r="I205" s="19" t="n">
        <v>27</v>
      </c>
      <c r="J205" s="19" t="n">
        <v>200</v>
      </c>
      <c r="K205" s="19" t="n">
        <v>179</v>
      </c>
      <c r="L205" s="19" t="n">
        <v>0</v>
      </c>
      <c r="M205" s="19" t="n">
        <v>120</v>
      </c>
      <c r="N205" s="19" t="n">
        <v>0</v>
      </c>
      <c r="O205" s="19" t="n">
        <v>30401</v>
      </c>
      <c r="P205" s="20" t="n">
        <f aca="false">IFERROR(O205/SUMIFS($O$160:$O$418,$D$160:$D$418,"&lt;&gt;Not Mapped"),0)</f>
        <v>0.0129241995124676</v>
      </c>
      <c r="Q205" s="21" t="s">
        <v>359</v>
      </c>
      <c r="R205" s="21"/>
      <c r="S205" s="21"/>
      <c r="T205" s="22" t="n">
        <v>30000</v>
      </c>
    </row>
    <row r="206" customFormat="false" ht="162" hidden="false" customHeight="true" outlineLevel="0" collapsed="false">
      <c r="A206" s="18" t="s">
        <v>273</v>
      </c>
      <c r="B206" s="18" t="s">
        <v>274</v>
      </c>
      <c r="C206" s="18" t="s">
        <v>360</v>
      </c>
      <c r="D206" s="18" t="s">
        <v>351</v>
      </c>
      <c r="E206" s="18" t="s">
        <v>44</v>
      </c>
      <c r="F206" s="18" t="s">
        <v>280</v>
      </c>
      <c r="G206" s="19" t="n">
        <v>3774</v>
      </c>
      <c r="H206" s="19" t="n">
        <v>23498</v>
      </c>
      <c r="I206" s="19" t="n">
        <v>301</v>
      </c>
      <c r="J206" s="19" t="n">
        <v>939</v>
      </c>
      <c r="K206" s="19" t="n">
        <v>732</v>
      </c>
      <c r="L206" s="19" t="n">
        <v>0</v>
      </c>
      <c r="M206" s="19" t="n">
        <v>1092</v>
      </c>
      <c r="N206" s="19" t="n">
        <v>63</v>
      </c>
      <c r="O206" s="19" t="n">
        <v>30399</v>
      </c>
      <c r="P206" s="20" t="n">
        <f aca="false">IFERROR(O206/SUMIFS($O$160:$O$418,$D$160:$D$418,"&lt;&gt;Not Mapped"),0)</f>
        <v>0.0129233492641526</v>
      </c>
      <c r="Q206" s="21" t="s">
        <v>361</v>
      </c>
      <c r="R206" s="21"/>
      <c r="S206" s="21"/>
      <c r="T206" s="21"/>
    </row>
    <row r="207" customFormat="false" ht="150" hidden="false" customHeight="true" outlineLevel="0" collapsed="false">
      <c r="A207" s="18" t="s">
        <v>273</v>
      </c>
      <c r="B207" s="18" t="s">
        <v>274</v>
      </c>
      <c r="C207" s="18" t="s">
        <v>362</v>
      </c>
      <c r="D207" s="18" t="s">
        <v>48</v>
      </c>
      <c r="E207" s="18" t="s">
        <v>49</v>
      </c>
      <c r="F207" s="18" t="s">
        <v>280</v>
      </c>
      <c r="G207" s="19" t="n">
        <v>23160</v>
      </c>
      <c r="H207" s="19" t="n">
        <v>5953</v>
      </c>
      <c r="I207" s="19" t="n">
        <v>227</v>
      </c>
      <c r="J207" s="19" t="n">
        <v>0</v>
      </c>
      <c r="K207" s="19" t="n">
        <v>479</v>
      </c>
      <c r="L207" s="19" t="n">
        <v>0</v>
      </c>
      <c r="M207" s="19" t="n">
        <v>198</v>
      </c>
      <c r="N207" s="19" t="n">
        <v>0</v>
      </c>
      <c r="O207" s="19" t="n">
        <v>30017</v>
      </c>
      <c r="P207" s="20" t="n">
        <f aca="false">IFERROR(O207/SUMIFS($O$160:$O$418,$D$160:$D$418,"&lt;&gt;Not Mapped"),0)</f>
        <v>0.0127609518359837</v>
      </c>
      <c r="Q207" s="21" t="s">
        <v>363</v>
      </c>
      <c r="R207" s="21"/>
      <c r="S207" s="21"/>
      <c r="T207" s="21"/>
    </row>
    <row r="208" customFormat="false" ht="186" hidden="false" customHeight="true" outlineLevel="0" collapsed="false">
      <c r="A208" s="18" t="s">
        <v>273</v>
      </c>
      <c r="B208" s="18" t="s">
        <v>274</v>
      </c>
      <c r="C208" s="18" t="s">
        <v>108</v>
      </c>
      <c r="D208" s="18" t="s">
        <v>315</v>
      </c>
      <c r="E208" s="18" t="s">
        <v>49</v>
      </c>
      <c r="F208" s="18" t="s">
        <v>280</v>
      </c>
      <c r="G208" s="19" t="n">
        <v>15739</v>
      </c>
      <c r="H208" s="19" t="n">
        <v>11064</v>
      </c>
      <c r="I208" s="19" t="n">
        <v>497</v>
      </c>
      <c r="J208" s="19" t="n">
        <v>2098</v>
      </c>
      <c r="K208" s="19" t="n">
        <v>354</v>
      </c>
      <c r="L208" s="19" t="n">
        <v>0</v>
      </c>
      <c r="M208" s="19" t="n">
        <v>0</v>
      </c>
      <c r="N208" s="19" t="n">
        <v>0</v>
      </c>
      <c r="O208" s="19" t="n">
        <v>29752</v>
      </c>
      <c r="P208" s="20" t="n">
        <f aca="false">IFERROR(O208/SUMIFS($O$160:$O$418,$D$160:$D$418,"&lt;&gt;Not Mapped"),0)</f>
        <v>0.0126482939342435</v>
      </c>
      <c r="Q208" s="21" t="s">
        <v>364</v>
      </c>
      <c r="R208" s="21"/>
      <c r="S208" s="21"/>
      <c r="T208" s="22" t="n">
        <v>25000</v>
      </c>
    </row>
    <row r="209" customFormat="false" ht="138" hidden="false" customHeight="true" outlineLevel="0" collapsed="false">
      <c r="A209" s="18" t="s">
        <v>273</v>
      </c>
      <c r="B209" s="18" t="s">
        <v>274</v>
      </c>
      <c r="C209" s="18" t="s">
        <v>170</v>
      </c>
      <c r="D209" s="18" t="s">
        <v>351</v>
      </c>
      <c r="E209" s="18" t="s">
        <v>44</v>
      </c>
      <c r="F209" s="18" t="s">
        <v>280</v>
      </c>
      <c r="G209" s="19" t="n">
        <v>12638</v>
      </c>
      <c r="H209" s="19" t="n">
        <v>16169</v>
      </c>
      <c r="I209" s="19" t="n">
        <v>265</v>
      </c>
      <c r="J209" s="19" t="n">
        <v>0</v>
      </c>
      <c r="K209" s="19" t="n">
        <v>107</v>
      </c>
      <c r="L209" s="19" t="n">
        <v>0</v>
      </c>
      <c r="M209" s="19" t="n">
        <v>0</v>
      </c>
      <c r="N209" s="19" t="n">
        <v>0</v>
      </c>
      <c r="O209" s="19" t="n">
        <v>29179</v>
      </c>
      <c r="P209" s="20" t="n">
        <f aca="false">IFERROR(O209/SUMIFS($O$160:$O$418,$D$160:$D$418,"&lt;&gt;Not Mapped"),0)</f>
        <v>0.0124046977919902</v>
      </c>
      <c r="Q209" s="21" t="s">
        <v>365</v>
      </c>
      <c r="R209" s="21"/>
      <c r="S209" s="21"/>
      <c r="T209" s="21"/>
    </row>
    <row r="210" customFormat="false" ht="90" hidden="false" customHeight="true" outlineLevel="0" collapsed="false">
      <c r="A210" s="18" t="s">
        <v>273</v>
      </c>
      <c r="B210" s="18" t="s">
        <v>274</v>
      </c>
      <c r="C210" s="18" t="s">
        <v>366</v>
      </c>
      <c r="D210" s="18" t="s">
        <v>35</v>
      </c>
      <c r="E210" s="18" t="s">
        <v>36</v>
      </c>
      <c r="F210" s="18" t="s">
        <v>275</v>
      </c>
      <c r="G210" s="19" t="n">
        <v>462</v>
      </c>
      <c r="H210" s="19" t="n">
        <v>23403</v>
      </c>
      <c r="I210" s="19" t="n">
        <v>0</v>
      </c>
      <c r="J210" s="19" t="n">
        <v>0</v>
      </c>
      <c r="K210" s="19" t="n">
        <v>4786</v>
      </c>
      <c r="L210" s="19" t="n">
        <v>0</v>
      </c>
      <c r="M210" s="19" t="n">
        <v>0</v>
      </c>
      <c r="N210" s="19" t="n">
        <v>0</v>
      </c>
      <c r="O210" s="19" t="n">
        <v>28651</v>
      </c>
      <c r="P210" s="20" t="n">
        <f aca="false">IFERROR(O210/SUMIFS($O$160:$O$418,$D$160:$D$418,"&lt;&gt;Not Mapped"),0)</f>
        <v>0.0121802322368248</v>
      </c>
      <c r="Q210" s="21" t="s">
        <v>367</v>
      </c>
      <c r="R210" s="21"/>
      <c r="S210" s="21"/>
      <c r="T210" s="21"/>
    </row>
    <row r="211" customFormat="false" ht="114" hidden="false" customHeight="true" outlineLevel="0" collapsed="false">
      <c r="A211" s="18" t="s">
        <v>273</v>
      </c>
      <c r="B211" s="18" t="s">
        <v>368</v>
      </c>
      <c r="C211" s="18" t="s">
        <v>239</v>
      </c>
      <c r="D211" s="18" t="s">
        <v>313</v>
      </c>
      <c r="E211" s="18" t="s">
        <v>85</v>
      </c>
      <c r="F211" s="18" t="s">
        <v>280</v>
      </c>
      <c r="G211" s="19" t="n">
        <v>-203</v>
      </c>
      <c r="H211" s="19" t="n">
        <v>28240</v>
      </c>
      <c r="I211" s="19" t="n">
        <v>0</v>
      </c>
      <c r="J211" s="19" t="n">
        <v>0</v>
      </c>
      <c r="K211" s="19" t="n">
        <v>340</v>
      </c>
      <c r="L211" s="19" t="n">
        <v>0</v>
      </c>
      <c r="M211" s="19" t="n">
        <v>0</v>
      </c>
      <c r="N211" s="19" t="n">
        <v>0</v>
      </c>
      <c r="O211" s="19" t="n">
        <v>28377</v>
      </c>
      <c r="P211" s="20" t="n">
        <f aca="false">IFERROR(O211/SUMIFS($O$160:$O$418,$D$160:$D$418,"&lt;&gt;Not Mapped"),0)</f>
        <v>0.012063748217667</v>
      </c>
      <c r="Q211" s="21" t="s">
        <v>369</v>
      </c>
      <c r="R211" s="21"/>
      <c r="S211" s="21"/>
      <c r="T211" s="22" t="n">
        <v>28000</v>
      </c>
    </row>
    <row r="212" customFormat="false" ht="102" hidden="false" customHeight="true" outlineLevel="0" collapsed="false">
      <c r="A212" s="18" t="s">
        <v>273</v>
      </c>
      <c r="B212" s="18" t="s">
        <v>274</v>
      </c>
      <c r="C212" s="18" t="s">
        <v>370</v>
      </c>
      <c r="D212" s="18" t="s">
        <v>301</v>
      </c>
      <c r="E212" s="18" t="s">
        <v>302</v>
      </c>
      <c r="F212" s="18" t="s">
        <v>280</v>
      </c>
      <c r="G212" s="19" t="n">
        <v>18883</v>
      </c>
      <c r="H212" s="19" t="n">
        <v>7350</v>
      </c>
      <c r="I212" s="19" t="n">
        <v>1000</v>
      </c>
      <c r="J212" s="19" t="n">
        <v>615</v>
      </c>
      <c r="K212" s="19" t="n">
        <v>501</v>
      </c>
      <c r="L212" s="19" t="n">
        <v>0</v>
      </c>
      <c r="M212" s="19" t="n">
        <v>0</v>
      </c>
      <c r="N212" s="19" t="n">
        <v>0</v>
      </c>
      <c r="O212" s="19" t="n">
        <v>28349</v>
      </c>
      <c r="P212" s="20" t="n">
        <f aca="false">IFERROR(O212/SUMIFS($O$160:$O$418,$D$160:$D$418,"&lt;&gt;Not Mapped"),0)</f>
        <v>0.0120518447412567</v>
      </c>
      <c r="Q212" s="21" t="s">
        <v>371</v>
      </c>
      <c r="R212" s="21"/>
      <c r="S212" s="21"/>
      <c r="T212" s="21"/>
    </row>
    <row r="213" customFormat="false" ht="102" hidden="false" customHeight="true" outlineLevel="0" collapsed="false">
      <c r="A213" s="18" t="s">
        <v>273</v>
      </c>
      <c r="B213" s="18" t="s">
        <v>274</v>
      </c>
      <c r="C213" s="18" t="s">
        <v>372</v>
      </c>
      <c r="D213" s="18" t="s">
        <v>61</v>
      </c>
      <c r="E213" s="18" t="s">
        <v>54</v>
      </c>
      <c r="F213" s="18" t="s">
        <v>280</v>
      </c>
      <c r="G213" s="19" t="n">
        <v>-4516</v>
      </c>
      <c r="H213" s="19" t="n">
        <v>31960</v>
      </c>
      <c r="I213" s="19" t="n">
        <v>0</v>
      </c>
      <c r="J213" s="19" t="n">
        <v>351</v>
      </c>
      <c r="K213" s="19" t="n">
        <v>161</v>
      </c>
      <c r="L213" s="19" t="n">
        <v>0</v>
      </c>
      <c r="M213" s="19" t="n">
        <v>181</v>
      </c>
      <c r="N213" s="19" t="n">
        <v>0</v>
      </c>
      <c r="O213" s="19" t="n">
        <v>28136</v>
      </c>
      <c r="P213" s="20" t="n">
        <f aca="false">IFERROR(O213/SUMIFS($O$160:$O$418,$D$160:$D$418,"&lt;&gt;Not Mapped"),0)</f>
        <v>0.011961293295707</v>
      </c>
      <c r="Q213" s="21" t="s">
        <v>373</v>
      </c>
      <c r="R213" s="21"/>
      <c r="S213" s="21"/>
      <c r="T213" s="21"/>
    </row>
    <row r="214" customFormat="false" ht="90" hidden="false" customHeight="true" outlineLevel="0" collapsed="false">
      <c r="A214" s="18" t="s">
        <v>273</v>
      </c>
      <c r="B214" s="18" t="s">
        <v>274</v>
      </c>
      <c r="C214" s="18" t="s">
        <v>374</v>
      </c>
      <c r="D214" s="18" t="s">
        <v>68</v>
      </c>
      <c r="E214" s="18" t="s">
        <v>49</v>
      </c>
      <c r="F214" s="18" t="s">
        <v>280</v>
      </c>
      <c r="G214" s="19" t="n">
        <v>16726</v>
      </c>
      <c r="H214" s="19" t="n">
        <v>10196</v>
      </c>
      <c r="I214" s="19" t="n">
        <v>0</v>
      </c>
      <c r="J214" s="19" t="n">
        <v>96</v>
      </c>
      <c r="K214" s="19" t="n">
        <v>454</v>
      </c>
      <c r="L214" s="19" t="n">
        <v>0</v>
      </c>
      <c r="M214" s="19" t="n">
        <v>0</v>
      </c>
      <c r="N214" s="19" t="n">
        <v>0</v>
      </c>
      <c r="O214" s="19" t="n">
        <v>27472</v>
      </c>
      <c r="P214" s="20" t="n">
        <f aca="false">IFERROR(O214/SUMIFS($O$160:$O$418,$D$160:$D$418,"&lt;&gt;Not Mapped"),0)</f>
        <v>0.0116790108551202</v>
      </c>
      <c r="Q214" s="21" t="s">
        <v>375</v>
      </c>
      <c r="R214" s="21"/>
      <c r="S214" s="21"/>
      <c r="T214" s="21"/>
    </row>
    <row r="215" customFormat="false" ht="102" hidden="false" customHeight="true" outlineLevel="0" collapsed="false">
      <c r="A215" s="18" t="s">
        <v>273</v>
      </c>
      <c r="B215" s="18" t="s">
        <v>274</v>
      </c>
      <c r="C215" s="18" t="s">
        <v>376</v>
      </c>
      <c r="D215" s="18" t="s">
        <v>301</v>
      </c>
      <c r="E215" s="18" t="s">
        <v>302</v>
      </c>
      <c r="F215" s="18" t="s">
        <v>280</v>
      </c>
      <c r="G215" s="19" t="n">
        <v>24616</v>
      </c>
      <c r="H215" s="19" t="n">
        <v>1423</v>
      </c>
      <c r="I215" s="19" t="n">
        <v>38</v>
      </c>
      <c r="J215" s="19" t="n">
        <v>0</v>
      </c>
      <c r="K215" s="19" t="n">
        <v>1222</v>
      </c>
      <c r="L215" s="19" t="n">
        <v>0</v>
      </c>
      <c r="M215" s="19" t="n">
        <v>0</v>
      </c>
      <c r="N215" s="19" t="n">
        <v>0</v>
      </c>
      <c r="O215" s="19" t="n">
        <v>27298</v>
      </c>
      <c r="P215" s="20" t="n">
        <f aca="false">IFERROR(O215/SUMIFS($O$160:$O$418,$D$160:$D$418,"&lt;&gt;Not Mapped"),0)</f>
        <v>0.0116050392517135</v>
      </c>
      <c r="Q215" s="21" t="s">
        <v>377</v>
      </c>
      <c r="R215" s="21"/>
      <c r="S215" s="21"/>
      <c r="T215" s="21"/>
    </row>
    <row r="216" customFormat="false" ht="102" hidden="false" customHeight="true" outlineLevel="0" collapsed="false">
      <c r="A216" s="18" t="s">
        <v>273</v>
      </c>
      <c r="B216" s="18" t="s">
        <v>274</v>
      </c>
      <c r="C216" s="18" t="s">
        <v>378</v>
      </c>
      <c r="D216" s="18" t="s">
        <v>68</v>
      </c>
      <c r="E216" s="18" t="s">
        <v>49</v>
      </c>
      <c r="F216" s="18" t="s">
        <v>280</v>
      </c>
      <c r="G216" s="19" t="n">
        <v>6414</v>
      </c>
      <c r="H216" s="19" t="n">
        <v>11926</v>
      </c>
      <c r="I216" s="19" t="n">
        <v>0</v>
      </c>
      <c r="J216" s="19" t="n">
        <v>1448</v>
      </c>
      <c r="K216" s="19" t="n">
        <v>63</v>
      </c>
      <c r="L216" s="19" t="n">
        <v>0</v>
      </c>
      <c r="M216" s="19" t="n">
        <v>0</v>
      </c>
      <c r="N216" s="19" t="n">
        <v>7417</v>
      </c>
      <c r="O216" s="19" t="n">
        <v>27268</v>
      </c>
      <c r="P216" s="20" t="n">
        <f aca="false">IFERROR(O216/SUMIFS($O$160:$O$418,$D$160:$D$418,"&lt;&gt;Not Mapped"),0)</f>
        <v>0.0115922855269882</v>
      </c>
      <c r="Q216" s="21" t="s">
        <v>379</v>
      </c>
      <c r="R216" s="21"/>
      <c r="S216" s="21"/>
      <c r="T216" s="21"/>
    </row>
    <row r="217" customFormat="false" ht="114" hidden="false" customHeight="true" outlineLevel="0" collapsed="false">
      <c r="A217" s="18" t="s">
        <v>273</v>
      </c>
      <c r="B217" s="18" t="s">
        <v>274</v>
      </c>
      <c r="C217" s="18" t="s">
        <v>380</v>
      </c>
      <c r="D217" s="18" t="s">
        <v>89</v>
      </c>
      <c r="E217" s="18" t="s">
        <v>54</v>
      </c>
      <c r="F217" s="18" t="s">
        <v>280</v>
      </c>
      <c r="G217" s="19" t="n">
        <v>4568</v>
      </c>
      <c r="H217" s="19" t="n">
        <v>18329</v>
      </c>
      <c r="I217" s="19" t="n">
        <v>2129</v>
      </c>
      <c r="J217" s="19" t="n">
        <v>106</v>
      </c>
      <c r="K217" s="19" t="n">
        <v>765</v>
      </c>
      <c r="L217" s="19" t="n">
        <v>0</v>
      </c>
      <c r="M217" s="19" t="n">
        <v>0</v>
      </c>
      <c r="N217" s="19" t="n">
        <v>0</v>
      </c>
      <c r="O217" s="19" t="n">
        <v>25896</v>
      </c>
      <c r="P217" s="20" t="n">
        <f aca="false">IFERROR(O217/SUMIFS($O$160:$O$418,$D$160:$D$418,"&lt;&gt;Not Mapped"),0)</f>
        <v>0.0110090151828842</v>
      </c>
      <c r="Q217" s="21" t="s">
        <v>381</v>
      </c>
      <c r="R217" s="21"/>
      <c r="S217" s="21"/>
      <c r="T217" s="21"/>
    </row>
    <row r="218" customFormat="false" ht="90" hidden="false" customHeight="true" outlineLevel="0" collapsed="false">
      <c r="A218" s="18" t="s">
        <v>273</v>
      </c>
      <c r="B218" s="18" t="s">
        <v>274</v>
      </c>
      <c r="C218" s="18" t="s">
        <v>382</v>
      </c>
      <c r="D218" s="18" t="s">
        <v>84</v>
      </c>
      <c r="E218" s="18" t="s">
        <v>85</v>
      </c>
      <c r="F218" s="18" t="s">
        <v>280</v>
      </c>
      <c r="G218" s="19" t="n">
        <v>-9055</v>
      </c>
      <c r="H218" s="19" t="n">
        <v>0</v>
      </c>
      <c r="I218" s="19" t="n">
        <v>0</v>
      </c>
      <c r="J218" s="19" t="n">
        <v>34052</v>
      </c>
      <c r="K218" s="19" t="n">
        <v>0</v>
      </c>
      <c r="L218" s="19" t="n">
        <v>0</v>
      </c>
      <c r="M218" s="19" t="n">
        <v>0</v>
      </c>
      <c r="N218" s="19" t="n">
        <v>0</v>
      </c>
      <c r="O218" s="19" t="n">
        <v>24998</v>
      </c>
      <c r="P218" s="20" t="n">
        <f aca="false">IFERROR(O218/SUMIFS($O$160:$O$418,$D$160:$D$418,"&lt;&gt;Not Mapped"),0)</f>
        <v>0.01062725368944</v>
      </c>
      <c r="Q218" s="21" t="s">
        <v>383</v>
      </c>
      <c r="R218" s="21"/>
      <c r="S218" s="21"/>
      <c r="T218" s="21"/>
    </row>
    <row r="219" customFormat="false" ht="114" hidden="false" customHeight="true" outlineLevel="0" collapsed="false">
      <c r="A219" s="18" t="s">
        <v>273</v>
      </c>
      <c r="B219" s="18" t="s">
        <v>274</v>
      </c>
      <c r="C219" s="18" t="s">
        <v>384</v>
      </c>
      <c r="D219" s="18" t="s">
        <v>89</v>
      </c>
      <c r="E219" s="18" t="s">
        <v>54</v>
      </c>
      <c r="F219" s="18" t="s">
        <v>280</v>
      </c>
      <c r="G219" s="19" t="n">
        <v>-4546</v>
      </c>
      <c r="H219" s="19" t="n">
        <v>23681</v>
      </c>
      <c r="I219" s="19" t="n">
        <v>0</v>
      </c>
      <c r="J219" s="19" t="n">
        <v>617</v>
      </c>
      <c r="K219" s="19" t="n">
        <v>5061</v>
      </c>
      <c r="L219" s="19" t="n">
        <v>0</v>
      </c>
      <c r="M219" s="19" t="n">
        <v>0</v>
      </c>
      <c r="N219" s="19" t="n">
        <v>0</v>
      </c>
      <c r="O219" s="19" t="n">
        <v>24812</v>
      </c>
      <c r="P219" s="20" t="n">
        <f aca="false">IFERROR(O219/SUMIFS($O$160:$O$418,$D$160:$D$418,"&lt;&gt;Not Mapped"),0)</f>
        <v>0.0105481805961431</v>
      </c>
      <c r="Q219" s="21" t="s">
        <v>385</v>
      </c>
      <c r="R219" s="21"/>
      <c r="S219" s="21"/>
      <c r="T219" s="21"/>
    </row>
    <row r="220" customFormat="false" ht="102" hidden="false" customHeight="true" outlineLevel="0" collapsed="false">
      <c r="A220" s="18" t="s">
        <v>273</v>
      </c>
      <c r="B220" s="18" t="s">
        <v>274</v>
      </c>
      <c r="C220" s="18" t="s">
        <v>386</v>
      </c>
      <c r="D220" s="18" t="s">
        <v>84</v>
      </c>
      <c r="E220" s="18" t="s">
        <v>85</v>
      </c>
      <c r="F220" s="18" t="s">
        <v>280</v>
      </c>
      <c r="G220" s="19" t="n">
        <v>14994</v>
      </c>
      <c r="H220" s="19" t="n">
        <v>5392</v>
      </c>
      <c r="I220" s="19" t="n">
        <v>580</v>
      </c>
      <c r="J220" s="19" t="n">
        <v>44</v>
      </c>
      <c r="K220" s="19" t="n">
        <v>23</v>
      </c>
      <c r="L220" s="19" t="n">
        <v>0</v>
      </c>
      <c r="M220" s="19" t="n">
        <v>1321</v>
      </c>
      <c r="N220" s="19" t="n">
        <v>0</v>
      </c>
      <c r="O220" s="19" t="n">
        <v>22354</v>
      </c>
      <c r="P220" s="20" t="n">
        <f aca="false">IFERROR(O220/SUMIFS($O$160:$O$418,$D$160:$D$418,"&lt;&gt;Not Mapped"),0)</f>
        <v>0.00950322541698303</v>
      </c>
      <c r="Q220" s="21" t="s">
        <v>387</v>
      </c>
      <c r="R220" s="21"/>
      <c r="S220" s="21"/>
      <c r="T220" s="21"/>
    </row>
    <row r="221" customFormat="false" ht="126" hidden="false" customHeight="true" outlineLevel="0" collapsed="false">
      <c r="A221" s="18" t="s">
        <v>273</v>
      </c>
      <c r="B221" s="18" t="s">
        <v>274</v>
      </c>
      <c r="C221" s="18" t="s">
        <v>388</v>
      </c>
      <c r="D221" s="18" t="s">
        <v>348</v>
      </c>
      <c r="E221" s="18" t="s">
        <v>54</v>
      </c>
      <c r="F221" s="18" t="s">
        <v>280</v>
      </c>
      <c r="G221" s="19" t="n">
        <v>-30293</v>
      </c>
      <c r="H221" s="19" t="n">
        <v>19556</v>
      </c>
      <c r="I221" s="19" t="n">
        <v>188</v>
      </c>
      <c r="J221" s="19" t="n">
        <v>31331</v>
      </c>
      <c r="K221" s="19" t="n">
        <v>1349</v>
      </c>
      <c r="L221" s="19" t="n">
        <v>0</v>
      </c>
      <c r="M221" s="19" t="n">
        <v>0</v>
      </c>
      <c r="N221" s="19" t="n">
        <v>0</v>
      </c>
      <c r="O221" s="19" t="n">
        <v>22131</v>
      </c>
      <c r="P221" s="20" t="n">
        <f aca="false">IFERROR(O221/SUMIFS($O$160:$O$418,$D$160:$D$418,"&lt;&gt;Not Mapped"),0)</f>
        <v>0.00940842272985826</v>
      </c>
      <c r="Q221" s="21" t="s">
        <v>389</v>
      </c>
      <c r="R221" s="21"/>
      <c r="S221" s="21"/>
      <c r="T221" s="21"/>
    </row>
    <row r="222" customFormat="false" ht="90" hidden="false" customHeight="true" outlineLevel="0" collapsed="false">
      <c r="A222" s="18" t="s">
        <v>273</v>
      </c>
      <c r="B222" s="18" t="s">
        <v>274</v>
      </c>
      <c r="C222" s="18" t="s">
        <v>390</v>
      </c>
      <c r="D222" s="18" t="s">
        <v>84</v>
      </c>
      <c r="E222" s="18" t="s">
        <v>85</v>
      </c>
      <c r="F222" s="18" t="s">
        <v>280</v>
      </c>
      <c r="G222" s="19" t="n">
        <v>11541</v>
      </c>
      <c r="H222" s="19" t="n">
        <v>8646</v>
      </c>
      <c r="I222" s="19" t="n">
        <v>418</v>
      </c>
      <c r="J222" s="19" t="n">
        <v>230</v>
      </c>
      <c r="K222" s="19" t="n">
        <v>538</v>
      </c>
      <c r="L222" s="19" t="n">
        <v>0</v>
      </c>
      <c r="M222" s="19" t="n">
        <v>576</v>
      </c>
      <c r="N222" s="19" t="n">
        <v>0</v>
      </c>
      <c r="O222" s="19" t="n">
        <v>21949</v>
      </c>
      <c r="P222" s="20" t="n">
        <f aca="false">IFERROR(O222/SUMIFS($O$160:$O$418,$D$160:$D$418,"&lt;&gt;Not Mapped"),0)</f>
        <v>0.0093310501331914</v>
      </c>
      <c r="Q222" s="21" t="s">
        <v>391</v>
      </c>
      <c r="R222" s="21"/>
      <c r="S222" s="21"/>
      <c r="T222" s="21"/>
    </row>
    <row r="223" customFormat="false" ht="90" hidden="false" customHeight="true" outlineLevel="0" collapsed="false">
      <c r="A223" s="18" t="s">
        <v>273</v>
      </c>
      <c r="B223" s="18" t="s">
        <v>274</v>
      </c>
      <c r="C223" s="18" t="s">
        <v>240</v>
      </c>
      <c r="D223" s="18" t="s">
        <v>320</v>
      </c>
      <c r="E223" s="18" t="s">
        <v>321</v>
      </c>
      <c r="F223" s="18" t="s">
        <v>280</v>
      </c>
      <c r="G223" s="19" t="n">
        <v>7126</v>
      </c>
      <c r="H223" s="19" t="n">
        <v>13109</v>
      </c>
      <c r="I223" s="19" t="n">
        <v>0</v>
      </c>
      <c r="J223" s="19" t="n">
        <v>0</v>
      </c>
      <c r="K223" s="19" t="n">
        <v>1666</v>
      </c>
      <c r="L223" s="19" t="n">
        <v>0</v>
      </c>
      <c r="M223" s="19" t="n">
        <v>0</v>
      </c>
      <c r="N223" s="19" t="n">
        <v>0</v>
      </c>
      <c r="O223" s="19" t="n">
        <v>21901</v>
      </c>
      <c r="P223" s="20" t="n">
        <f aca="false">IFERROR(O223/SUMIFS($O$160:$O$418,$D$160:$D$418,"&lt;&gt;Not Mapped"),0)</f>
        <v>0.00931064417363091</v>
      </c>
      <c r="Q223" s="21" t="s">
        <v>392</v>
      </c>
      <c r="R223" s="21"/>
      <c r="S223" s="21"/>
      <c r="T223" s="22" t="n">
        <v>20000</v>
      </c>
    </row>
    <row r="224" customFormat="false" ht="102" hidden="false" customHeight="true" outlineLevel="0" collapsed="false">
      <c r="A224" s="18" t="s">
        <v>273</v>
      </c>
      <c r="B224" s="18" t="s">
        <v>274</v>
      </c>
      <c r="C224" s="18" t="s">
        <v>393</v>
      </c>
      <c r="D224" s="18" t="s">
        <v>351</v>
      </c>
      <c r="E224" s="18" t="s">
        <v>44</v>
      </c>
      <c r="F224" s="18" t="s">
        <v>280</v>
      </c>
      <c r="G224" s="19" t="n">
        <v>10290</v>
      </c>
      <c r="H224" s="19" t="n">
        <v>10216</v>
      </c>
      <c r="I224" s="19" t="n">
        <v>0</v>
      </c>
      <c r="J224" s="19" t="n">
        <v>0</v>
      </c>
      <c r="K224" s="19" t="n">
        <v>593</v>
      </c>
      <c r="L224" s="19" t="n">
        <v>0</v>
      </c>
      <c r="M224" s="19" t="n">
        <v>0</v>
      </c>
      <c r="N224" s="19" t="n">
        <v>452</v>
      </c>
      <c r="O224" s="19" t="n">
        <v>21552</v>
      </c>
      <c r="P224" s="20" t="n">
        <f aca="false">IFERROR(O224/SUMIFS($O$160:$O$418,$D$160:$D$418,"&lt;&gt;Not Mapped"),0)</f>
        <v>0.00916227584265985</v>
      </c>
      <c r="Q224" s="21" t="s">
        <v>394</v>
      </c>
      <c r="R224" s="21"/>
      <c r="S224" s="21"/>
      <c r="T224" s="21"/>
    </row>
    <row r="225" customFormat="false" ht="114" hidden="false" customHeight="true" outlineLevel="0" collapsed="false">
      <c r="A225" s="18" t="s">
        <v>273</v>
      </c>
      <c r="B225" s="18" t="s">
        <v>274</v>
      </c>
      <c r="C225" s="18" t="s">
        <v>241</v>
      </c>
      <c r="D225" s="18" t="s">
        <v>301</v>
      </c>
      <c r="E225" s="18" t="s">
        <v>302</v>
      </c>
      <c r="F225" s="18" t="s">
        <v>280</v>
      </c>
      <c r="G225" s="19" t="n">
        <v>527</v>
      </c>
      <c r="H225" s="19" t="n">
        <v>14651</v>
      </c>
      <c r="I225" s="19" t="n">
        <v>599</v>
      </c>
      <c r="J225" s="19" t="n">
        <v>1905</v>
      </c>
      <c r="K225" s="19" t="n">
        <v>2728</v>
      </c>
      <c r="L225" s="19" t="n">
        <v>0</v>
      </c>
      <c r="M225" s="19" t="n">
        <v>179</v>
      </c>
      <c r="N225" s="19" t="n">
        <v>773</v>
      </c>
      <c r="O225" s="19" t="n">
        <v>21363</v>
      </c>
      <c r="P225" s="20" t="n">
        <f aca="false">IFERROR(O225/SUMIFS($O$160:$O$418,$D$160:$D$418,"&lt;&gt;Not Mapped"),0)</f>
        <v>0.00908192737689042</v>
      </c>
      <c r="Q225" s="21" t="s">
        <v>395</v>
      </c>
      <c r="R225" s="21" t="s">
        <v>396</v>
      </c>
      <c r="S225" s="21"/>
      <c r="T225" s="21" t="s">
        <v>397</v>
      </c>
    </row>
    <row r="226" customFormat="false" ht="102" hidden="false" customHeight="true" outlineLevel="0" collapsed="false">
      <c r="A226" s="18" t="s">
        <v>273</v>
      </c>
      <c r="B226" s="18" t="s">
        <v>398</v>
      </c>
      <c r="C226" s="18" t="s">
        <v>242</v>
      </c>
      <c r="D226" s="18" t="s">
        <v>399</v>
      </c>
      <c r="E226" s="18" t="s">
        <v>297</v>
      </c>
      <c r="F226" s="18" t="s">
        <v>280</v>
      </c>
      <c r="G226" s="19" t="n">
        <v>18163</v>
      </c>
      <c r="H226" s="19" t="n">
        <v>1919</v>
      </c>
      <c r="I226" s="19" t="n">
        <v>0</v>
      </c>
      <c r="J226" s="19" t="n">
        <v>0</v>
      </c>
      <c r="K226" s="19" t="n">
        <v>735</v>
      </c>
      <c r="L226" s="19" t="n">
        <v>0</v>
      </c>
      <c r="M226" s="19" t="n">
        <v>0</v>
      </c>
      <c r="N226" s="19" t="n">
        <v>0</v>
      </c>
      <c r="O226" s="19" t="n">
        <v>20817</v>
      </c>
      <c r="P226" s="20" t="n">
        <f aca="false">IFERROR(O226/SUMIFS($O$160:$O$418,$D$160:$D$418,"&lt;&gt;Not Mapped"),0)</f>
        <v>0.00884980958688985</v>
      </c>
      <c r="Q226" s="21" t="s">
        <v>400</v>
      </c>
      <c r="R226" s="21"/>
      <c r="S226" s="21"/>
      <c r="T226" s="21" t="s">
        <v>401</v>
      </c>
    </row>
    <row r="227" customFormat="false" ht="102" hidden="false" customHeight="true" outlineLevel="0" collapsed="false">
      <c r="A227" s="18" t="s">
        <v>273</v>
      </c>
      <c r="B227" s="18" t="s">
        <v>274</v>
      </c>
      <c r="C227" s="18" t="s">
        <v>402</v>
      </c>
      <c r="D227" s="18" t="s">
        <v>301</v>
      </c>
      <c r="E227" s="18" t="s">
        <v>302</v>
      </c>
      <c r="F227" s="18" t="s">
        <v>280</v>
      </c>
      <c r="G227" s="19" t="n">
        <v>8356</v>
      </c>
      <c r="H227" s="19" t="n">
        <v>9481</v>
      </c>
      <c r="I227" s="19" t="n">
        <v>1526</v>
      </c>
      <c r="J227" s="19" t="n">
        <v>0</v>
      </c>
      <c r="K227" s="19" t="n">
        <v>589</v>
      </c>
      <c r="L227" s="19" t="n">
        <v>0</v>
      </c>
      <c r="M227" s="19" t="n">
        <v>0</v>
      </c>
      <c r="N227" s="19" t="n">
        <v>0</v>
      </c>
      <c r="O227" s="19" t="n">
        <v>19952</v>
      </c>
      <c r="P227" s="20" t="n">
        <f aca="false">IFERROR(O227/SUMIFS($O$160:$O$418,$D$160:$D$418,"&lt;&gt;Not Mapped"),0)</f>
        <v>0.00848207719064353</v>
      </c>
      <c r="Q227" s="21" t="s">
        <v>403</v>
      </c>
      <c r="R227" s="21"/>
      <c r="S227" s="21"/>
      <c r="T227" s="21"/>
    </row>
    <row r="228" customFormat="false" ht="90" hidden="false" customHeight="true" outlineLevel="0" collapsed="false">
      <c r="A228" s="18" t="s">
        <v>273</v>
      </c>
      <c r="B228" s="18" t="s">
        <v>274</v>
      </c>
      <c r="C228" s="18" t="s">
        <v>404</v>
      </c>
      <c r="D228" s="18" t="s">
        <v>315</v>
      </c>
      <c r="E228" s="18" t="s">
        <v>49</v>
      </c>
      <c r="F228" s="18" t="s">
        <v>280</v>
      </c>
      <c r="G228" s="19" t="n">
        <v>7252</v>
      </c>
      <c r="H228" s="19" t="n">
        <v>9912</v>
      </c>
      <c r="I228" s="19" t="n">
        <v>38</v>
      </c>
      <c r="J228" s="19" t="n">
        <v>2129</v>
      </c>
      <c r="K228" s="19" t="n">
        <v>187</v>
      </c>
      <c r="L228" s="19" t="n">
        <v>0</v>
      </c>
      <c r="M228" s="19" t="n">
        <v>0</v>
      </c>
      <c r="N228" s="19" t="n">
        <v>0</v>
      </c>
      <c r="O228" s="19" t="n">
        <v>19518</v>
      </c>
      <c r="P228" s="20" t="n">
        <f aca="false">IFERROR(O228/SUMIFS($O$160:$O$418,$D$160:$D$418,"&lt;&gt;Not Mapped"),0)</f>
        <v>0.0082975733062841</v>
      </c>
      <c r="Q228" s="21" t="s">
        <v>405</v>
      </c>
      <c r="R228" s="21"/>
      <c r="S228" s="21"/>
      <c r="T228" s="21"/>
    </row>
    <row r="229" customFormat="false" ht="102" hidden="false" customHeight="true" outlineLevel="0" collapsed="false">
      <c r="A229" s="18" t="s">
        <v>273</v>
      </c>
      <c r="B229" s="18" t="s">
        <v>274</v>
      </c>
      <c r="C229" s="18" t="s">
        <v>406</v>
      </c>
      <c r="D229" s="18" t="s">
        <v>35</v>
      </c>
      <c r="E229" s="18" t="s">
        <v>36</v>
      </c>
      <c r="F229" s="18" t="s">
        <v>275</v>
      </c>
      <c r="G229" s="19" t="n">
        <v>6867</v>
      </c>
      <c r="H229" s="19" t="n">
        <v>11317</v>
      </c>
      <c r="I229" s="19" t="n">
        <v>0</v>
      </c>
      <c r="J229" s="19" t="n">
        <v>0</v>
      </c>
      <c r="K229" s="19" t="n">
        <v>876</v>
      </c>
      <c r="L229" s="19" t="n">
        <v>0</v>
      </c>
      <c r="M229" s="19" t="n">
        <v>0</v>
      </c>
      <c r="N229" s="19" t="n">
        <v>0</v>
      </c>
      <c r="O229" s="19" t="n">
        <v>19060</v>
      </c>
      <c r="P229" s="20" t="n">
        <f aca="false">IFERROR(O229/SUMIFS($O$160:$O$418,$D$160:$D$418,"&lt;&gt;Not Mapped"),0)</f>
        <v>0.00810286644214443</v>
      </c>
      <c r="Q229" s="21" t="s">
        <v>407</v>
      </c>
      <c r="R229" s="21"/>
      <c r="S229" s="21"/>
      <c r="T229" s="21"/>
    </row>
    <row r="230" customFormat="false" ht="126" hidden="false" customHeight="true" outlineLevel="0" collapsed="false">
      <c r="A230" s="18" t="s">
        <v>273</v>
      </c>
      <c r="B230" s="18" t="s">
        <v>408</v>
      </c>
      <c r="C230" s="18" t="s">
        <v>409</v>
      </c>
      <c r="D230" s="18" t="s">
        <v>410</v>
      </c>
      <c r="E230" s="18" t="s">
        <v>302</v>
      </c>
      <c r="F230" s="18" t="s">
        <v>280</v>
      </c>
      <c r="G230" s="19" t="n">
        <v>-14100</v>
      </c>
      <c r="H230" s="19" t="n">
        <v>14892</v>
      </c>
      <c r="I230" s="19" t="n">
        <v>1759</v>
      </c>
      <c r="J230" s="19" t="n">
        <v>263</v>
      </c>
      <c r="K230" s="19" t="n">
        <v>110</v>
      </c>
      <c r="L230" s="19" t="n">
        <v>0</v>
      </c>
      <c r="M230" s="19" t="n">
        <v>15548</v>
      </c>
      <c r="N230" s="19" t="n">
        <v>0</v>
      </c>
      <c r="O230" s="19" t="n">
        <v>18472</v>
      </c>
      <c r="P230" s="20" t="n">
        <f aca="false">IFERROR(O230/SUMIFS($O$160:$O$418,$D$160:$D$418,"&lt;&gt;Not Mapped"),0)</f>
        <v>0.00785289343752843</v>
      </c>
      <c r="Q230" s="21" t="s">
        <v>411</v>
      </c>
      <c r="R230" s="21"/>
      <c r="S230" s="21"/>
      <c r="T230" s="21"/>
    </row>
    <row r="231" customFormat="false" ht="90" hidden="false" customHeight="true" outlineLevel="0" collapsed="false">
      <c r="A231" s="18" t="s">
        <v>273</v>
      </c>
      <c r="B231" s="18" t="s">
        <v>408</v>
      </c>
      <c r="C231" s="18" t="s">
        <v>412</v>
      </c>
      <c r="D231" s="18" t="s">
        <v>410</v>
      </c>
      <c r="E231" s="18" t="s">
        <v>302</v>
      </c>
      <c r="F231" s="18" t="s">
        <v>275</v>
      </c>
      <c r="G231" s="19" t="n">
        <v>122</v>
      </c>
      <c r="H231" s="19" t="n">
        <v>17260</v>
      </c>
      <c r="I231" s="19" t="n">
        <v>0</v>
      </c>
      <c r="J231" s="19" t="n">
        <v>0</v>
      </c>
      <c r="K231" s="19" t="n">
        <v>0</v>
      </c>
      <c r="L231" s="19" t="n">
        <v>0</v>
      </c>
      <c r="M231" s="19" t="n">
        <v>0</v>
      </c>
      <c r="N231" s="19" t="n">
        <v>0</v>
      </c>
      <c r="O231" s="19" t="n">
        <v>17382</v>
      </c>
      <c r="P231" s="20" t="n">
        <f aca="false">IFERROR(O231/SUMIFS($O$160:$O$418,$D$160:$D$418,"&lt;&gt;Not Mapped"),0)</f>
        <v>0.00738950810584231</v>
      </c>
      <c r="Q231" s="21" t="s">
        <v>413</v>
      </c>
      <c r="R231" s="21"/>
      <c r="S231" s="21"/>
      <c r="T231" s="21"/>
    </row>
    <row r="232" customFormat="false" ht="78" hidden="false" customHeight="true" outlineLevel="0" collapsed="false">
      <c r="A232" s="18" t="s">
        <v>273</v>
      </c>
      <c r="B232" s="18" t="s">
        <v>274</v>
      </c>
      <c r="C232" s="18" t="s">
        <v>414</v>
      </c>
      <c r="D232" s="18" t="s">
        <v>43</v>
      </c>
      <c r="E232" s="18" t="s">
        <v>44</v>
      </c>
      <c r="F232" s="18" t="s">
        <v>280</v>
      </c>
      <c r="G232" s="19" t="n">
        <v>84</v>
      </c>
      <c r="H232" s="19" t="n">
        <v>0</v>
      </c>
      <c r="I232" s="19" t="n">
        <v>0</v>
      </c>
      <c r="J232" s="19" t="n">
        <v>16377</v>
      </c>
      <c r="K232" s="19" t="n">
        <v>0</v>
      </c>
      <c r="L232" s="19" t="n">
        <v>0</v>
      </c>
      <c r="M232" s="19" t="n">
        <v>0</v>
      </c>
      <c r="N232" s="19" t="n">
        <v>0</v>
      </c>
      <c r="O232" s="19" t="n">
        <v>16461</v>
      </c>
      <c r="P232" s="20" t="n">
        <f aca="false">IFERROR(O232/SUMIFS($O$160:$O$418,$D$160:$D$418,"&lt;&gt;Not Mapped"),0)</f>
        <v>0.00699796875677542</v>
      </c>
      <c r="Q232" s="21" t="s">
        <v>415</v>
      </c>
      <c r="R232" s="21"/>
      <c r="S232" s="21"/>
      <c r="T232" s="21"/>
    </row>
    <row r="233" customFormat="false" ht="126" hidden="false" customHeight="true" outlineLevel="0" collapsed="false">
      <c r="A233" s="18" t="s">
        <v>273</v>
      </c>
      <c r="B233" s="18" t="s">
        <v>274</v>
      </c>
      <c r="C233" s="18" t="s">
        <v>416</v>
      </c>
      <c r="D233" s="18" t="s">
        <v>48</v>
      </c>
      <c r="E233" s="18" t="s">
        <v>49</v>
      </c>
      <c r="F233" s="18" t="s">
        <v>280</v>
      </c>
      <c r="G233" s="19" t="n">
        <v>-2679</v>
      </c>
      <c r="H233" s="19" t="n">
        <v>15849</v>
      </c>
      <c r="I233" s="19" t="n">
        <v>0</v>
      </c>
      <c r="J233" s="19" t="n">
        <v>60</v>
      </c>
      <c r="K233" s="19" t="n">
        <v>1571</v>
      </c>
      <c r="L233" s="19" t="n">
        <v>0</v>
      </c>
      <c r="M233" s="19" t="n">
        <v>1559</v>
      </c>
      <c r="N233" s="19" t="n">
        <v>0</v>
      </c>
      <c r="O233" s="19" t="n">
        <v>16360</v>
      </c>
      <c r="P233" s="20" t="n">
        <f aca="false">IFERROR(O233/SUMIFS($O$160:$O$418,$D$160:$D$418,"&lt;&gt;Not Mapped"),0)</f>
        <v>0.00695503121686689</v>
      </c>
      <c r="Q233" s="21" t="s">
        <v>417</v>
      </c>
      <c r="R233" s="21"/>
      <c r="S233" s="21"/>
      <c r="T233" s="21"/>
    </row>
    <row r="234" customFormat="false" ht="114" hidden="false" customHeight="true" outlineLevel="0" collapsed="false">
      <c r="A234" s="18" t="s">
        <v>273</v>
      </c>
      <c r="B234" s="18" t="s">
        <v>274</v>
      </c>
      <c r="C234" s="18" t="s">
        <v>418</v>
      </c>
      <c r="D234" s="18" t="s">
        <v>35</v>
      </c>
      <c r="E234" s="18" t="s">
        <v>36</v>
      </c>
      <c r="F234" s="18" t="s">
        <v>275</v>
      </c>
      <c r="G234" s="19" t="n">
        <v>-2036</v>
      </c>
      <c r="H234" s="19" t="n">
        <v>111</v>
      </c>
      <c r="I234" s="19" t="n">
        <v>0</v>
      </c>
      <c r="J234" s="19" t="n">
        <v>0</v>
      </c>
      <c r="K234" s="19" t="n">
        <v>523</v>
      </c>
      <c r="L234" s="19" t="n">
        <v>0</v>
      </c>
      <c r="M234" s="19" t="n">
        <v>17559</v>
      </c>
      <c r="N234" s="19" t="n">
        <v>0</v>
      </c>
      <c r="O234" s="19" t="n">
        <v>16158</v>
      </c>
      <c r="P234" s="20" t="n">
        <f aca="false">IFERROR(O234/SUMIFS($O$160:$O$418,$D$160:$D$418,"&lt;&gt;Not Mapped"),0)</f>
        <v>0.00686915613704983</v>
      </c>
      <c r="Q234" s="21" t="s">
        <v>419</v>
      </c>
      <c r="R234" s="21"/>
      <c r="S234" s="21"/>
      <c r="T234" s="21"/>
    </row>
    <row r="235" customFormat="false" ht="90" hidden="false" customHeight="true" outlineLevel="0" collapsed="false">
      <c r="A235" s="18" t="s">
        <v>273</v>
      </c>
      <c r="B235" s="18" t="s">
        <v>274</v>
      </c>
      <c r="C235" s="18" t="s">
        <v>420</v>
      </c>
      <c r="D235" s="18" t="s">
        <v>35</v>
      </c>
      <c r="E235" s="18" t="s">
        <v>36</v>
      </c>
      <c r="F235" s="18" t="s">
        <v>275</v>
      </c>
      <c r="G235" s="19" t="n">
        <v>137</v>
      </c>
      <c r="H235" s="19" t="n">
        <v>14237</v>
      </c>
      <c r="I235" s="19" t="n">
        <v>0</v>
      </c>
      <c r="J235" s="19" t="n">
        <v>0</v>
      </c>
      <c r="K235" s="19" t="n">
        <v>1674</v>
      </c>
      <c r="L235" s="19" t="n">
        <v>0</v>
      </c>
      <c r="M235" s="19" t="n">
        <v>0</v>
      </c>
      <c r="N235" s="19" t="n">
        <v>0</v>
      </c>
      <c r="O235" s="19" t="n">
        <v>16049</v>
      </c>
      <c r="P235" s="20" t="n">
        <f aca="false">IFERROR(O235/SUMIFS($O$160:$O$418,$D$160:$D$418,"&lt;&gt;Not Mapped"),0)</f>
        <v>0.00682281760388121</v>
      </c>
      <c r="Q235" s="21" t="s">
        <v>421</v>
      </c>
      <c r="R235" s="21"/>
      <c r="S235" s="21"/>
      <c r="T235" s="21"/>
    </row>
    <row r="236" customFormat="false" ht="126" hidden="false" customHeight="true" outlineLevel="0" collapsed="false">
      <c r="A236" s="18" t="s">
        <v>273</v>
      </c>
      <c r="B236" s="18" t="s">
        <v>274</v>
      </c>
      <c r="C236" s="18" t="s">
        <v>243</v>
      </c>
      <c r="D236" s="18" t="s">
        <v>320</v>
      </c>
      <c r="E236" s="18" t="s">
        <v>321</v>
      </c>
      <c r="F236" s="18" t="s">
        <v>280</v>
      </c>
      <c r="G236" s="19" t="n">
        <v>-2744</v>
      </c>
      <c r="H236" s="19" t="n">
        <v>5055</v>
      </c>
      <c r="I236" s="19" t="n">
        <v>0</v>
      </c>
      <c r="J236" s="19" t="n">
        <v>75</v>
      </c>
      <c r="K236" s="19" t="n">
        <v>7309</v>
      </c>
      <c r="L236" s="19" t="n">
        <v>0</v>
      </c>
      <c r="M236" s="19" t="n">
        <v>5831</v>
      </c>
      <c r="N236" s="19" t="n">
        <v>0</v>
      </c>
      <c r="O236" s="19" t="n">
        <v>15527</v>
      </c>
      <c r="P236" s="20" t="n">
        <f aca="false">IFERROR(O236/SUMIFS($O$160:$O$418,$D$160:$D$418,"&lt;&gt;Not Mapped"),0)</f>
        <v>0.00660090279366089</v>
      </c>
      <c r="Q236" s="21" t="s">
        <v>422</v>
      </c>
      <c r="R236" s="21"/>
      <c r="S236" s="21"/>
      <c r="T236" s="22" t="n">
        <v>10000</v>
      </c>
    </row>
    <row r="237" customFormat="false" ht="102" hidden="false" customHeight="true" outlineLevel="0" collapsed="false">
      <c r="A237" s="18" t="s">
        <v>273</v>
      </c>
      <c r="B237" s="18" t="s">
        <v>274</v>
      </c>
      <c r="C237" s="18" t="s">
        <v>423</v>
      </c>
      <c r="D237" s="18" t="s">
        <v>351</v>
      </c>
      <c r="E237" s="18" t="s">
        <v>44</v>
      </c>
      <c r="F237" s="18" t="s">
        <v>280</v>
      </c>
      <c r="G237" s="19" t="n">
        <v>12137</v>
      </c>
      <c r="H237" s="19" t="n">
        <v>1776</v>
      </c>
      <c r="I237" s="19" t="n">
        <v>51</v>
      </c>
      <c r="J237" s="19" t="n">
        <v>111</v>
      </c>
      <c r="K237" s="19" t="n">
        <v>1054</v>
      </c>
      <c r="L237" s="19" t="n">
        <v>0</v>
      </c>
      <c r="M237" s="19" t="n">
        <v>0</v>
      </c>
      <c r="N237" s="19" t="n">
        <v>0</v>
      </c>
      <c r="O237" s="19" t="n">
        <v>15130</v>
      </c>
      <c r="P237" s="20" t="n">
        <f aca="false">IFERROR(O237/SUMIFS($O$160:$O$418,$D$160:$D$418,"&lt;&gt;Not Mapped"),0)</f>
        <v>0.00643212850312934</v>
      </c>
      <c r="Q237" s="21" t="s">
        <v>424</v>
      </c>
      <c r="R237" s="21"/>
      <c r="S237" s="21"/>
      <c r="T237" s="21"/>
    </row>
    <row r="238" customFormat="false" ht="138" hidden="false" customHeight="true" outlineLevel="0" collapsed="false">
      <c r="A238" s="18" t="s">
        <v>273</v>
      </c>
      <c r="B238" s="18" t="s">
        <v>274</v>
      </c>
      <c r="C238" s="18" t="s">
        <v>244</v>
      </c>
      <c r="D238" s="18" t="s">
        <v>320</v>
      </c>
      <c r="E238" s="18" t="s">
        <v>321</v>
      </c>
      <c r="F238" s="18" t="s">
        <v>280</v>
      </c>
      <c r="G238" s="19" t="n">
        <v>-1601</v>
      </c>
      <c r="H238" s="19" t="n">
        <v>1285</v>
      </c>
      <c r="I238" s="19" t="n">
        <v>161</v>
      </c>
      <c r="J238" s="19" t="n">
        <v>11109</v>
      </c>
      <c r="K238" s="19" t="n">
        <v>3740</v>
      </c>
      <c r="L238" s="19" t="n">
        <v>0</v>
      </c>
      <c r="M238" s="19" t="n">
        <v>0</v>
      </c>
      <c r="N238" s="19" t="n">
        <v>0</v>
      </c>
      <c r="O238" s="19" t="n">
        <v>14693</v>
      </c>
      <c r="P238" s="20" t="n">
        <f aca="false">IFERROR(O238/SUMIFS($O$160:$O$418,$D$160:$D$418,"&lt;&gt;Not Mapped"),0)</f>
        <v>0.00624634924629738</v>
      </c>
      <c r="Q238" s="21" t="s">
        <v>425</v>
      </c>
      <c r="R238" s="21"/>
      <c r="S238" s="21"/>
      <c r="T238" s="22" t="n">
        <v>10000</v>
      </c>
    </row>
    <row r="239" customFormat="false" ht="102" hidden="false" customHeight="true" outlineLevel="0" collapsed="false">
      <c r="A239" s="18" t="s">
        <v>273</v>
      </c>
      <c r="B239" s="18" t="s">
        <v>274</v>
      </c>
      <c r="C239" s="18" t="s">
        <v>426</v>
      </c>
      <c r="D239" s="18" t="s">
        <v>305</v>
      </c>
      <c r="E239" s="18" t="s">
        <v>54</v>
      </c>
      <c r="F239" s="18" t="s">
        <v>280</v>
      </c>
      <c r="G239" s="19" t="n">
        <v>10126</v>
      </c>
      <c r="H239" s="19" t="n">
        <v>1106</v>
      </c>
      <c r="I239" s="19" t="n">
        <v>0</v>
      </c>
      <c r="J239" s="19" t="n">
        <v>274</v>
      </c>
      <c r="K239" s="19" t="n">
        <v>184</v>
      </c>
      <c r="L239" s="19" t="n">
        <v>0</v>
      </c>
      <c r="M239" s="19" t="n">
        <v>2985</v>
      </c>
      <c r="N239" s="19" t="n">
        <v>0</v>
      </c>
      <c r="O239" s="19" t="n">
        <v>14674</v>
      </c>
      <c r="P239" s="20" t="n">
        <f aca="false">IFERROR(O239/SUMIFS($O$160:$O$418,$D$160:$D$418,"&lt;&gt;Not Mapped"),0)</f>
        <v>0.00623827188730469</v>
      </c>
      <c r="Q239" s="21" t="s">
        <v>427</v>
      </c>
      <c r="R239" s="21"/>
      <c r="S239" s="21"/>
      <c r="T239" s="21"/>
    </row>
    <row r="240" customFormat="false" ht="102" hidden="false" customHeight="true" outlineLevel="0" collapsed="false">
      <c r="A240" s="18" t="s">
        <v>273</v>
      </c>
      <c r="B240" s="18" t="s">
        <v>274</v>
      </c>
      <c r="C240" s="18" t="s">
        <v>245</v>
      </c>
      <c r="D240" s="18" t="s">
        <v>320</v>
      </c>
      <c r="E240" s="18" t="s">
        <v>321</v>
      </c>
      <c r="F240" s="18" t="s">
        <v>280</v>
      </c>
      <c r="G240" s="19" t="n">
        <v>2224</v>
      </c>
      <c r="H240" s="19" t="n">
        <v>8085</v>
      </c>
      <c r="I240" s="19" t="n">
        <v>0</v>
      </c>
      <c r="J240" s="19" t="n">
        <v>1589</v>
      </c>
      <c r="K240" s="19" t="n">
        <v>165</v>
      </c>
      <c r="L240" s="19" t="n">
        <v>0</v>
      </c>
      <c r="M240" s="19" t="n">
        <v>1514</v>
      </c>
      <c r="N240" s="19" t="n">
        <v>0</v>
      </c>
      <c r="O240" s="19" t="n">
        <v>13576</v>
      </c>
      <c r="P240" s="20" t="n">
        <f aca="false">IFERROR(O240/SUMIFS($O$160:$O$418,$D$160:$D$418,"&lt;&gt;Not Mapped"),0)</f>
        <v>0.00577148556235849</v>
      </c>
      <c r="Q240" s="21" t="s">
        <v>428</v>
      </c>
      <c r="R240" s="21"/>
      <c r="S240" s="21"/>
      <c r="T240" s="22" t="n">
        <v>6000</v>
      </c>
    </row>
    <row r="241" customFormat="false" ht="126" hidden="false" customHeight="true" outlineLevel="0" collapsed="false">
      <c r="A241" s="18" t="s">
        <v>273</v>
      </c>
      <c r="B241" s="18" t="s">
        <v>274</v>
      </c>
      <c r="C241" s="18" t="s">
        <v>429</v>
      </c>
      <c r="D241" s="18" t="s">
        <v>84</v>
      </c>
      <c r="E241" s="18" t="s">
        <v>85</v>
      </c>
      <c r="F241" s="18" t="s">
        <v>280</v>
      </c>
      <c r="G241" s="19" t="n">
        <v>-6675</v>
      </c>
      <c r="H241" s="19" t="n">
        <v>16761</v>
      </c>
      <c r="I241" s="19" t="n">
        <v>928</v>
      </c>
      <c r="J241" s="19" t="n">
        <v>420</v>
      </c>
      <c r="K241" s="19" t="n">
        <v>1098</v>
      </c>
      <c r="L241" s="19" t="n">
        <v>0</v>
      </c>
      <c r="M241" s="19" t="n">
        <v>59</v>
      </c>
      <c r="N241" s="19" t="n">
        <v>330</v>
      </c>
      <c r="O241" s="19" t="n">
        <v>12922</v>
      </c>
      <c r="P241" s="20" t="n">
        <f aca="false">IFERROR(O241/SUMIFS($O$160:$O$418,$D$160:$D$418,"&lt;&gt;Not Mapped"),0)</f>
        <v>0.00549345436334682</v>
      </c>
      <c r="Q241" s="21" t="s">
        <v>430</v>
      </c>
      <c r="R241" s="21"/>
      <c r="S241" s="21"/>
      <c r="T241" s="21"/>
    </row>
    <row r="242" customFormat="false" ht="114" hidden="false" customHeight="true" outlineLevel="0" collapsed="false">
      <c r="A242" s="18" t="s">
        <v>273</v>
      </c>
      <c r="B242" s="18" t="s">
        <v>274</v>
      </c>
      <c r="C242" s="18" t="s">
        <v>431</v>
      </c>
      <c r="D242" s="18" t="s">
        <v>35</v>
      </c>
      <c r="E242" s="18" t="s">
        <v>36</v>
      </c>
      <c r="F242" s="18" t="s">
        <v>275</v>
      </c>
      <c r="G242" s="19" t="n">
        <v>-2075</v>
      </c>
      <c r="H242" s="19" t="n">
        <v>12709</v>
      </c>
      <c r="I242" s="19" t="n">
        <v>0</v>
      </c>
      <c r="J242" s="19" t="n">
        <v>0</v>
      </c>
      <c r="K242" s="19" t="n">
        <v>1301</v>
      </c>
      <c r="L242" s="19" t="n">
        <v>0</v>
      </c>
      <c r="M242" s="19" t="n">
        <v>0</v>
      </c>
      <c r="N242" s="19" t="n">
        <v>0</v>
      </c>
      <c r="O242" s="19" t="n">
        <v>11936</v>
      </c>
      <c r="P242" s="20" t="n">
        <f aca="false">IFERROR(O242/SUMIFS($O$160:$O$418,$D$160:$D$418,"&lt;&gt;Not Mapped"),0)</f>
        <v>0.00507428194404176</v>
      </c>
      <c r="Q242" s="21" t="s">
        <v>432</v>
      </c>
      <c r="R242" s="21"/>
      <c r="S242" s="21"/>
      <c r="T242" s="21"/>
    </row>
    <row r="243" customFormat="false" ht="102" hidden="false" customHeight="true" outlineLevel="0" collapsed="false">
      <c r="A243" s="18" t="s">
        <v>273</v>
      </c>
      <c r="B243" s="18" t="s">
        <v>274</v>
      </c>
      <c r="C243" s="18" t="s">
        <v>433</v>
      </c>
      <c r="D243" s="18" t="s">
        <v>351</v>
      </c>
      <c r="E243" s="18" t="s">
        <v>44</v>
      </c>
      <c r="F243" s="18" t="s">
        <v>280</v>
      </c>
      <c r="G243" s="19" t="n">
        <v>-2729</v>
      </c>
      <c r="H243" s="19" t="n">
        <v>14097</v>
      </c>
      <c r="I243" s="19" t="n">
        <v>0</v>
      </c>
      <c r="J243" s="19" t="n">
        <v>0</v>
      </c>
      <c r="K243" s="19" t="n">
        <v>273</v>
      </c>
      <c r="L243" s="19" t="n">
        <v>0</v>
      </c>
      <c r="M243" s="19" t="n">
        <v>0</v>
      </c>
      <c r="N243" s="19" t="n">
        <v>0</v>
      </c>
      <c r="O243" s="19" t="n">
        <v>11641</v>
      </c>
      <c r="P243" s="20" t="n">
        <f aca="false">IFERROR(O243/SUMIFS($O$160:$O$418,$D$160:$D$418,"&lt;&gt;Not Mapped"),0)</f>
        <v>0.00494887031757625</v>
      </c>
      <c r="Q243" s="21" t="s">
        <v>434</v>
      </c>
      <c r="R243" s="21"/>
      <c r="S243" s="21"/>
      <c r="T243" s="21"/>
    </row>
    <row r="244" customFormat="false" ht="102" hidden="false" customHeight="true" outlineLevel="0" collapsed="false">
      <c r="A244" s="18" t="s">
        <v>273</v>
      </c>
      <c r="B244" s="18" t="s">
        <v>408</v>
      </c>
      <c r="C244" s="18" t="s">
        <v>435</v>
      </c>
      <c r="D244" s="18" t="s">
        <v>410</v>
      </c>
      <c r="E244" s="18" t="s">
        <v>302</v>
      </c>
      <c r="F244" s="18" t="s">
        <v>280</v>
      </c>
      <c r="G244" s="19" t="n">
        <v>1004</v>
      </c>
      <c r="H244" s="19" t="n">
        <v>8174</v>
      </c>
      <c r="I244" s="19" t="n">
        <v>281</v>
      </c>
      <c r="J244" s="19" t="n">
        <v>1371</v>
      </c>
      <c r="K244" s="19" t="n">
        <v>507</v>
      </c>
      <c r="L244" s="19" t="n">
        <v>0</v>
      </c>
      <c r="M244" s="19" t="n">
        <v>0</v>
      </c>
      <c r="N244" s="19" t="n">
        <v>0</v>
      </c>
      <c r="O244" s="19" t="n">
        <v>11337</v>
      </c>
      <c r="P244" s="20" t="n">
        <f aca="false">IFERROR(O244/SUMIFS($O$160:$O$418,$D$160:$D$418,"&lt;&gt;Not Mapped"),0)</f>
        <v>0.00481963257369315</v>
      </c>
      <c r="Q244" s="21" t="s">
        <v>436</v>
      </c>
      <c r="R244" s="21"/>
      <c r="S244" s="21"/>
      <c r="T244" s="21"/>
    </row>
    <row r="245" customFormat="false" ht="114" hidden="false" customHeight="true" outlineLevel="0" collapsed="false">
      <c r="A245" s="18" t="s">
        <v>273</v>
      </c>
      <c r="B245" s="18" t="s">
        <v>274</v>
      </c>
      <c r="C245" s="18" t="s">
        <v>437</v>
      </c>
      <c r="D245" s="18" t="s">
        <v>79</v>
      </c>
      <c r="E245" s="18" t="s">
        <v>80</v>
      </c>
      <c r="F245" s="18" t="s">
        <v>280</v>
      </c>
      <c r="G245" s="19" t="n">
        <v>-14853</v>
      </c>
      <c r="H245" s="19" t="n">
        <v>19035</v>
      </c>
      <c r="I245" s="19" t="n">
        <v>0</v>
      </c>
      <c r="J245" s="19" t="n">
        <v>873</v>
      </c>
      <c r="K245" s="19" t="n">
        <v>3511</v>
      </c>
      <c r="L245" s="19" t="n">
        <v>0</v>
      </c>
      <c r="M245" s="19" t="n">
        <v>2507</v>
      </c>
      <c r="N245" s="19" t="n">
        <v>0</v>
      </c>
      <c r="O245" s="19" t="n">
        <v>11074</v>
      </c>
      <c r="P245" s="20" t="n">
        <f aca="false">IFERROR(O245/SUMIFS($O$160:$O$418,$D$160:$D$418,"&lt;&gt;Not Mapped"),0)</f>
        <v>0.00470782492026796</v>
      </c>
      <c r="Q245" s="21" t="s">
        <v>438</v>
      </c>
      <c r="R245" s="21"/>
      <c r="S245" s="21"/>
      <c r="T245" s="21"/>
    </row>
    <row r="246" customFormat="false" ht="114" hidden="false" customHeight="true" outlineLevel="0" collapsed="false">
      <c r="A246" s="18" t="s">
        <v>273</v>
      </c>
      <c r="B246" s="18" t="s">
        <v>274</v>
      </c>
      <c r="C246" s="18" t="s">
        <v>439</v>
      </c>
      <c r="D246" s="18" t="s">
        <v>309</v>
      </c>
      <c r="E246" s="18" t="s">
        <v>80</v>
      </c>
      <c r="F246" s="18" t="s">
        <v>280</v>
      </c>
      <c r="G246" s="19" t="n">
        <v>-29868</v>
      </c>
      <c r="H246" s="19" t="n">
        <v>39442</v>
      </c>
      <c r="I246" s="19" t="n">
        <v>156</v>
      </c>
      <c r="J246" s="19" t="n">
        <v>119</v>
      </c>
      <c r="K246" s="19" t="n">
        <v>1093</v>
      </c>
      <c r="L246" s="19" t="n">
        <v>0</v>
      </c>
      <c r="M246" s="19" t="n">
        <v>0</v>
      </c>
      <c r="N246" s="19" t="n">
        <v>0</v>
      </c>
      <c r="O246" s="19" t="n">
        <v>10941</v>
      </c>
      <c r="P246" s="20" t="n">
        <f aca="false">IFERROR(O246/SUMIFS($O$160:$O$418,$D$160:$D$418,"&lt;&gt;Not Mapped"),0)</f>
        <v>0.00465128340731911</v>
      </c>
      <c r="Q246" s="21" t="s">
        <v>440</v>
      </c>
      <c r="R246" s="21"/>
      <c r="S246" s="21"/>
      <c r="T246" s="21"/>
    </row>
    <row r="247" customFormat="false" ht="114" hidden="false" customHeight="true" outlineLevel="0" collapsed="false">
      <c r="A247" s="18" t="s">
        <v>273</v>
      </c>
      <c r="B247" s="18" t="s">
        <v>274</v>
      </c>
      <c r="C247" s="18" t="s">
        <v>441</v>
      </c>
      <c r="D247" s="18" t="s">
        <v>309</v>
      </c>
      <c r="E247" s="18" t="s">
        <v>80</v>
      </c>
      <c r="F247" s="18" t="s">
        <v>280</v>
      </c>
      <c r="G247" s="19" t="n">
        <v>-2622</v>
      </c>
      <c r="H247" s="19" t="n">
        <v>11454</v>
      </c>
      <c r="I247" s="19" t="n">
        <v>0</v>
      </c>
      <c r="J247" s="19" t="n">
        <v>815</v>
      </c>
      <c r="K247" s="19" t="n">
        <v>408</v>
      </c>
      <c r="L247" s="19" t="n">
        <v>0</v>
      </c>
      <c r="M247" s="19" t="n">
        <v>0</v>
      </c>
      <c r="N247" s="19" t="n">
        <v>0</v>
      </c>
      <c r="O247" s="19" t="n">
        <v>10056</v>
      </c>
      <c r="P247" s="20" t="n">
        <f aca="false">IFERROR(O247/SUMIFS($O$160:$O$418,$D$160:$D$418,"&lt;&gt;Not Mapped"),0)</f>
        <v>0.00427504852792258</v>
      </c>
      <c r="Q247" s="21" t="s">
        <v>442</v>
      </c>
      <c r="R247" s="21"/>
      <c r="S247" s="21"/>
      <c r="T247" s="21"/>
    </row>
    <row r="248" customFormat="false" ht="90" hidden="false" customHeight="true" outlineLevel="0" collapsed="false">
      <c r="A248" s="18" t="s">
        <v>273</v>
      </c>
      <c r="B248" s="18" t="s">
        <v>443</v>
      </c>
      <c r="C248" s="18" t="s">
        <v>246</v>
      </c>
      <c r="D248" s="18" t="s">
        <v>444</v>
      </c>
      <c r="E248" s="18" t="s">
        <v>297</v>
      </c>
      <c r="F248" s="18" t="s">
        <v>280</v>
      </c>
      <c r="G248" s="19" t="n">
        <v>4667</v>
      </c>
      <c r="H248" s="19" t="n">
        <v>4363</v>
      </c>
      <c r="I248" s="19" t="n">
        <v>0</v>
      </c>
      <c r="J248" s="19" t="n">
        <v>430</v>
      </c>
      <c r="K248" s="19" t="n">
        <v>85</v>
      </c>
      <c r="L248" s="19" t="n">
        <v>0</v>
      </c>
      <c r="M248" s="19" t="n">
        <v>0</v>
      </c>
      <c r="N248" s="19" t="n">
        <v>0</v>
      </c>
      <c r="O248" s="19" t="n">
        <v>9545</v>
      </c>
      <c r="P248" s="20" t="n">
        <f aca="false">IFERROR(O248/SUMIFS($O$160:$O$418,$D$160:$D$418,"&lt;&gt;Not Mapped"),0)</f>
        <v>0.00405781008343487</v>
      </c>
      <c r="Q248" s="21" t="s">
        <v>445</v>
      </c>
      <c r="R248" s="21"/>
      <c r="S248" s="21"/>
      <c r="T248" s="21" t="s">
        <v>446</v>
      </c>
    </row>
    <row r="249" customFormat="false" ht="102" hidden="false" customHeight="true" outlineLevel="0" collapsed="false">
      <c r="A249" s="18" t="s">
        <v>273</v>
      </c>
      <c r="B249" s="18" t="s">
        <v>274</v>
      </c>
      <c r="C249" s="18" t="s">
        <v>447</v>
      </c>
      <c r="D249" s="18" t="s">
        <v>84</v>
      </c>
      <c r="E249" s="18" t="s">
        <v>85</v>
      </c>
      <c r="F249" s="18" t="s">
        <v>280</v>
      </c>
      <c r="G249" s="19" t="n">
        <v>-1394</v>
      </c>
      <c r="H249" s="19" t="n">
        <v>0</v>
      </c>
      <c r="I249" s="19" t="n">
        <v>0</v>
      </c>
      <c r="J249" s="19" t="n">
        <v>0</v>
      </c>
      <c r="K249" s="19" t="n">
        <v>2014</v>
      </c>
      <c r="L249" s="19" t="n">
        <v>0</v>
      </c>
      <c r="M249" s="19" t="n">
        <v>8853</v>
      </c>
      <c r="N249" s="19" t="n">
        <v>0</v>
      </c>
      <c r="O249" s="19" t="n">
        <v>9473</v>
      </c>
      <c r="P249" s="20" t="n">
        <f aca="false">IFERROR(O249/SUMIFS($O$160:$O$418,$D$160:$D$418,"&lt;&gt;Not Mapped"),0)</f>
        <v>0.00402720114409413</v>
      </c>
      <c r="Q249" s="21" t="s">
        <v>448</v>
      </c>
      <c r="R249" s="21"/>
      <c r="S249" s="21"/>
      <c r="T249" s="21"/>
    </row>
    <row r="250" customFormat="false" ht="114" hidden="false" customHeight="true" outlineLevel="0" collapsed="false">
      <c r="A250" s="18" t="s">
        <v>273</v>
      </c>
      <c r="B250" s="18" t="s">
        <v>274</v>
      </c>
      <c r="C250" s="18" t="s">
        <v>449</v>
      </c>
      <c r="D250" s="18" t="s">
        <v>313</v>
      </c>
      <c r="E250" s="18" t="s">
        <v>85</v>
      </c>
      <c r="F250" s="18" t="s">
        <v>280</v>
      </c>
      <c r="G250" s="19" t="n">
        <v>5392</v>
      </c>
      <c r="H250" s="19" t="n">
        <v>3343</v>
      </c>
      <c r="I250" s="19" t="n">
        <v>207</v>
      </c>
      <c r="J250" s="19" t="n">
        <v>0</v>
      </c>
      <c r="K250" s="19" t="n">
        <v>226</v>
      </c>
      <c r="L250" s="19" t="n">
        <v>0</v>
      </c>
      <c r="M250" s="19" t="n">
        <v>297</v>
      </c>
      <c r="N250" s="19" t="n">
        <v>0</v>
      </c>
      <c r="O250" s="19" t="n">
        <v>9465</v>
      </c>
      <c r="P250" s="20" t="n">
        <f aca="false">IFERROR(O250/SUMIFS($O$160:$O$418,$D$160:$D$418,"&lt;&gt;Not Mapped"),0)</f>
        <v>0.00402380015083405</v>
      </c>
      <c r="Q250" s="21" t="s">
        <v>450</v>
      </c>
      <c r="R250" s="21" t="s">
        <v>451</v>
      </c>
      <c r="S250" s="22" t="n">
        <v>25000</v>
      </c>
      <c r="T250" s="21"/>
    </row>
    <row r="251" customFormat="false" ht="114" hidden="false" customHeight="true" outlineLevel="0" collapsed="false">
      <c r="A251" s="18" t="s">
        <v>273</v>
      </c>
      <c r="B251" s="18" t="s">
        <v>274</v>
      </c>
      <c r="C251" s="18" t="s">
        <v>452</v>
      </c>
      <c r="D251" s="18" t="s">
        <v>53</v>
      </c>
      <c r="E251" s="18" t="s">
        <v>80</v>
      </c>
      <c r="F251" s="18" t="s">
        <v>280</v>
      </c>
      <c r="G251" s="19" t="n">
        <v>-8700</v>
      </c>
      <c r="H251" s="19" t="n">
        <v>11408</v>
      </c>
      <c r="I251" s="19" t="n">
        <v>0</v>
      </c>
      <c r="J251" s="19" t="n">
        <v>0</v>
      </c>
      <c r="K251" s="19" t="n">
        <v>6176</v>
      </c>
      <c r="L251" s="19" t="n">
        <v>0</v>
      </c>
      <c r="M251" s="19" t="n">
        <v>0</v>
      </c>
      <c r="N251" s="19" t="n">
        <v>0</v>
      </c>
      <c r="O251" s="19" t="n">
        <v>8883</v>
      </c>
      <c r="P251" s="20" t="n">
        <f aca="false">IFERROR(O251/SUMIFS($O$160:$O$418,$D$160:$D$418,"&lt;&gt;Not Mapped"),0)</f>
        <v>0.00377637789116311</v>
      </c>
      <c r="Q251" s="21" t="s">
        <v>453</v>
      </c>
      <c r="R251" s="21"/>
      <c r="S251" s="21"/>
      <c r="T251" s="21"/>
    </row>
    <row r="252" customFormat="false" ht="114" hidden="false" customHeight="true" outlineLevel="0" collapsed="false">
      <c r="A252" s="18" t="s">
        <v>273</v>
      </c>
      <c r="B252" s="18" t="s">
        <v>274</v>
      </c>
      <c r="C252" s="18" t="s">
        <v>454</v>
      </c>
      <c r="D252" s="18" t="s">
        <v>35</v>
      </c>
      <c r="E252" s="18" t="s">
        <v>36</v>
      </c>
      <c r="F252" s="18" t="s">
        <v>275</v>
      </c>
      <c r="G252" s="19" t="n">
        <v>-2019</v>
      </c>
      <c r="H252" s="19" t="n">
        <v>6545</v>
      </c>
      <c r="I252" s="19" t="n">
        <v>0</v>
      </c>
      <c r="J252" s="19" t="n">
        <v>272</v>
      </c>
      <c r="K252" s="19" t="n">
        <v>4026</v>
      </c>
      <c r="L252" s="19" t="n">
        <v>0</v>
      </c>
      <c r="M252" s="19" t="n">
        <v>0</v>
      </c>
      <c r="N252" s="19" t="n">
        <v>0</v>
      </c>
      <c r="O252" s="19" t="n">
        <v>8825</v>
      </c>
      <c r="P252" s="20" t="n">
        <f aca="false">IFERROR(O252/SUMIFS($O$160:$O$418,$D$160:$D$418,"&lt;&gt;Not Mapped"),0)</f>
        <v>0.00375172069002752</v>
      </c>
      <c r="Q252" s="21" t="s">
        <v>455</v>
      </c>
      <c r="R252" s="21"/>
      <c r="S252" s="21"/>
      <c r="T252" s="21"/>
    </row>
    <row r="253" customFormat="false" ht="126" hidden="false" customHeight="true" outlineLevel="0" collapsed="false">
      <c r="A253" s="18" t="s">
        <v>273</v>
      </c>
      <c r="B253" s="18" t="s">
        <v>408</v>
      </c>
      <c r="C253" s="18" t="s">
        <v>456</v>
      </c>
      <c r="D253" s="18" t="s">
        <v>410</v>
      </c>
      <c r="E253" s="18" t="s">
        <v>302</v>
      </c>
      <c r="F253" s="18" t="s">
        <v>280</v>
      </c>
      <c r="G253" s="19" t="n">
        <v>-3369</v>
      </c>
      <c r="H253" s="19" t="n">
        <v>10805</v>
      </c>
      <c r="I253" s="19" t="n">
        <v>748</v>
      </c>
      <c r="J253" s="19" t="n">
        <v>0</v>
      </c>
      <c r="K253" s="19" t="n">
        <v>535</v>
      </c>
      <c r="L253" s="19" t="n">
        <v>0</v>
      </c>
      <c r="M253" s="19" t="n">
        <v>0</v>
      </c>
      <c r="N253" s="19" t="n">
        <v>0</v>
      </c>
      <c r="O253" s="19" t="n">
        <v>8719</v>
      </c>
      <c r="P253" s="20" t="n">
        <f aca="false">IFERROR(O253/SUMIFS($O$160:$O$418,$D$160:$D$418,"&lt;&gt;Not Mapped"),0)</f>
        <v>0.00370665752933144</v>
      </c>
      <c r="Q253" s="21" t="s">
        <v>457</v>
      </c>
      <c r="R253" s="21"/>
      <c r="S253" s="21"/>
      <c r="T253" s="21"/>
    </row>
    <row r="254" customFormat="false" ht="78" hidden="false" customHeight="true" outlineLevel="0" collapsed="false">
      <c r="A254" s="18" t="s">
        <v>273</v>
      </c>
      <c r="B254" s="18" t="s">
        <v>458</v>
      </c>
      <c r="C254" s="18" t="s">
        <v>459</v>
      </c>
      <c r="D254" s="18" t="s">
        <v>460</v>
      </c>
      <c r="E254" s="18" t="s">
        <v>321</v>
      </c>
      <c r="F254" s="18" t="s">
        <v>280</v>
      </c>
      <c r="G254" s="19" t="n">
        <v>8097</v>
      </c>
      <c r="H254" s="19" t="n">
        <v>424</v>
      </c>
      <c r="I254" s="19" t="n">
        <v>0</v>
      </c>
      <c r="J254" s="19" t="n">
        <v>0</v>
      </c>
      <c r="K254" s="19" t="n">
        <v>132</v>
      </c>
      <c r="L254" s="19" t="n">
        <v>0</v>
      </c>
      <c r="M254" s="19" t="n">
        <v>0</v>
      </c>
      <c r="N254" s="19" t="n">
        <v>0</v>
      </c>
      <c r="O254" s="19" t="n">
        <v>8653</v>
      </c>
      <c r="P254" s="20" t="n">
        <f aca="false">IFERROR(O254/SUMIFS($O$160:$O$418,$D$160:$D$418,"&lt;&gt;Not Mapped"),0)</f>
        <v>0.00367859933493577</v>
      </c>
      <c r="Q254" s="21" t="s">
        <v>461</v>
      </c>
      <c r="R254" s="21"/>
      <c r="S254" s="21"/>
      <c r="T254" s="21"/>
    </row>
    <row r="255" customFormat="false" ht="78" hidden="false" customHeight="true" outlineLevel="0" collapsed="false">
      <c r="A255" s="18" t="s">
        <v>273</v>
      </c>
      <c r="B255" s="18" t="s">
        <v>274</v>
      </c>
      <c r="C255" s="18" t="s">
        <v>462</v>
      </c>
      <c r="D255" s="18" t="s">
        <v>53</v>
      </c>
      <c r="E255" s="18" t="s">
        <v>54</v>
      </c>
      <c r="F255" s="18" t="s">
        <v>280</v>
      </c>
      <c r="G255" s="19" t="n">
        <v>5407</v>
      </c>
      <c r="H255" s="19" t="n">
        <v>2745</v>
      </c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0</v>
      </c>
      <c r="O255" s="19" t="n">
        <v>8152</v>
      </c>
      <c r="P255" s="20" t="n">
        <f aca="false">IFERROR(O255/SUMIFS($O$160:$O$418,$D$160:$D$418,"&lt;&gt;Not Mapped"),0)</f>
        <v>0.00346561213202316</v>
      </c>
      <c r="Q255" s="21" t="s">
        <v>463</v>
      </c>
      <c r="R255" s="21"/>
      <c r="S255" s="21"/>
      <c r="T255" s="21"/>
    </row>
    <row r="256" customFormat="false" ht="102" hidden="false" customHeight="true" outlineLevel="0" collapsed="false">
      <c r="A256" s="18" t="s">
        <v>273</v>
      </c>
      <c r="B256" s="18" t="s">
        <v>274</v>
      </c>
      <c r="C256" s="18" t="s">
        <v>247</v>
      </c>
      <c r="D256" s="18" t="s">
        <v>313</v>
      </c>
      <c r="E256" s="18" t="s">
        <v>85</v>
      </c>
      <c r="F256" s="18" t="s">
        <v>280</v>
      </c>
      <c r="G256" s="19" t="n">
        <v>3821</v>
      </c>
      <c r="H256" s="19" t="n">
        <v>3869</v>
      </c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0</v>
      </c>
      <c r="O256" s="19" t="n">
        <v>7689</v>
      </c>
      <c r="P256" s="20" t="n">
        <f aca="false">IFERROR(O256/SUMIFS($O$160:$O$418,$D$160:$D$418,"&lt;&gt;Not Mapped"),0)</f>
        <v>0.00326877964709593</v>
      </c>
      <c r="Q256" s="21" t="s">
        <v>464</v>
      </c>
      <c r="R256" s="21"/>
      <c r="S256" s="21"/>
      <c r="T256" s="22" t="n">
        <v>10000</v>
      </c>
    </row>
    <row r="257" customFormat="false" ht="114" hidden="false" customHeight="true" outlineLevel="0" collapsed="false">
      <c r="A257" s="18" t="s">
        <v>273</v>
      </c>
      <c r="B257" s="18" t="s">
        <v>274</v>
      </c>
      <c r="C257" s="18" t="s">
        <v>248</v>
      </c>
      <c r="D257" s="18" t="s">
        <v>313</v>
      </c>
      <c r="E257" s="18" t="s">
        <v>85</v>
      </c>
      <c r="F257" s="18" t="s">
        <v>280</v>
      </c>
      <c r="G257" s="19" t="n">
        <v>-482</v>
      </c>
      <c r="H257" s="19" t="n">
        <v>7047</v>
      </c>
      <c r="I257" s="19" t="n">
        <v>0</v>
      </c>
      <c r="J257" s="19" t="n">
        <v>0</v>
      </c>
      <c r="K257" s="19" t="n">
        <v>970</v>
      </c>
      <c r="L257" s="19" t="n">
        <v>0</v>
      </c>
      <c r="M257" s="19" t="n">
        <v>0</v>
      </c>
      <c r="N257" s="19" t="n">
        <v>0</v>
      </c>
      <c r="O257" s="19" t="n">
        <v>7536</v>
      </c>
      <c r="P257" s="20" t="n">
        <f aca="false">IFERROR(O257/SUMIFS($O$160:$O$418,$D$160:$D$418,"&lt;&gt;Not Mapped"),0)</f>
        <v>0.00320373565099687</v>
      </c>
      <c r="Q257" s="21" t="s">
        <v>465</v>
      </c>
      <c r="R257" s="21"/>
      <c r="S257" s="21"/>
      <c r="T257" s="22" t="n">
        <v>10000</v>
      </c>
    </row>
    <row r="258" customFormat="false" ht="102" hidden="false" customHeight="true" outlineLevel="0" collapsed="false">
      <c r="A258" s="18" t="s">
        <v>273</v>
      </c>
      <c r="B258" s="18" t="s">
        <v>274</v>
      </c>
      <c r="C258" s="18" t="s">
        <v>466</v>
      </c>
      <c r="D258" s="18" t="s">
        <v>305</v>
      </c>
      <c r="E258" s="18" t="s">
        <v>54</v>
      </c>
      <c r="F258" s="18" t="s">
        <v>280</v>
      </c>
      <c r="G258" s="19" t="n">
        <v>-2061</v>
      </c>
      <c r="H258" s="19" t="n">
        <v>8363</v>
      </c>
      <c r="I258" s="19" t="n">
        <v>0</v>
      </c>
      <c r="J258" s="19" t="n">
        <v>916</v>
      </c>
      <c r="K258" s="19" t="n">
        <v>119</v>
      </c>
      <c r="L258" s="19" t="n">
        <v>0</v>
      </c>
      <c r="M258" s="19" t="n">
        <v>0</v>
      </c>
      <c r="N258" s="19" t="n">
        <v>0</v>
      </c>
      <c r="O258" s="19" t="n">
        <v>7336</v>
      </c>
      <c r="P258" s="20" t="n">
        <f aca="false">IFERROR(O258/SUMIFS($O$160:$O$418,$D$160:$D$418,"&lt;&gt;Not Mapped"),0)</f>
        <v>0.00311871081949483</v>
      </c>
      <c r="Q258" s="21" t="s">
        <v>467</v>
      </c>
      <c r="R258" s="21"/>
      <c r="S258" s="21"/>
      <c r="T258" s="21"/>
    </row>
    <row r="259" customFormat="false" ht="114" hidden="false" customHeight="true" outlineLevel="0" collapsed="false">
      <c r="A259" s="18" t="s">
        <v>273</v>
      </c>
      <c r="B259" s="18" t="s">
        <v>274</v>
      </c>
      <c r="C259" s="18" t="s">
        <v>468</v>
      </c>
      <c r="D259" s="18" t="s">
        <v>35</v>
      </c>
      <c r="E259" s="18" t="s">
        <v>36</v>
      </c>
      <c r="F259" s="18" t="s">
        <v>275</v>
      </c>
      <c r="G259" s="19" t="n">
        <v>-10424</v>
      </c>
      <c r="H259" s="19" t="n">
        <v>14667</v>
      </c>
      <c r="I259" s="19" t="n">
        <v>0</v>
      </c>
      <c r="J259" s="19" t="n">
        <v>1081</v>
      </c>
      <c r="K259" s="19" t="n">
        <v>1977</v>
      </c>
      <c r="L259" s="19" t="n">
        <v>0</v>
      </c>
      <c r="M259" s="19" t="n">
        <v>0</v>
      </c>
      <c r="N259" s="19" t="n">
        <v>0</v>
      </c>
      <c r="O259" s="19" t="n">
        <v>7301</v>
      </c>
      <c r="P259" s="20" t="n">
        <f aca="false">IFERROR(O259/SUMIFS($O$160:$O$418,$D$160:$D$418,"&lt;&gt;Not Mapped"),0)</f>
        <v>0.00310383147398198</v>
      </c>
      <c r="Q259" s="21" t="s">
        <v>469</v>
      </c>
      <c r="R259" s="21"/>
      <c r="S259" s="21"/>
      <c r="T259" s="21"/>
    </row>
    <row r="260" customFormat="false" ht="126" hidden="false" customHeight="true" outlineLevel="0" collapsed="false">
      <c r="A260" s="18" t="s">
        <v>273</v>
      </c>
      <c r="B260" s="18" t="s">
        <v>274</v>
      </c>
      <c r="C260" s="18" t="s">
        <v>470</v>
      </c>
      <c r="D260" s="18" t="s">
        <v>351</v>
      </c>
      <c r="E260" s="18" t="s">
        <v>44</v>
      </c>
      <c r="F260" s="18" t="s">
        <v>280</v>
      </c>
      <c r="G260" s="19" t="n">
        <v>-1395</v>
      </c>
      <c r="H260" s="19" t="n">
        <v>8104</v>
      </c>
      <c r="I260" s="19" t="n">
        <v>0</v>
      </c>
      <c r="J260" s="19" t="n">
        <v>0</v>
      </c>
      <c r="K260" s="19" t="n">
        <v>573</v>
      </c>
      <c r="L260" s="19" t="n">
        <v>0</v>
      </c>
      <c r="M260" s="19" t="n">
        <v>0</v>
      </c>
      <c r="N260" s="19" t="n">
        <v>0</v>
      </c>
      <c r="O260" s="19" t="n">
        <v>7282</v>
      </c>
      <c r="P260" s="20" t="n">
        <f aca="false">IFERROR(O260/SUMIFS($O$160:$O$418,$D$160:$D$418,"&lt;&gt;Not Mapped"),0)</f>
        <v>0.00309575411498928</v>
      </c>
      <c r="Q260" s="21" t="s">
        <v>471</v>
      </c>
      <c r="R260" s="21"/>
      <c r="S260" s="21"/>
      <c r="T260" s="21"/>
    </row>
    <row r="261" customFormat="false" ht="102" hidden="false" customHeight="true" outlineLevel="0" collapsed="false">
      <c r="A261" s="18" t="s">
        <v>273</v>
      </c>
      <c r="B261" s="18" t="s">
        <v>274</v>
      </c>
      <c r="C261" s="18" t="s">
        <v>472</v>
      </c>
      <c r="D261" s="18" t="s">
        <v>315</v>
      </c>
      <c r="E261" s="18" t="s">
        <v>49</v>
      </c>
      <c r="F261" s="18" t="s">
        <v>280</v>
      </c>
      <c r="G261" s="19" t="n">
        <v>5711</v>
      </c>
      <c r="H261" s="19" t="n">
        <v>629</v>
      </c>
      <c r="I261" s="19" t="n">
        <v>0</v>
      </c>
      <c r="J261" s="19" t="n">
        <v>0</v>
      </c>
      <c r="K261" s="19" t="n">
        <v>590</v>
      </c>
      <c r="L261" s="19" t="n">
        <v>0</v>
      </c>
      <c r="M261" s="19" t="n">
        <v>219</v>
      </c>
      <c r="N261" s="19" t="n">
        <v>0</v>
      </c>
      <c r="O261" s="19" t="n">
        <v>7149</v>
      </c>
      <c r="P261" s="20" t="n">
        <f aca="false">IFERROR(O261/SUMIFS($O$160:$O$418,$D$160:$D$418,"&lt;&gt;Not Mapped"),0)</f>
        <v>0.00303921260204043</v>
      </c>
      <c r="Q261" s="21" t="s">
        <v>473</v>
      </c>
      <c r="R261" s="21"/>
      <c r="S261" s="21"/>
      <c r="T261" s="21"/>
    </row>
    <row r="262" customFormat="false" ht="90" hidden="false" customHeight="true" outlineLevel="0" collapsed="false">
      <c r="A262" s="18" t="s">
        <v>273</v>
      </c>
      <c r="B262" s="18" t="s">
        <v>274</v>
      </c>
      <c r="C262" s="18" t="s">
        <v>474</v>
      </c>
      <c r="D262" s="18" t="s">
        <v>341</v>
      </c>
      <c r="E262" s="18" t="s">
        <v>85</v>
      </c>
      <c r="F262" s="18" t="s">
        <v>280</v>
      </c>
      <c r="G262" s="19" t="n">
        <v>805</v>
      </c>
      <c r="H262" s="19" t="n">
        <v>3126</v>
      </c>
      <c r="I262" s="19" t="n">
        <v>0</v>
      </c>
      <c r="J262" s="19" t="n">
        <v>180</v>
      </c>
      <c r="K262" s="19" t="n">
        <v>16</v>
      </c>
      <c r="L262" s="19" t="n">
        <v>0</v>
      </c>
      <c r="M262" s="19" t="n">
        <v>2753</v>
      </c>
      <c r="N262" s="19" t="n">
        <v>0</v>
      </c>
      <c r="O262" s="19" t="n">
        <v>6880</v>
      </c>
      <c r="P262" s="20" t="n">
        <f aca="false">IFERROR(O262/SUMIFS($O$160:$O$418,$D$160:$D$418,"&lt;&gt;Not Mapped"),0)</f>
        <v>0.00292485420367018</v>
      </c>
      <c r="Q262" s="21" t="s">
        <v>475</v>
      </c>
      <c r="R262" s="21"/>
      <c r="S262" s="21"/>
      <c r="T262" s="21"/>
    </row>
    <row r="263" customFormat="false" ht="114" hidden="false" customHeight="true" outlineLevel="0" collapsed="false">
      <c r="A263" s="18" t="s">
        <v>273</v>
      </c>
      <c r="B263" s="18" t="s">
        <v>274</v>
      </c>
      <c r="C263" s="18" t="s">
        <v>476</v>
      </c>
      <c r="D263" s="18" t="s">
        <v>320</v>
      </c>
      <c r="E263" s="18" t="s">
        <v>321</v>
      </c>
      <c r="F263" s="18" t="s">
        <v>280</v>
      </c>
      <c r="G263" s="19" t="n">
        <v>-5788</v>
      </c>
      <c r="H263" s="19" t="n">
        <v>5360</v>
      </c>
      <c r="I263" s="19" t="n">
        <v>0</v>
      </c>
      <c r="J263" s="19" t="n">
        <v>6955</v>
      </c>
      <c r="K263" s="19" t="n">
        <v>142</v>
      </c>
      <c r="L263" s="19" t="n">
        <v>0</v>
      </c>
      <c r="M263" s="19" t="n">
        <v>0</v>
      </c>
      <c r="N263" s="19" t="n">
        <v>0</v>
      </c>
      <c r="O263" s="19" t="n">
        <v>6668</v>
      </c>
      <c r="P263" s="20" t="n">
        <f aca="false">IFERROR(O263/SUMIFS($O$160:$O$418,$D$160:$D$418,"&lt;&gt;Not Mapped"),0)</f>
        <v>0.00283472788227802</v>
      </c>
      <c r="Q263" s="21" t="s">
        <v>477</v>
      </c>
      <c r="R263" s="21"/>
      <c r="S263" s="21"/>
      <c r="T263" s="21"/>
    </row>
    <row r="264" customFormat="false" ht="78" hidden="false" customHeight="true" outlineLevel="0" collapsed="false">
      <c r="A264" s="18" t="s">
        <v>273</v>
      </c>
      <c r="B264" s="18" t="s">
        <v>274</v>
      </c>
      <c r="C264" s="18" t="s">
        <v>478</v>
      </c>
      <c r="D264" s="18" t="s">
        <v>43</v>
      </c>
      <c r="E264" s="18" t="s">
        <v>44</v>
      </c>
      <c r="F264" s="18" t="s">
        <v>280</v>
      </c>
      <c r="G264" s="19" t="n">
        <v>5734</v>
      </c>
      <c r="H264" s="19" t="n">
        <v>198</v>
      </c>
      <c r="I264" s="19" t="n">
        <v>0</v>
      </c>
      <c r="J264" s="19" t="n">
        <v>240</v>
      </c>
      <c r="K264" s="19" t="n">
        <v>340</v>
      </c>
      <c r="L264" s="19" t="n">
        <v>0</v>
      </c>
      <c r="M264" s="19" t="n">
        <v>0</v>
      </c>
      <c r="N264" s="19" t="n">
        <v>0</v>
      </c>
      <c r="O264" s="19" t="n">
        <v>6512</v>
      </c>
      <c r="P264" s="20" t="n">
        <f aca="false">IFERROR(O264/SUMIFS($O$160:$O$418,$D$160:$D$418,"&lt;&gt;Not Mapped"),0)</f>
        <v>0.00276840851370643</v>
      </c>
      <c r="Q264" s="21" t="s">
        <v>479</v>
      </c>
      <c r="R264" s="21"/>
      <c r="S264" s="21"/>
      <c r="T264" s="21"/>
    </row>
    <row r="265" customFormat="false" ht="102" hidden="false" customHeight="true" outlineLevel="0" collapsed="false">
      <c r="A265" s="18" t="s">
        <v>273</v>
      </c>
      <c r="B265" s="18" t="s">
        <v>274</v>
      </c>
      <c r="C265" s="18" t="s">
        <v>249</v>
      </c>
      <c r="D265" s="18" t="s">
        <v>313</v>
      </c>
      <c r="E265" s="18" t="s">
        <v>85</v>
      </c>
      <c r="F265" s="18" t="s">
        <v>280</v>
      </c>
      <c r="G265" s="19" t="n">
        <v>1235</v>
      </c>
      <c r="H265" s="19" t="n">
        <v>3422</v>
      </c>
      <c r="I265" s="19" t="n">
        <v>0</v>
      </c>
      <c r="J265" s="19" t="n">
        <v>1307</v>
      </c>
      <c r="K265" s="19" t="n">
        <v>418</v>
      </c>
      <c r="L265" s="19" t="n">
        <v>0</v>
      </c>
      <c r="M265" s="19" t="n">
        <v>0</v>
      </c>
      <c r="N265" s="19" t="n">
        <v>0</v>
      </c>
      <c r="O265" s="19" t="n">
        <v>6380</v>
      </c>
      <c r="P265" s="20" t="n">
        <f aca="false">IFERROR(O265/SUMIFS($O$160:$O$418,$D$160:$D$418,"&lt;&gt;Not Mapped"),0)</f>
        <v>0.00271229212491508</v>
      </c>
      <c r="Q265" s="21" t="s">
        <v>480</v>
      </c>
      <c r="R265" s="21"/>
      <c r="S265" s="21"/>
      <c r="T265" s="22" t="n">
        <v>10000</v>
      </c>
    </row>
    <row r="266" customFormat="false" ht="114" hidden="false" customHeight="true" outlineLevel="0" collapsed="false">
      <c r="A266" s="18" t="s">
        <v>273</v>
      </c>
      <c r="B266" s="18" t="s">
        <v>274</v>
      </c>
      <c r="C266" s="18" t="s">
        <v>250</v>
      </c>
      <c r="D266" s="18" t="s">
        <v>481</v>
      </c>
      <c r="E266" s="18" t="s">
        <v>297</v>
      </c>
      <c r="F266" s="18" t="s">
        <v>280</v>
      </c>
      <c r="G266" s="19" t="n">
        <v>-1590</v>
      </c>
      <c r="H266" s="19" t="n">
        <v>6841</v>
      </c>
      <c r="I266" s="19" t="n">
        <v>0</v>
      </c>
      <c r="J266" s="19" t="n">
        <v>882</v>
      </c>
      <c r="K266" s="19" t="n">
        <v>209</v>
      </c>
      <c r="L266" s="19" t="n">
        <v>0</v>
      </c>
      <c r="M266" s="19" t="n">
        <v>0</v>
      </c>
      <c r="N266" s="19" t="n">
        <v>0</v>
      </c>
      <c r="O266" s="19" t="n">
        <v>6342</v>
      </c>
      <c r="P266" s="20" t="n">
        <f aca="false">IFERROR(O266/SUMIFS($O$160:$O$418,$D$160:$D$418,"&lt;&gt;Not Mapped"),0)</f>
        <v>0.00269613740692969</v>
      </c>
      <c r="Q266" s="21" t="s">
        <v>482</v>
      </c>
      <c r="R266" s="21"/>
      <c r="S266" s="21"/>
      <c r="T266" s="21" t="s">
        <v>483</v>
      </c>
    </row>
    <row r="267" customFormat="false" ht="90" hidden="false" customHeight="true" outlineLevel="0" collapsed="false">
      <c r="A267" s="18" t="s">
        <v>273</v>
      </c>
      <c r="B267" s="18" t="s">
        <v>398</v>
      </c>
      <c r="C267" s="18" t="s">
        <v>251</v>
      </c>
      <c r="D267" s="18" t="s">
        <v>399</v>
      </c>
      <c r="E267" s="18" t="s">
        <v>297</v>
      </c>
      <c r="F267" s="18" t="s">
        <v>280</v>
      </c>
      <c r="G267" s="19" t="n">
        <v>3745</v>
      </c>
      <c r="H267" s="19" t="n">
        <v>2119</v>
      </c>
      <c r="I267" s="19" t="n">
        <v>0</v>
      </c>
      <c r="J267" s="19" t="n">
        <v>36</v>
      </c>
      <c r="K267" s="19" t="n">
        <v>0</v>
      </c>
      <c r="L267" s="19" t="n">
        <v>0</v>
      </c>
      <c r="M267" s="19" t="n">
        <v>0</v>
      </c>
      <c r="N267" s="19" t="n">
        <v>0</v>
      </c>
      <c r="O267" s="19" t="n">
        <v>5899</v>
      </c>
      <c r="P267" s="20" t="n">
        <f aca="false">IFERROR(O267/SUMIFS($O$160:$O$418,$D$160:$D$418,"&lt;&gt;Not Mapped"),0)</f>
        <v>0.00250780740515267</v>
      </c>
      <c r="Q267" s="21" t="s">
        <v>484</v>
      </c>
      <c r="R267" s="21"/>
      <c r="S267" s="21"/>
      <c r="T267" s="21" t="s">
        <v>485</v>
      </c>
    </row>
    <row r="268" customFormat="false" ht="90" hidden="false" customHeight="true" outlineLevel="0" collapsed="false">
      <c r="A268" s="18" t="s">
        <v>273</v>
      </c>
      <c r="B268" s="18" t="s">
        <v>486</v>
      </c>
      <c r="C268" s="18" t="s">
        <v>487</v>
      </c>
      <c r="D268" s="18" t="s">
        <v>488</v>
      </c>
      <c r="E268" s="18" t="s">
        <v>321</v>
      </c>
      <c r="F268" s="18" t="s">
        <v>280</v>
      </c>
      <c r="G268" s="19" t="n">
        <v>4157</v>
      </c>
      <c r="H268" s="19" t="n">
        <v>487</v>
      </c>
      <c r="I268" s="19" t="n">
        <v>0</v>
      </c>
      <c r="J268" s="19" t="n">
        <v>191</v>
      </c>
      <c r="K268" s="19" t="n">
        <v>666</v>
      </c>
      <c r="L268" s="19" t="n">
        <v>0</v>
      </c>
      <c r="M268" s="19" t="n">
        <v>0</v>
      </c>
      <c r="N268" s="19" t="n">
        <v>0</v>
      </c>
      <c r="O268" s="19" t="n">
        <v>5501</v>
      </c>
      <c r="P268" s="20" t="n">
        <f aca="false">IFERROR(O268/SUMIFS($O$160:$O$418,$D$160:$D$418,"&lt;&gt;Not Mapped"),0)</f>
        <v>0.00233860799046361</v>
      </c>
      <c r="Q268" s="21" t="s">
        <v>489</v>
      </c>
      <c r="R268" s="21"/>
      <c r="S268" s="21"/>
      <c r="T268" s="21"/>
    </row>
    <row r="269" customFormat="false" ht="102" hidden="false" customHeight="true" outlineLevel="0" collapsed="false">
      <c r="A269" s="18" t="s">
        <v>273</v>
      </c>
      <c r="B269" s="18" t="s">
        <v>274</v>
      </c>
      <c r="C269" s="18" t="s">
        <v>490</v>
      </c>
      <c r="D269" s="18" t="s">
        <v>348</v>
      </c>
      <c r="E269" s="18" t="s">
        <v>54</v>
      </c>
      <c r="F269" s="18" t="s">
        <v>280</v>
      </c>
      <c r="G269" s="19" t="n">
        <v>-1563</v>
      </c>
      <c r="H269" s="19" t="n">
        <v>6067</v>
      </c>
      <c r="I269" s="19" t="n">
        <v>414</v>
      </c>
      <c r="J269" s="19" t="n">
        <v>227</v>
      </c>
      <c r="K269" s="19" t="n">
        <v>169</v>
      </c>
      <c r="L269" s="19" t="n">
        <v>0</v>
      </c>
      <c r="M269" s="19" t="n">
        <v>0</v>
      </c>
      <c r="N269" s="19" t="n">
        <v>0</v>
      </c>
      <c r="O269" s="19" t="n">
        <v>5314</v>
      </c>
      <c r="P269" s="20" t="n">
        <f aca="false">IFERROR(O269/SUMIFS($O$160:$O$418,$D$160:$D$418,"&lt;&gt;Not Mapped"),0)</f>
        <v>0.00225910977300921</v>
      </c>
      <c r="Q269" s="21" t="s">
        <v>491</v>
      </c>
      <c r="R269" s="21"/>
      <c r="S269" s="21"/>
      <c r="T269" s="21"/>
    </row>
    <row r="270" customFormat="false" ht="102" hidden="false" customHeight="true" outlineLevel="0" collapsed="false">
      <c r="A270" s="18" t="s">
        <v>273</v>
      </c>
      <c r="B270" s="18" t="s">
        <v>274</v>
      </c>
      <c r="C270" s="18" t="s">
        <v>252</v>
      </c>
      <c r="D270" s="18" t="s">
        <v>296</v>
      </c>
      <c r="E270" s="18" t="s">
        <v>297</v>
      </c>
      <c r="F270" s="18" t="s">
        <v>280</v>
      </c>
      <c r="G270" s="19" t="n">
        <v>1067</v>
      </c>
      <c r="H270" s="19" t="n">
        <v>3758</v>
      </c>
      <c r="I270" s="19" t="n">
        <v>0</v>
      </c>
      <c r="J270" s="19" t="n">
        <v>0</v>
      </c>
      <c r="K270" s="19" t="n">
        <v>332</v>
      </c>
      <c r="L270" s="19" t="n">
        <v>0</v>
      </c>
      <c r="M270" s="19" t="n">
        <v>0</v>
      </c>
      <c r="N270" s="19" t="n">
        <v>0</v>
      </c>
      <c r="O270" s="19" t="n">
        <v>5158</v>
      </c>
      <c r="P270" s="20" t="n">
        <f aca="false">IFERROR(O270/SUMIFS($O$160:$O$418,$D$160:$D$418,"&lt;&gt;Not Mapped"),0)</f>
        <v>0.00219279040443762</v>
      </c>
      <c r="Q270" s="21" t="s">
        <v>492</v>
      </c>
      <c r="R270" s="21"/>
      <c r="S270" s="21"/>
      <c r="T270" s="21" t="s">
        <v>493</v>
      </c>
    </row>
    <row r="271" customFormat="false" ht="102" hidden="false" customHeight="true" outlineLevel="0" collapsed="false">
      <c r="A271" s="18" t="s">
        <v>273</v>
      </c>
      <c r="B271" s="18" t="s">
        <v>274</v>
      </c>
      <c r="C271" s="18" t="s">
        <v>494</v>
      </c>
      <c r="D271" s="18" t="s">
        <v>315</v>
      </c>
      <c r="E271" s="18" t="s">
        <v>49</v>
      </c>
      <c r="F271" s="18" t="s">
        <v>280</v>
      </c>
      <c r="G271" s="19" t="n">
        <v>-2982</v>
      </c>
      <c r="H271" s="19" t="n">
        <v>6814</v>
      </c>
      <c r="I271" s="19" t="n">
        <v>0</v>
      </c>
      <c r="J271" s="19" t="n">
        <v>732</v>
      </c>
      <c r="K271" s="19" t="n">
        <v>357</v>
      </c>
      <c r="L271" s="19" t="n">
        <v>0</v>
      </c>
      <c r="M271" s="19" t="n">
        <v>0</v>
      </c>
      <c r="N271" s="19" t="n">
        <v>0</v>
      </c>
      <c r="O271" s="19" t="n">
        <v>4921</v>
      </c>
      <c r="P271" s="20" t="n">
        <f aca="false">IFERROR(O271/SUMIFS($O$160:$O$418,$D$160:$D$418,"&lt;&gt;Not Mapped"),0)</f>
        <v>0.0020920359791077</v>
      </c>
      <c r="Q271" s="21" t="s">
        <v>495</v>
      </c>
      <c r="R271" s="21"/>
      <c r="S271" s="21"/>
      <c r="T271" s="21"/>
    </row>
    <row r="272" customFormat="false" ht="102" hidden="false" customHeight="true" outlineLevel="0" collapsed="false">
      <c r="A272" s="18" t="s">
        <v>273</v>
      </c>
      <c r="B272" s="18" t="s">
        <v>274</v>
      </c>
      <c r="C272" s="18" t="s">
        <v>496</v>
      </c>
      <c r="D272" s="18" t="s">
        <v>348</v>
      </c>
      <c r="E272" s="18" t="s">
        <v>54</v>
      </c>
      <c r="F272" s="18" t="s">
        <v>280</v>
      </c>
      <c r="G272" s="19" t="n">
        <v>-3573</v>
      </c>
      <c r="H272" s="19" t="n">
        <v>8200</v>
      </c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0</v>
      </c>
      <c r="O272" s="19" t="n">
        <v>4627</v>
      </c>
      <c r="P272" s="20" t="n">
        <f aca="false">IFERROR(O272/SUMIFS($O$160:$O$418,$D$160:$D$418,"&lt;&gt;Not Mapped"),0)</f>
        <v>0.0019670494767997</v>
      </c>
      <c r="Q272" s="21" t="s">
        <v>497</v>
      </c>
      <c r="R272" s="21"/>
      <c r="S272" s="21"/>
      <c r="T272" s="21"/>
    </row>
    <row r="273" customFormat="false" ht="102" hidden="false" customHeight="true" outlineLevel="0" collapsed="false">
      <c r="A273" s="18" t="s">
        <v>273</v>
      </c>
      <c r="B273" s="18" t="s">
        <v>274</v>
      </c>
      <c r="C273" s="18" t="s">
        <v>498</v>
      </c>
      <c r="D273" s="18" t="s">
        <v>43</v>
      </c>
      <c r="E273" s="18" t="s">
        <v>44</v>
      </c>
      <c r="F273" s="18" t="s">
        <v>280</v>
      </c>
      <c r="G273" s="19" t="n">
        <v>-7353</v>
      </c>
      <c r="H273" s="19" t="n">
        <v>11485</v>
      </c>
      <c r="I273" s="19" t="n">
        <v>0</v>
      </c>
      <c r="J273" s="19" t="n">
        <v>0</v>
      </c>
      <c r="K273" s="19" t="n">
        <v>0</v>
      </c>
      <c r="L273" s="19" t="n">
        <v>0</v>
      </c>
      <c r="M273" s="19" t="n">
        <v>260</v>
      </c>
      <c r="N273" s="19" t="n">
        <v>0</v>
      </c>
      <c r="O273" s="19" t="n">
        <v>4392</v>
      </c>
      <c r="P273" s="20" t="n">
        <f aca="false">IFERROR(O273/SUMIFS($O$160:$O$418,$D$160:$D$418,"&lt;&gt;Not Mapped"),0)</f>
        <v>0.0018671452997848</v>
      </c>
      <c r="Q273" s="21" t="s">
        <v>499</v>
      </c>
      <c r="R273" s="21"/>
      <c r="S273" s="21"/>
      <c r="T273" s="21"/>
    </row>
    <row r="274" customFormat="false" ht="90" hidden="false" customHeight="true" outlineLevel="0" collapsed="false">
      <c r="A274" s="18" t="s">
        <v>273</v>
      </c>
      <c r="B274" s="18" t="s">
        <v>274</v>
      </c>
      <c r="C274" s="18" t="s">
        <v>500</v>
      </c>
      <c r="D274" s="18" t="s">
        <v>79</v>
      </c>
      <c r="E274" s="18" t="s">
        <v>80</v>
      </c>
      <c r="F274" s="18" t="s">
        <v>280</v>
      </c>
      <c r="G274" s="19" t="n">
        <v>-2327</v>
      </c>
      <c r="H274" s="19" t="n">
        <v>6483</v>
      </c>
      <c r="I274" s="19" t="n">
        <v>0</v>
      </c>
      <c r="J274" s="19" t="n">
        <v>107</v>
      </c>
      <c r="K274" s="19" t="n">
        <v>124</v>
      </c>
      <c r="L274" s="19" t="n">
        <v>0</v>
      </c>
      <c r="M274" s="19" t="n">
        <v>0</v>
      </c>
      <c r="N274" s="19" t="n">
        <v>0</v>
      </c>
      <c r="O274" s="19" t="n">
        <v>4387</v>
      </c>
      <c r="P274" s="20" t="n">
        <f aca="false">IFERROR(O274/SUMIFS($O$160:$O$418,$D$160:$D$418,"&lt;&gt;Not Mapped"),0)</f>
        <v>0.00186501967899725</v>
      </c>
      <c r="Q274" s="21" t="s">
        <v>501</v>
      </c>
      <c r="R274" s="21"/>
      <c r="S274" s="21"/>
      <c r="T274" s="21"/>
    </row>
    <row r="275" customFormat="false" ht="90" hidden="false" customHeight="true" outlineLevel="0" collapsed="false">
      <c r="A275" s="18" t="s">
        <v>273</v>
      </c>
      <c r="B275" s="18" t="s">
        <v>408</v>
      </c>
      <c r="C275" s="18" t="s">
        <v>502</v>
      </c>
      <c r="D275" s="18" t="s">
        <v>410</v>
      </c>
      <c r="E275" s="18" t="s">
        <v>302</v>
      </c>
      <c r="F275" s="18" t="s">
        <v>280</v>
      </c>
      <c r="G275" s="19" t="n">
        <v>-5122</v>
      </c>
      <c r="H275" s="19" t="n">
        <v>9454</v>
      </c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0</v>
      </c>
      <c r="O275" s="19" t="n">
        <v>4332</v>
      </c>
      <c r="P275" s="20" t="n">
        <f aca="false">IFERROR(O275/SUMIFS($O$160:$O$418,$D$160:$D$418,"&lt;&gt;Not Mapped"),0)</f>
        <v>0.00184163785033419</v>
      </c>
      <c r="Q275" s="21" t="s">
        <v>503</v>
      </c>
      <c r="R275" s="21"/>
      <c r="S275" s="21"/>
      <c r="T275" s="21"/>
    </row>
    <row r="276" customFormat="false" ht="114" hidden="false" customHeight="true" outlineLevel="0" collapsed="false">
      <c r="A276" s="18" t="s">
        <v>273</v>
      </c>
      <c r="B276" s="18" t="s">
        <v>274</v>
      </c>
      <c r="C276" s="18" t="s">
        <v>504</v>
      </c>
      <c r="D276" s="18" t="s">
        <v>351</v>
      </c>
      <c r="E276" s="18" t="s">
        <v>44</v>
      </c>
      <c r="F276" s="18" t="s">
        <v>280</v>
      </c>
      <c r="G276" s="19" t="n">
        <v>-7256</v>
      </c>
      <c r="H276" s="19" t="n">
        <v>9465</v>
      </c>
      <c r="I276" s="19" t="n">
        <v>0</v>
      </c>
      <c r="J276" s="19" t="n">
        <v>0</v>
      </c>
      <c r="K276" s="19" t="n">
        <v>2002</v>
      </c>
      <c r="L276" s="19" t="n">
        <v>0</v>
      </c>
      <c r="M276" s="19" t="n">
        <v>0</v>
      </c>
      <c r="N276" s="19" t="n">
        <v>0</v>
      </c>
      <c r="O276" s="19" t="n">
        <v>4210</v>
      </c>
      <c r="P276" s="20" t="n">
        <f aca="false">IFERROR(O276/SUMIFS($O$160:$O$418,$D$160:$D$418,"&lt;&gt;Not Mapped"),0)</f>
        <v>0.00178977270311795</v>
      </c>
      <c r="Q276" s="21" t="s">
        <v>505</v>
      </c>
      <c r="R276" s="21"/>
      <c r="S276" s="21"/>
      <c r="T276" s="21"/>
    </row>
    <row r="277" customFormat="false" ht="78" hidden="false" customHeight="true" outlineLevel="0" collapsed="false">
      <c r="A277" s="18" t="s">
        <v>273</v>
      </c>
      <c r="B277" s="18" t="s">
        <v>486</v>
      </c>
      <c r="C277" s="18" t="s">
        <v>506</v>
      </c>
      <c r="D277" s="18" t="s">
        <v>488</v>
      </c>
      <c r="E277" s="18" t="s">
        <v>321</v>
      </c>
      <c r="F277" s="18" t="s">
        <v>280</v>
      </c>
      <c r="G277" s="19" t="n">
        <v>2784</v>
      </c>
      <c r="H277" s="19" t="n">
        <v>1073</v>
      </c>
      <c r="I277" s="19" t="n">
        <v>0</v>
      </c>
      <c r="J277" s="19" t="n">
        <v>0</v>
      </c>
      <c r="K277" s="19" t="n">
        <v>295</v>
      </c>
      <c r="L277" s="19" t="n">
        <v>0</v>
      </c>
      <c r="M277" s="19" t="n">
        <v>0</v>
      </c>
      <c r="N277" s="19" t="n">
        <v>0</v>
      </c>
      <c r="O277" s="19" t="n">
        <v>4151</v>
      </c>
      <c r="P277" s="20" t="n">
        <f aca="false">IFERROR(O277/SUMIFS($O$160:$O$418,$D$160:$D$418,"&lt;&gt;Not Mapped"),0)</f>
        <v>0.00176469037782484</v>
      </c>
      <c r="Q277" s="21" t="s">
        <v>507</v>
      </c>
      <c r="R277" s="21"/>
      <c r="S277" s="21"/>
      <c r="T277" s="21"/>
    </row>
    <row r="278" customFormat="false" ht="114" hidden="false" customHeight="true" outlineLevel="0" collapsed="false">
      <c r="A278" s="18" t="s">
        <v>273</v>
      </c>
      <c r="B278" s="18" t="s">
        <v>274</v>
      </c>
      <c r="C278" s="18" t="s">
        <v>508</v>
      </c>
      <c r="D278" s="18" t="s">
        <v>315</v>
      </c>
      <c r="E278" s="18" t="s">
        <v>49</v>
      </c>
      <c r="F278" s="18" t="s">
        <v>280</v>
      </c>
      <c r="G278" s="19" t="n">
        <v>-6644</v>
      </c>
      <c r="H278" s="19" t="n">
        <v>7146</v>
      </c>
      <c r="I278" s="19" t="n">
        <v>1302</v>
      </c>
      <c r="J278" s="19" t="n">
        <v>2188</v>
      </c>
      <c r="K278" s="19" t="n">
        <v>0</v>
      </c>
      <c r="L278" s="19" t="n">
        <v>0</v>
      </c>
      <c r="M278" s="19" t="n">
        <v>0</v>
      </c>
      <c r="N278" s="19" t="n">
        <v>0</v>
      </c>
      <c r="O278" s="19" t="n">
        <v>3992</v>
      </c>
      <c r="P278" s="20" t="n">
        <f aca="false">IFERROR(O278/SUMIFS($O$160:$O$418,$D$160:$D$418,"&lt;&gt;Not Mapped"),0)</f>
        <v>0.00169709563678072</v>
      </c>
      <c r="Q278" s="21" t="s">
        <v>509</v>
      </c>
      <c r="R278" s="21"/>
      <c r="S278" s="21"/>
      <c r="T278" s="21"/>
    </row>
    <row r="279" customFormat="false" ht="114" hidden="false" customHeight="true" outlineLevel="0" collapsed="false">
      <c r="A279" s="18" t="s">
        <v>273</v>
      </c>
      <c r="B279" s="18" t="s">
        <v>274</v>
      </c>
      <c r="C279" s="18" t="s">
        <v>510</v>
      </c>
      <c r="D279" s="18" t="s">
        <v>315</v>
      </c>
      <c r="E279" s="18" t="s">
        <v>49</v>
      </c>
      <c r="F279" s="18" t="s">
        <v>280</v>
      </c>
      <c r="G279" s="19" t="n">
        <v>-1423</v>
      </c>
      <c r="H279" s="19" t="n">
        <v>3189</v>
      </c>
      <c r="I279" s="19" t="n">
        <v>0</v>
      </c>
      <c r="J279" s="19" t="n">
        <v>1771</v>
      </c>
      <c r="K279" s="19" t="n">
        <v>99</v>
      </c>
      <c r="L279" s="19" t="n">
        <v>0</v>
      </c>
      <c r="M279" s="19" t="n">
        <v>0</v>
      </c>
      <c r="N279" s="19" t="n">
        <v>0</v>
      </c>
      <c r="O279" s="19" t="n">
        <v>3636</v>
      </c>
      <c r="P279" s="20" t="n">
        <f aca="false">IFERROR(O279/SUMIFS($O$160:$O$418,$D$160:$D$418,"&lt;&gt;Not Mapped"),0)</f>
        <v>0.00154575143670709</v>
      </c>
      <c r="Q279" s="21" t="s">
        <v>511</v>
      </c>
      <c r="R279" s="21"/>
      <c r="S279" s="21"/>
      <c r="T279" s="21"/>
    </row>
    <row r="280" customFormat="false" ht="90" hidden="false" customHeight="true" outlineLevel="0" collapsed="false">
      <c r="A280" s="18" t="s">
        <v>273</v>
      </c>
      <c r="B280" s="18" t="s">
        <v>408</v>
      </c>
      <c r="C280" s="18" t="s">
        <v>512</v>
      </c>
      <c r="D280" s="18" t="s">
        <v>410</v>
      </c>
      <c r="E280" s="18" t="s">
        <v>302</v>
      </c>
      <c r="F280" s="18" t="s">
        <v>280</v>
      </c>
      <c r="G280" s="19" t="n">
        <v>632</v>
      </c>
      <c r="H280" s="19" t="n">
        <v>2776</v>
      </c>
      <c r="I280" s="19" t="n">
        <v>0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  <c r="O280" s="19" t="n">
        <v>3408</v>
      </c>
      <c r="P280" s="20" t="n">
        <f aca="false">IFERROR(O280/SUMIFS($O$160:$O$418,$D$160:$D$418,"&lt;&gt;Not Mapped"),0)</f>
        <v>0.00144882312879476</v>
      </c>
      <c r="Q280" s="21" t="s">
        <v>513</v>
      </c>
      <c r="R280" s="21"/>
      <c r="S280" s="21"/>
      <c r="T280" s="21"/>
    </row>
    <row r="281" customFormat="false" ht="66" hidden="false" customHeight="true" outlineLevel="0" collapsed="false">
      <c r="A281" s="18" t="s">
        <v>273</v>
      </c>
      <c r="B281" s="18" t="s">
        <v>458</v>
      </c>
      <c r="C281" s="18" t="s">
        <v>514</v>
      </c>
      <c r="D281" s="18" t="s">
        <v>460</v>
      </c>
      <c r="E281" s="18" t="s">
        <v>321</v>
      </c>
      <c r="F281" s="18" t="s">
        <v>280</v>
      </c>
      <c r="G281" s="19" t="n">
        <v>3322</v>
      </c>
      <c r="H281" s="19" t="n">
        <v>0</v>
      </c>
      <c r="I281" s="19" t="n">
        <v>0</v>
      </c>
      <c r="J281" s="19" t="n">
        <v>0</v>
      </c>
      <c r="K281" s="19" t="n">
        <v>70</v>
      </c>
      <c r="L281" s="19" t="n">
        <v>0</v>
      </c>
      <c r="M281" s="19" t="n">
        <v>0</v>
      </c>
      <c r="N281" s="19" t="n">
        <v>0</v>
      </c>
      <c r="O281" s="19" t="n">
        <v>3391</v>
      </c>
      <c r="P281" s="20" t="n">
        <f aca="false">IFERROR(O281/SUMIFS($O$160:$O$418,$D$160:$D$418,"&lt;&gt;Not Mapped"),0)</f>
        <v>0.00144159601811709</v>
      </c>
      <c r="Q281" s="21" t="s">
        <v>515</v>
      </c>
      <c r="R281" s="21"/>
      <c r="S281" s="21"/>
      <c r="T281" s="21"/>
    </row>
    <row r="282" customFormat="false" ht="66" hidden="false" customHeight="true" outlineLevel="0" collapsed="false">
      <c r="A282" s="18" t="s">
        <v>273</v>
      </c>
      <c r="B282" s="18" t="s">
        <v>274</v>
      </c>
      <c r="C282" s="18" t="s">
        <v>516</v>
      </c>
      <c r="D282" s="18" t="s">
        <v>320</v>
      </c>
      <c r="E282" s="18" t="s">
        <v>321</v>
      </c>
      <c r="F282" s="18" t="s">
        <v>280</v>
      </c>
      <c r="G282" s="19" t="n">
        <v>2986</v>
      </c>
      <c r="H282" s="19" t="n">
        <v>0</v>
      </c>
      <c r="I282" s="19" t="n">
        <v>0</v>
      </c>
      <c r="J282" s="19" t="n">
        <v>0</v>
      </c>
      <c r="K282" s="19" t="n">
        <v>144</v>
      </c>
      <c r="L282" s="19" t="n">
        <v>0</v>
      </c>
      <c r="M282" s="19" t="n">
        <v>0</v>
      </c>
      <c r="N282" s="19" t="n">
        <v>0</v>
      </c>
      <c r="O282" s="19" t="n">
        <v>3130</v>
      </c>
      <c r="P282" s="20" t="n">
        <f aca="false">IFERROR(O282/SUMIFS($O$160:$O$418,$D$160:$D$418,"&lt;&gt;Not Mapped"),0)</f>
        <v>0.00133063861300693</v>
      </c>
      <c r="Q282" s="21" t="s">
        <v>517</v>
      </c>
      <c r="R282" s="21"/>
      <c r="S282" s="21"/>
      <c r="T282" s="21"/>
    </row>
    <row r="283" customFormat="false" ht="78" hidden="false" customHeight="true" outlineLevel="0" collapsed="false">
      <c r="A283" s="18" t="s">
        <v>273</v>
      </c>
      <c r="B283" s="18" t="s">
        <v>274</v>
      </c>
      <c r="C283" s="18" t="s">
        <v>518</v>
      </c>
      <c r="D283" s="18" t="s">
        <v>315</v>
      </c>
      <c r="E283" s="18" t="s">
        <v>49</v>
      </c>
      <c r="F283" s="18" t="s">
        <v>280</v>
      </c>
      <c r="G283" s="19" t="n">
        <v>1551</v>
      </c>
      <c r="H283" s="19" t="n">
        <v>792</v>
      </c>
      <c r="I283" s="19" t="n">
        <v>0</v>
      </c>
      <c r="J283" s="19" t="n">
        <v>0</v>
      </c>
      <c r="K283" s="19" t="n">
        <v>426</v>
      </c>
      <c r="L283" s="19" t="n">
        <v>0</v>
      </c>
      <c r="M283" s="19" t="n">
        <v>0</v>
      </c>
      <c r="N283" s="19" t="n">
        <v>0</v>
      </c>
      <c r="O283" s="19" t="n">
        <v>2770</v>
      </c>
      <c r="P283" s="20" t="n">
        <f aca="false">IFERROR(O283/SUMIFS($O$160:$O$418,$D$160:$D$418,"&lt;&gt;Not Mapped"),0)</f>
        <v>0.00117759391630326</v>
      </c>
      <c r="Q283" s="21" t="s">
        <v>519</v>
      </c>
      <c r="R283" s="21"/>
      <c r="S283" s="21"/>
      <c r="T283" s="21"/>
    </row>
    <row r="284" customFormat="false" ht="114" hidden="false" customHeight="true" outlineLevel="0" collapsed="false">
      <c r="A284" s="18" t="s">
        <v>273</v>
      </c>
      <c r="B284" s="18" t="s">
        <v>274</v>
      </c>
      <c r="C284" s="18" t="s">
        <v>520</v>
      </c>
      <c r="D284" s="18" t="s">
        <v>48</v>
      </c>
      <c r="E284" s="18" t="s">
        <v>49</v>
      </c>
      <c r="F284" s="18" t="s">
        <v>280</v>
      </c>
      <c r="G284" s="19" t="n">
        <v>-17737</v>
      </c>
      <c r="H284" s="19" t="n">
        <v>18120</v>
      </c>
      <c r="I284" s="19" t="n">
        <v>166</v>
      </c>
      <c r="J284" s="19" t="n">
        <v>1924</v>
      </c>
      <c r="K284" s="19" t="n">
        <v>232</v>
      </c>
      <c r="L284" s="19" t="n">
        <v>0</v>
      </c>
      <c r="M284" s="19" t="n">
        <v>0</v>
      </c>
      <c r="N284" s="19" t="n">
        <v>0</v>
      </c>
      <c r="O284" s="19" t="n">
        <v>2706</v>
      </c>
      <c r="P284" s="20" t="n">
        <f aca="false">IFERROR(O284/SUMIFS($O$160:$O$418,$D$160:$D$418,"&lt;&gt;Not Mapped"),0)</f>
        <v>0.0011503859702226</v>
      </c>
      <c r="Q284" s="21" t="s">
        <v>521</v>
      </c>
      <c r="R284" s="21"/>
      <c r="S284" s="21"/>
      <c r="T284" s="21"/>
    </row>
    <row r="285" customFormat="false" ht="102" hidden="false" customHeight="true" outlineLevel="0" collapsed="false">
      <c r="A285" s="18" t="s">
        <v>273</v>
      </c>
      <c r="B285" s="18" t="s">
        <v>274</v>
      </c>
      <c r="C285" s="18" t="s">
        <v>522</v>
      </c>
      <c r="D285" s="18" t="s">
        <v>79</v>
      </c>
      <c r="E285" s="18" t="s">
        <v>80</v>
      </c>
      <c r="F285" s="18" t="s">
        <v>280</v>
      </c>
      <c r="G285" s="19" t="n">
        <v>-5301</v>
      </c>
      <c r="H285" s="19" t="n">
        <v>7662</v>
      </c>
      <c r="I285" s="19" t="n">
        <v>0</v>
      </c>
      <c r="J285" s="19" t="n">
        <v>98</v>
      </c>
      <c r="K285" s="19" t="n">
        <v>222</v>
      </c>
      <c r="L285" s="19" t="n">
        <v>0</v>
      </c>
      <c r="M285" s="19" t="n">
        <v>0</v>
      </c>
      <c r="N285" s="19" t="n">
        <v>0</v>
      </c>
      <c r="O285" s="19" t="n">
        <v>2681</v>
      </c>
      <c r="P285" s="20" t="n">
        <f aca="false">IFERROR(O285/SUMIFS($O$160:$O$418,$D$160:$D$418,"&lt;&gt;Not Mapped"),0)</f>
        <v>0.00113975786628485</v>
      </c>
      <c r="Q285" s="21" t="s">
        <v>523</v>
      </c>
      <c r="R285" s="21"/>
      <c r="S285" s="21"/>
      <c r="T285" s="21"/>
    </row>
    <row r="286" customFormat="false" ht="78" hidden="false" customHeight="true" outlineLevel="0" collapsed="false">
      <c r="A286" s="18" t="s">
        <v>273</v>
      </c>
      <c r="B286" s="18" t="s">
        <v>274</v>
      </c>
      <c r="C286" s="18" t="s">
        <v>524</v>
      </c>
      <c r="D286" s="18" t="s">
        <v>351</v>
      </c>
      <c r="E286" s="18" t="s">
        <v>44</v>
      </c>
      <c r="F286" s="18" t="s">
        <v>280</v>
      </c>
      <c r="G286" s="19" t="n">
        <v>1510</v>
      </c>
      <c r="H286" s="19" t="n">
        <v>33</v>
      </c>
      <c r="I286" s="19" t="n">
        <v>38</v>
      </c>
      <c r="J286" s="19" t="n">
        <v>94</v>
      </c>
      <c r="K286" s="19" t="n">
        <v>658</v>
      </c>
      <c r="L286" s="19" t="n">
        <v>0</v>
      </c>
      <c r="M286" s="19" t="n">
        <v>0</v>
      </c>
      <c r="N286" s="19" t="n">
        <v>0</v>
      </c>
      <c r="O286" s="19" t="n">
        <v>2332</v>
      </c>
      <c r="P286" s="20" t="n">
        <f aca="false">IFERROR(O286/SUMIFS($O$160:$O$418,$D$160:$D$418,"&lt;&gt;Not Mapped"),0)</f>
        <v>0.000991389535313788</v>
      </c>
      <c r="Q286" s="21" t="s">
        <v>525</v>
      </c>
      <c r="R286" s="21"/>
      <c r="S286" s="21"/>
      <c r="T286" s="21"/>
    </row>
    <row r="287" customFormat="false" ht="78" hidden="false" customHeight="true" outlineLevel="0" collapsed="false">
      <c r="A287" s="18" t="s">
        <v>273</v>
      </c>
      <c r="B287" s="18" t="s">
        <v>526</v>
      </c>
      <c r="C287" s="18" t="s">
        <v>527</v>
      </c>
      <c r="D287" s="18" t="s">
        <v>351</v>
      </c>
      <c r="E287" s="18" t="s">
        <v>44</v>
      </c>
      <c r="F287" s="18" t="s">
        <v>280</v>
      </c>
      <c r="G287" s="19" t="n">
        <v>1775</v>
      </c>
      <c r="H287" s="19" t="n">
        <v>511</v>
      </c>
      <c r="I287" s="19" t="n">
        <v>0</v>
      </c>
      <c r="J287" s="19" t="n">
        <v>0</v>
      </c>
      <c r="K287" s="19" t="n">
        <v>0</v>
      </c>
      <c r="L287" s="19" t="n">
        <v>0</v>
      </c>
      <c r="M287" s="19" t="n">
        <v>0</v>
      </c>
      <c r="N287" s="19" t="n">
        <v>0</v>
      </c>
      <c r="O287" s="19" t="n">
        <v>2287</v>
      </c>
      <c r="P287" s="20" t="n">
        <f aca="false">IFERROR(O287/SUMIFS($O$160:$O$418,$D$160:$D$418,"&lt;&gt;Not Mapped"),0)</f>
        <v>0.000972258948225829</v>
      </c>
      <c r="Q287" s="21" t="s">
        <v>528</v>
      </c>
      <c r="R287" s="21"/>
      <c r="S287" s="21"/>
      <c r="T287" s="21"/>
    </row>
    <row r="288" customFormat="false" ht="102" hidden="false" customHeight="true" outlineLevel="0" collapsed="false">
      <c r="A288" s="18" t="s">
        <v>273</v>
      </c>
      <c r="B288" s="18" t="s">
        <v>274</v>
      </c>
      <c r="C288" s="18" t="s">
        <v>253</v>
      </c>
      <c r="D288" s="18" t="s">
        <v>481</v>
      </c>
      <c r="E288" s="18" t="s">
        <v>297</v>
      </c>
      <c r="F288" s="18" t="s">
        <v>280</v>
      </c>
      <c r="G288" s="19" t="n">
        <v>-1992</v>
      </c>
      <c r="H288" s="19" t="n">
        <v>3967</v>
      </c>
      <c r="I288" s="19" t="n">
        <v>0</v>
      </c>
      <c r="J288" s="19" t="n">
        <v>0</v>
      </c>
      <c r="K288" s="19" t="n">
        <v>0</v>
      </c>
      <c r="L288" s="19" t="n">
        <v>0</v>
      </c>
      <c r="M288" s="19" t="n">
        <v>0</v>
      </c>
      <c r="N288" s="19" t="n">
        <v>0</v>
      </c>
      <c r="O288" s="19" t="n">
        <v>1975</v>
      </c>
      <c r="P288" s="20" t="n">
        <f aca="false">IFERROR(O288/SUMIFS($O$160:$O$418,$D$160:$D$418,"&lt;&gt;Not Mapped"),0)</f>
        <v>0.000839620211082647</v>
      </c>
      <c r="Q288" s="21" t="s">
        <v>529</v>
      </c>
      <c r="R288" s="21"/>
      <c r="S288" s="21"/>
      <c r="T288" s="21" t="s">
        <v>530</v>
      </c>
    </row>
    <row r="289" customFormat="false" ht="102" hidden="false" customHeight="true" outlineLevel="0" collapsed="false">
      <c r="A289" s="18" t="s">
        <v>273</v>
      </c>
      <c r="B289" s="18" t="s">
        <v>274</v>
      </c>
      <c r="C289" s="18" t="s">
        <v>531</v>
      </c>
      <c r="D289" s="18" t="s">
        <v>61</v>
      </c>
      <c r="E289" s="18" t="s">
        <v>54</v>
      </c>
      <c r="F289" s="18" t="s">
        <v>280</v>
      </c>
      <c r="G289" s="19" t="n">
        <v>-5011</v>
      </c>
      <c r="H289" s="19" t="n">
        <v>6387</v>
      </c>
      <c r="I289" s="19" t="n">
        <v>0</v>
      </c>
      <c r="J289" s="19" t="n">
        <v>0</v>
      </c>
      <c r="K289" s="19" t="n">
        <v>441</v>
      </c>
      <c r="L289" s="19" t="n">
        <v>0</v>
      </c>
      <c r="M289" s="19" t="n">
        <v>0</v>
      </c>
      <c r="N289" s="19" t="n">
        <v>0</v>
      </c>
      <c r="O289" s="19" t="n">
        <v>1817</v>
      </c>
      <c r="P289" s="20" t="n">
        <f aca="false">IFERROR(O289/SUMIFS($O$160:$O$418,$D$160:$D$418,"&lt;&gt;Not Mapped"),0)</f>
        <v>0.000772450594196035</v>
      </c>
      <c r="Q289" s="21" t="s">
        <v>532</v>
      </c>
      <c r="R289" s="21"/>
      <c r="S289" s="21"/>
      <c r="T289" s="21"/>
    </row>
    <row r="290" customFormat="false" ht="90" hidden="false" customHeight="true" outlineLevel="0" collapsed="false">
      <c r="A290" s="18" t="s">
        <v>273</v>
      </c>
      <c r="B290" s="18" t="s">
        <v>274</v>
      </c>
      <c r="C290" s="18" t="s">
        <v>533</v>
      </c>
      <c r="D290" s="18" t="s">
        <v>35</v>
      </c>
      <c r="E290" s="18" t="s">
        <v>36</v>
      </c>
      <c r="F290" s="18" t="s">
        <v>275</v>
      </c>
      <c r="G290" s="19" t="n">
        <v>-20840</v>
      </c>
      <c r="H290" s="19" t="n">
        <v>22589</v>
      </c>
      <c r="I290" s="19" t="n">
        <v>0</v>
      </c>
      <c r="J290" s="19" t="n">
        <v>0</v>
      </c>
      <c r="K290" s="19" t="n">
        <v>33</v>
      </c>
      <c r="L290" s="19" t="n">
        <v>0</v>
      </c>
      <c r="M290" s="19" t="n">
        <v>0</v>
      </c>
      <c r="N290" s="19" t="n">
        <v>0</v>
      </c>
      <c r="O290" s="19" t="n">
        <v>1782</v>
      </c>
      <c r="P290" s="20" t="n">
        <f aca="false">IFERROR(O290/SUMIFS($O$160:$O$418,$D$160:$D$418,"&lt;&gt;Not Mapped"),0)</f>
        <v>0.000757571248683178</v>
      </c>
      <c r="Q290" s="21" t="s">
        <v>534</v>
      </c>
      <c r="R290" s="21"/>
      <c r="S290" s="21"/>
      <c r="T290" s="21"/>
    </row>
    <row r="291" customFormat="false" ht="102" hidden="false" customHeight="true" outlineLevel="0" collapsed="false">
      <c r="A291" s="18" t="s">
        <v>273</v>
      </c>
      <c r="B291" s="18" t="s">
        <v>486</v>
      </c>
      <c r="C291" s="18" t="s">
        <v>535</v>
      </c>
      <c r="D291" s="18" t="s">
        <v>488</v>
      </c>
      <c r="E291" s="18" t="s">
        <v>321</v>
      </c>
      <c r="F291" s="18" t="s">
        <v>280</v>
      </c>
      <c r="G291" s="19" t="n">
        <v>-3148</v>
      </c>
      <c r="H291" s="19" t="n">
        <v>4674</v>
      </c>
      <c r="I291" s="19" t="n">
        <v>0</v>
      </c>
      <c r="J291" s="19" t="n">
        <v>0</v>
      </c>
      <c r="K291" s="19" t="n">
        <v>176</v>
      </c>
      <c r="L291" s="19" t="n">
        <v>0</v>
      </c>
      <c r="M291" s="19" t="n">
        <v>0</v>
      </c>
      <c r="N291" s="19" t="n">
        <v>0</v>
      </c>
      <c r="O291" s="19" t="n">
        <v>1702</v>
      </c>
      <c r="P291" s="20" t="n">
        <f aca="false">IFERROR(O291/SUMIFS($O$160:$O$418,$D$160:$D$418,"&lt;&gt;Not Mapped"),0)</f>
        <v>0.000723561316082362</v>
      </c>
      <c r="Q291" s="21" t="s">
        <v>536</v>
      </c>
      <c r="R291" s="21"/>
      <c r="S291" s="21"/>
      <c r="T291" s="21"/>
    </row>
    <row r="292" customFormat="false" ht="102" hidden="false" customHeight="true" outlineLevel="0" collapsed="false">
      <c r="A292" s="18" t="s">
        <v>273</v>
      </c>
      <c r="B292" s="18" t="s">
        <v>274</v>
      </c>
      <c r="C292" s="18" t="s">
        <v>537</v>
      </c>
      <c r="D292" s="18" t="s">
        <v>61</v>
      </c>
      <c r="E292" s="18" t="s">
        <v>54</v>
      </c>
      <c r="F292" s="18" t="s">
        <v>280</v>
      </c>
      <c r="G292" s="19" t="n">
        <v>-9935</v>
      </c>
      <c r="H292" s="19" t="n">
        <v>4383</v>
      </c>
      <c r="I292" s="19" t="n">
        <v>0</v>
      </c>
      <c r="J292" s="19" t="n">
        <v>2991</v>
      </c>
      <c r="K292" s="19" t="n">
        <v>339</v>
      </c>
      <c r="L292" s="19" t="n">
        <v>0</v>
      </c>
      <c r="M292" s="19" t="n">
        <v>3750</v>
      </c>
      <c r="N292" s="19" t="n">
        <v>0</v>
      </c>
      <c r="O292" s="19" t="n">
        <v>1528</v>
      </c>
      <c r="P292" s="20" t="n">
        <f aca="false">IFERROR(O292/SUMIFS($O$160:$O$418,$D$160:$D$418,"&lt;&gt;Not Mapped"),0)</f>
        <v>0.000649589712675587</v>
      </c>
      <c r="Q292" s="21" t="s">
        <v>538</v>
      </c>
      <c r="R292" s="21"/>
      <c r="S292" s="21"/>
      <c r="T292" s="21"/>
    </row>
    <row r="293" customFormat="false" ht="102" hidden="false" customHeight="true" outlineLevel="0" collapsed="false">
      <c r="A293" s="18" t="s">
        <v>273</v>
      </c>
      <c r="B293" s="18" t="s">
        <v>274</v>
      </c>
      <c r="C293" s="18" t="s">
        <v>539</v>
      </c>
      <c r="D293" s="18" t="s">
        <v>35</v>
      </c>
      <c r="E293" s="18" t="s">
        <v>36</v>
      </c>
      <c r="F293" s="18" t="s">
        <v>275</v>
      </c>
      <c r="G293" s="19" t="n">
        <v>-10421</v>
      </c>
      <c r="H293" s="19" t="n">
        <v>11277</v>
      </c>
      <c r="I293" s="19" t="n">
        <v>0</v>
      </c>
      <c r="J293" s="19" t="n">
        <v>0</v>
      </c>
      <c r="K293" s="19" t="n">
        <v>236</v>
      </c>
      <c r="L293" s="19" t="n">
        <v>0</v>
      </c>
      <c r="M293" s="19" t="n">
        <v>0</v>
      </c>
      <c r="N293" s="19" t="n">
        <v>0</v>
      </c>
      <c r="O293" s="19" t="n">
        <v>1092</v>
      </c>
      <c r="P293" s="20" t="n">
        <f aca="false">IFERROR(O293/SUMIFS($O$160:$O$418,$D$160:$D$418,"&lt;&gt;Not Mapped"),0)</f>
        <v>0.000464235580001139</v>
      </c>
      <c r="Q293" s="21" t="s">
        <v>540</v>
      </c>
      <c r="R293" s="21"/>
      <c r="S293" s="21"/>
      <c r="T293" s="21"/>
    </row>
    <row r="294" customFormat="false" ht="90" hidden="false" customHeight="true" outlineLevel="0" collapsed="false">
      <c r="A294" s="18" t="s">
        <v>273</v>
      </c>
      <c r="B294" s="18" t="s">
        <v>408</v>
      </c>
      <c r="C294" s="18" t="s">
        <v>541</v>
      </c>
      <c r="D294" s="18" t="s">
        <v>410</v>
      </c>
      <c r="E294" s="18" t="s">
        <v>302</v>
      </c>
      <c r="F294" s="18" t="s">
        <v>280</v>
      </c>
      <c r="G294" s="19" t="n">
        <v>-334</v>
      </c>
      <c r="H294" s="19" t="n">
        <v>1200</v>
      </c>
      <c r="I294" s="19" t="n">
        <v>0</v>
      </c>
      <c r="J294" s="19" t="n">
        <v>183</v>
      </c>
      <c r="K294" s="19" t="n">
        <v>0</v>
      </c>
      <c r="L294" s="19" t="n">
        <v>0</v>
      </c>
      <c r="M294" s="19" t="n">
        <v>0</v>
      </c>
      <c r="N294" s="19" t="n">
        <v>0</v>
      </c>
      <c r="O294" s="19" t="n">
        <v>1049</v>
      </c>
      <c r="P294" s="20" t="n">
        <f aca="false">IFERROR(O294/SUMIFS($O$160:$O$418,$D$160:$D$418,"&lt;&gt;Not Mapped"),0)</f>
        <v>0.000445955241228201</v>
      </c>
      <c r="Q294" s="21" t="s">
        <v>542</v>
      </c>
      <c r="R294" s="21"/>
      <c r="S294" s="21"/>
      <c r="T294" s="21"/>
    </row>
    <row r="295" customFormat="false" ht="102" hidden="false" customHeight="true" outlineLevel="0" collapsed="false">
      <c r="A295" s="18" t="s">
        <v>273</v>
      </c>
      <c r="B295" s="18" t="s">
        <v>274</v>
      </c>
      <c r="C295" s="18" t="s">
        <v>543</v>
      </c>
      <c r="D295" s="18" t="s">
        <v>309</v>
      </c>
      <c r="E295" s="18" t="s">
        <v>80</v>
      </c>
      <c r="F295" s="18" t="s">
        <v>280</v>
      </c>
      <c r="G295" s="19" t="n">
        <v>-5128</v>
      </c>
      <c r="H295" s="19" t="n">
        <v>2653</v>
      </c>
      <c r="I295" s="19" t="n">
        <v>2490</v>
      </c>
      <c r="J295" s="19" t="n">
        <v>0</v>
      </c>
      <c r="K295" s="19" t="n">
        <v>391</v>
      </c>
      <c r="L295" s="19" t="n">
        <v>0</v>
      </c>
      <c r="M295" s="19" t="n">
        <v>305</v>
      </c>
      <c r="N295" s="19" t="n">
        <v>0</v>
      </c>
      <c r="O295" s="19" t="n">
        <v>711</v>
      </c>
      <c r="P295" s="20" t="n">
        <f aca="false">IFERROR(O295/SUMIFS($O$160:$O$418,$D$160:$D$418,"&lt;&gt;Not Mapped"),0)</f>
        <v>0.000302263275989753</v>
      </c>
      <c r="Q295" s="21" t="s">
        <v>544</v>
      </c>
      <c r="R295" s="21"/>
      <c r="S295" s="21"/>
      <c r="T295" s="21"/>
    </row>
    <row r="296" customFormat="false" ht="54" hidden="false" customHeight="true" outlineLevel="0" collapsed="false">
      <c r="A296" s="18" t="s">
        <v>273</v>
      </c>
      <c r="B296" s="18" t="s">
        <v>274</v>
      </c>
      <c r="C296" s="18" t="s">
        <v>545</v>
      </c>
      <c r="D296" s="18" t="s">
        <v>546</v>
      </c>
      <c r="E296" s="18" t="s">
        <v>546</v>
      </c>
      <c r="F296" s="18" t="s">
        <v>280</v>
      </c>
      <c r="G296" s="19" t="n">
        <v>320</v>
      </c>
      <c r="H296" s="19" t="n">
        <v>0</v>
      </c>
      <c r="I296" s="19" t="n">
        <v>0</v>
      </c>
      <c r="J296" s="19" t="n">
        <v>370</v>
      </c>
      <c r="K296" s="19" t="n">
        <v>0</v>
      </c>
      <c r="L296" s="19" t="n">
        <v>0</v>
      </c>
      <c r="M296" s="19" t="n">
        <v>0</v>
      </c>
      <c r="N296" s="19" t="n">
        <v>0</v>
      </c>
      <c r="O296" s="19" t="n">
        <v>690</v>
      </c>
      <c r="P296" s="20" t="n">
        <f aca="false">IFERROR(O296/SUMIFS($O$160:$O$418,$D$160:$D$418,"&lt;&gt;Not Mapped"),0)</f>
        <v>0.000293335668682039</v>
      </c>
      <c r="Q296" s="21" t="s">
        <v>547</v>
      </c>
      <c r="R296" s="21"/>
      <c r="S296" s="21"/>
      <c r="T296" s="21"/>
    </row>
    <row r="297" customFormat="false" ht="102" hidden="false" customHeight="true" outlineLevel="0" collapsed="false">
      <c r="A297" s="18" t="s">
        <v>273</v>
      </c>
      <c r="B297" s="18" t="s">
        <v>274</v>
      </c>
      <c r="C297" s="18" t="s">
        <v>548</v>
      </c>
      <c r="D297" s="18" t="s">
        <v>35</v>
      </c>
      <c r="E297" s="18" t="s">
        <v>36</v>
      </c>
      <c r="F297" s="18" t="s">
        <v>275</v>
      </c>
      <c r="G297" s="19" t="n">
        <v>-6715</v>
      </c>
      <c r="H297" s="19" t="n">
        <v>0</v>
      </c>
      <c r="I297" s="19" t="n">
        <v>0</v>
      </c>
      <c r="J297" s="19" t="n">
        <v>0</v>
      </c>
      <c r="K297" s="19" t="n">
        <v>7318</v>
      </c>
      <c r="L297" s="19" t="n">
        <v>0</v>
      </c>
      <c r="M297" s="19" t="n">
        <v>0</v>
      </c>
      <c r="N297" s="19" t="n">
        <v>0</v>
      </c>
      <c r="O297" s="19" t="n">
        <v>603</v>
      </c>
      <c r="P297" s="20" t="n">
        <f aca="false">IFERROR(O297/SUMIFS($O$160:$O$418,$D$160:$D$418,"&lt;&gt;Not Mapped"),0)</f>
        <v>0.000256349866978651</v>
      </c>
      <c r="Q297" s="21" t="s">
        <v>549</v>
      </c>
      <c r="R297" s="21"/>
      <c r="S297" s="21"/>
      <c r="T297" s="21"/>
    </row>
    <row r="298" customFormat="false" ht="114" hidden="false" customHeight="true" outlineLevel="0" collapsed="false">
      <c r="A298" s="18" t="s">
        <v>273</v>
      </c>
      <c r="B298" s="18" t="s">
        <v>274</v>
      </c>
      <c r="C298" s="18" t="s">
        <v>550</v>
      </c>
      <c r="D298" s="18" t="s">
        <v>35</v>
      </c>
      <c r="E298" s="18" t="s">
        <v>36</v>
      </c>
      <c r="F298" s="18" t="s">
        <v>275</v>
      </c>
      <c r="G298" s="19" t="n">
        <v>-6193</v>
      </c>
      <c r="H298" s="19" t="n">
        <v>4717</v>
      </c>
      <c r="I298" s="19" t="n">
        <v>0</v>
      </c>
      <c r="J298" s="19" t="n">
        <v>0</v>
      </c>
      <c r="K298" s="19" t="n">
        <v>1988</v>
      </c>
      <c r="L298" s="19" t="n">
        <v>0</v>
      </c>
      <c r="M298" s="19" t="n">
        <v>0</v>
      </c>
      <c r="N298" s="19" t="n">
        <v>0</v>
      </c>
      <c r="O298" s="19" t="n">
        <v>513</v>
      </c>
      <c r="P298" s="20" t="n">
        <f aca="false">IFERROR(O298/SUMIFS($O$160:$O$418,$D$160:$D$418,"&lt;&gt;Not Mapped"),0)</f>
        <v>0.000218088692802733</v>
      </c>
      <c r="Q298" s="21" t="s">
        <v>551</v>
      </c>
      <c r="R298" s="21"/>
      <c r="S298" s="21"/>
      <c r="T298" s="21"/>
    </row>
    <row r="299" customFormat="false" ht="66" hidden="false" customHeight="true" outlineLevel="0" collapsed="false">
      <c r="A299" s="18" t="s">
        <v>273</v>
      </c>
      <c r="B299" s="18" t="s">
        <v>458</v>
      </c>
      <c r="C299" s="18" t="s">
        <v>552</v>
      </c>
      <c r="D299" s="18" t="s">
        <v>460</v>
      </c>
      <c r="E299" s="18" t="s">
        <v>321</v>
      </c>
      <c r="F299" s="18" t="s">
        <v>280</v>
      </c>
      <c r="G299" s="19" t="n">
        <v>-15</v>
      </c>
      <c r="H299" s="19" t="n">
        <v>415</v>
      </c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0</v>
      </c>
      <c r="O299" s="19" t="n">
        <v>400</v>
      </c>
      <c r="P299" s="20" t="n">
        <f aca="false">IFERROR(O299/SUMIFS($O$160:$O$418,$D$160:$D$418,"&lt;&gt;Not Mapped"),0)</f>
        <v>0.00017004966300408</v>
      </c>
      <c r="Q299" s="21" t="s">
        <v>553</v>
      </c>
      <c r="R299" s="21"/>
      <c r="S299" s="21"/>
      <c r="T299" s="21"/>
    </row>
    <row r="300" customFormat="false" ht="78" hidden="false" customHeight="true" outlineLevel="0" collapsed="false">
      <c r="A300" s="18" t="s">
        <v>273</v>
      </c>
      <c r="B300" s="18" t="s">
        <v>458</v>
      </c>
      <c r="C300" s="18" t="s">
        <v>554</v>
      </c>
      <c r="D300" s="18" t="s">
        <v>460</v>
      </c>
      <c r="E300" s="18" t="s">
        <v>321</v>
      </c>
      <c r="F300" s="18" t="s">
        <v>280</v>
      </c>
      <c r="G300" s="19" t="n">
        <v>-292</v>
      </c>
      <c r="H300" s="19" t="n">
        <v>449</v>
      </c>
      <c r="I300" s="19" t="n">
        <v>0</v>
      </c>
      <c r="J300" s="19" t="n">
        <v>0</v>
      </c>
      <c r="K300" s="19" t="n">
        <v>8</v>
      </c>
      <c r="L300" s="19" t="n">
        <v>0</v>
      </c>
      <c r="M300" s="19" t="n">
        <v>0</v>
      </c>
      <c r="N300" s="19" t="n">
        <v>19</v>
      </c>
      <c r="O300" s="19" t="n">
        <v>184</v>
      </c>
      <c r="P300" s="20" t="n">
        <f aca="false">IFERROR(O300/SUMIFS($O$160:$O$418,$D$160:$D$418,"&lt;&gt;Not Mapped"),0)</f>
        <v>7.8222844981877E-005</v>
      </c>
      <c r="Q300" s="21" t="s">
        <v>555</v>
      </c>
      <c r="R300" s="21"/>
      <c r="S300" s="21"/>
      <c r="T300" s="21"/>
    </row>
    <row r="301" customFormat="false" ht="114" hidden="false" customHeight="true" outlineLevel="0" collapsed="false">
      <c r="A301" s="18" t="s">
        <v>273</v>
      </c>
      <c r="B301" s="18" t="s">
        <v>274</v>
      </c>
      <c r="C301" s="18" t="s">
        <v>556</v>
      </c>
      <c r="D301" s="18" t="s">
        <v>315</v>
      </c>
      <c r="E301" s="18" t="s">
        <v>49</v>
      </c>
      <c r="F301" s="18" t="s">
        <v>280</v>
      </c>
      <c r="G301" s="19" t="n">
        <v>-2276</v>
      </c>
      <c r="H301" s="19" t="n">
        <v>645</v>
      </c>
      <c r="I301" s="19" t="n">
        <v>786</v>
      </c>
      <c r="J301" s="19" t="n">
        <v>0</v>
      </c>
      <c r="K301" s="19" t="n">
        <v>1011</v>
      </c>
      <c r="L301" s="19" t="n">
        <v>0</v>
      </c>
      <c r="M301" s="19" t="n">
        <v>0</v>
      </c>
      <c r="N301" s="19" t="n">
        <v>0</v>
      </c>
      <c r="O301" s="19" t="n">
        <v>166</v>
      </c>
      <c r="P301" s="20" t="n">
        <f aca="false">IFERROR(O301/SUMIFS($O$160:$O$418,$D$160:$D$418,"&lt;&gt;Not Mapped"),0)</f>
        <v>7.05706101466933E-005</v>
      </c>
      <c r="Q301" s="21" t="s">
        <v>557</v>
      </c>
      <c r="R301" s="21"/>
      <c r="S301" s="21"/>
      <c r="T301" s="21"/>
    </row>
    <row r="302" customFormat="false" ht="102" hidden="false" customHeight="true" outlineLevel="0" collapsed="false">
      <c r="A302" s="18" t="s">
        <v>273</v>
      </c>
      <c r="B302" s="18" t="s">
        <v>274</v>
      </c>
      <c r="C302" s="18" t="s">
        <v>558</v>
      </c>
      <c r="D302" s="18" t="s">
        <v>309</v>
      </c>
      <c r="E302" s="18" t="s">
        <v>80</v>
      </c>
      <c r="F302" s="18" t="s">
        <v>280</v>
      </c>
      <c r="G302" s="19" t="n">
        <v>-22635</v>
      </c>
      <c r="H302" s="19" t="n">
        <v>11072</v>
      </c>
      <c r="I302" s="19" t="n">
        <v>0</v>
      </c>
      <c r="J302" s="19" t="n">
        <v>9255</v>
      </c>
      <c r="K302" s="19" t="n">
        <v>2172</v>
      </c>
      <c r="L302" s="19" t="n">
        <v>0</v>
      </c>
      <c r="M302" s="19" t="n">
        <v>170</v>
      </c>
      <c r="N302" s="19" t="n">
        <v>0</v>
      </c>
      <c r="O302" s="19" t="n">
        <v>34</v>
      </c>
      <c r="P302" s="20" t="n">
        <f aca="false">IFERROR(O302/SUMIFS($O$160:$O$418,$D$160:$D$418,"&lt;&gt;Not Mapped"),0)</f>
        <v>1.44542213553468E-005</v>
      </c>
      <c r="Q302" s="21" t="s">
        <v>559</v>
      </c>
      <c r="R302" s="21"/>
      <c r="S302" s="21"/>
      <c r="T302" s="21"/>
    </row>
    <row r="303" customFormat="false" ht="30" hidden="false" customHeight="true" outlineLevel="0" collapsed="false">
      <c r="A303" s="18" t="s">
        <v>273</v>
      </c>
      <c r="B303" s="18" t="s">
        <v>274</v>
      </c>
      <c r="C303" s="18" t="s">
        <v>560</v>
      </c>
      <c r="D303" s="18" t="s">
        <v>309</v>
      </c>
      <c r="E303" s="18" t="s">
        <v>80</v>
      </c>
      <c r="F303" s="18" t="s">
        <v>280</v>
      </c>
      <c r="G303" s="19" t="n">
        <v>0</v>
      </c>
      <c r="H303" s="19" t="n">
        <v>0</v>
      </c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0</v>
      </c>
      <c r="O303" s="19" t="n">
        <v>0</v>
      </c>
      <c r="P303" s="20" t="n">
        <f aca="false">IFERROR(O303/SUMIFS($O$160:$O$418,$D$160:$D$418,"&lt;&gt;Not Mapped"),0)</f>
        <v>0</v>
      </c>
      <c r="Q303" s="21" t="s">
        <v>561</v>
      </c>
      <c r="R303" s="21"/>
      <c r="S303" s="21"/>
      <c r="T303" s="21"/>
    </row>
    <row r="304" customFormat="false" ht="30" hidden="false" customHeight="true" outlineLevel="0" collapsed="false">
      <c r="A304" s="18" t="s">
        <v>273</v>
      </c>
      <c r="B304" s="18" t="s">
        <v>274</v>
      </c>
      <c r="C304" s="18" t="s">
        <v>562</v>
      </c>
      <c r="D304" s="18" t="s">
        <v>351</v>
      </c>
      <c r="E304" s="18" t="s">
        <v>44</v>
      </c>
      <c r="F304" s="18" t="s">
        <v>280</v>
      </c>
      <c r="G304" s="19" t="n">
        <v>0</v>
      </c>
      <c r="H304" s="19" t="n">
        <v>0</v>
      </c>
      <c r="I304" s="19" t="n">
        <v>0</v>
      </c>
      <c r="J304" s="19" t="n">
        <v>0</v>
      </c>
      <c r="K304" s="19" t="n">
        <v>0</v>
      </c>
      <c r="L304" s="19" t="n">
        <v>0</v>
      </c>
      <c r="M304" s="19" t="n">
        <v>0</v>
      </c>
      <c r="N304" s="19" t="n">
        <v>0</v>
      </c>
      <c r="O304" s="19" t="n">
        <v>0</v>
      </c>
      <c r="P304" s="20" t="n">
        <f aca="false">IFERROR(O304/SUMIFS($O$160:$O$418,$D$160:$D$418,"&lt;&gt;Not Mapped"),0)</f>
        <v>0</v>
      </c>
      <c r="Q304" s="21" t="s">
        <v>561</v>
      </c>
      <c r="R304" s="21"/>
      <c r="S304" s="21"/>
      <c r="T304" s="21"/>
    </row>
    <row r="305" customFormat="false" ht="30" hidden="false" customHeight="true" outlineLevel="0" collapsed="false">
      <c r="A305" s="18" t="s">
        <v>273</v>
      </c>
      <c r="B305" s="18" t="s">
        <v>274</v>
      </c>
      <c r="C305" s="18" t="s">
        <v>563</v>
      </c>
      <c r="D305" s="18" t="s">
        <v>35</v>
      </c>
      <c r="E305" s="18" t="s">
        <v>36</v>
      </c>
      <c r="F305" s="18" t="s">
        <v>275</v>
      </c>
      <c r="G305" s="19" t="n">
        <v>0</v>
      </c>
      <c r="H305" s="19" t="n">
        <v>0</v>
      </c>
      <c r="I305" s="19" t="n">
        <v>0</v>
      </c>
      <c r="J305" s="19" t="n">
        <v>0</v>
      </c>
      <c r="K305" s="19" t="n">
        <v>0</v>
      </c>
      <c r="L305" s="19" t="n">
        <v>0</v>
      </c>
      <c r="M305" s="19" t="n">
        <v>0</v>
      </c>
      <c r="N305" s="19" t="n">
        <v>0</v>
      </c>
      <c r="O305" s="19" t="n">
        <v>0</v>
      </c>
      <c r="P305" s="20" t="n">
        <f aca="false">IFERROR(O305/SUMIFS($O$160:$O$418,$D$160:$D$418,"&lt;&gt;Not Mapped"),0)</f>
        <v>0</v>
      </c>
      <c r="Q305" s="21" t="s">
        <v>561</v>
      </c>
      <c r="R305" s="21"/>
      <c r="S305" s="21"/>
      <c r="T305" s="21"/>
    </row>
    <row r="306" customFormat="false" ht="30" hidden="false" customHeight="true" outlineLevel="0" collapsed="false">
      <c r="A306" s="18" t="s">
        <v>273</v>
      </c>
      <c r="B306" s="18" t="s">
        <v>274</v>
      </c>
      <c r="C306" s="18" t="s">
        <v>564</v>
      </c>
      <c r="D306" s="18" t="s">
        <v>565</v>
      </c>
      <c r="E306" s="18" t="s">
        <v>565</v>
      </c>
      <c r="F306" s="18" t="s">
        <v>280</v>
      </c>
      <c r="G306" s="19" t="n">
        <v>0</v>
      </c>
      <c r="H306" s="19" t="n">
        <v>0</v>
      </c>
      <c r="I306" s="19" t="n">
        <v>0</v>
      </c>
      <c r="J306" s="19" t="n">
        <v>0</v>
      </c>
      <c r="K306" s="19" t="n">
        <v>0</v>
      </c>
      <c r="L306" s="19" t="n">
        <v>0</v>
      </c>
      <c r="M306" s="19" t="n">
        <v>0</v>
      </c>
      <c r="N306" s="19" t="n">
        <v>0</v>
      </c>
      <c r="O306" s="19" t="n">
        <v>0</v>
      </c>
      <c r="P306" s="20" t="n">
        <f aca="false">IFERROR(O306/SUMIFS($O$160:$O$418,$D$160:$D$418,"&lt;&gt;Not Mapped"),0)</f>
        <v>0</v>
      </c>
      <c r="Q306" s="21" t="s">
        <v>561</v>
      </c>
      <c r="R306" s="21"/>
      <c r="S306" s="21"/>
      <c r="T306" s="21"/>
    </row>
    <row r="307" customFormat="false" ht="30" hidden="false" customHeight="true" outlineLevel="0" collapsed="false">
      <c r="A307" s="18" t="s">
        <v>273</v>
      </c>
      <c r="B307" s="18" t="s">
        <v>274</v>
      </c>
      <c r="C307" s="18" t="s">
        <v>566</v>
      </c>
      <c r="D307" s="18" t="s">
        <v>565</v>
      </c>
      <c r="E307" s="18" t="s">
        <v>565</v>
      </c>
      <c r="F307" s="18" t="s">
        <v>280</v>
      </c>
      <c r="G307" s="19" t="n">
        <v>0</v>
      </c>
      <c r="H307" s="19" t="n">
        <v>0</v>
      </c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0</v>
      </c>
      <c r="O307" s="19" t="n">
        <v>0</v>
      </c>
      <c r="P307" s="20" t="n">
        <f aca="false">IFERROR(O307/SUMIFS($O$160:$O$418,$D$160:$D$418,"&lt;&gt;Not Mapped"),0)</f>
        <v>0</v>
      </c>
      <c r="Q307" s="21" t="s">
        <v>561</v>
      </c>
      <c r="R307" s="21"/>
      <c r="S307" s="21"/>
      <c r="T307" s="21"/>
    </row>
    <row r="308" customFormat="false" ht="102" hidden="false" customHeight="true" outlineLevel="0" collapsed="false">
      <c r="A308" s="18" t="s">
        <v>273</v>
      </c>
      <c r="B308" s="18" t="s">
        <v>274</v>
      </c>
      <c r="C308" s="18" t="s">
        <v>567</v>
      </c>
      <c r="D308" s="18" t="s">
        <v>351</v>
      </c>
      <c r="E308" s="18" t="s">
        <v>44</v>
      </c>
      <c r="F308" s="18" t="s">
        <v>280</v>
      </c>
      <c r="G308" s="19" t="n">
        <v>-1479</v>
      </c>
      <c r="H308" s="19" t="n">
        <v>956</v>
      </c>
      <c r="I308" s="19" t="n">
        <v>0</v>
      </c>
      <c r="J308" s="19" t="n">
        <v>0</v>
      </c>
      <c r="K308" s="19" t="n">
        <v>283</v>
      </c>
      <c r="L308" s="19" t="n">
        <v>0</v>
      </c>
      <c r="M308" s="19" t="n">
        <v>0</v>
      </c>
      <c r="N308" s="19" t="n">
        <v>0</v>
      </c>
      <c r="O308" s="19" t="n">
        <v>-240</v>
      </c>
      <c r="P308" s="20" t="n">
        <f aca="false">IFERROR(O308/SUMIFS($O$160:$O$418,$D$160:$D$418,"&lt;&gt;Not Mapped"),0)</f>
        <v>-0.000102029797802448</v>
      </c>
      <c r="Q308" s="21" t="s">
        <v>568</v>
      </c>
      <c r="R308" s="21"/>
      <c r="S308" s="21"/>
      <c r="T308" s="21"/>
    </row>
    <row r="309" customFormat="false" ht="102" hidden="false" customHeight="true" outlineLevel="0" collapsed="false">
      <c r="A309" s="18" t="s">
        <v>273</v>
      </c>
      <c r="B309" s="18" t="s">
        <v>443</v>
      </c>
      <c r="C309" s="18" t="s">
        <v>569</v>
      </c>
      <c r="D309" s="18" t="s">
        <v>444</v>
      </c>
      <c r="E309" s="18" t="s">
        <v>297</v>
      </c>
      <c r="F309" s="18" t="s">
        <v>280</v>
      </c>
      <c r="G309" s="19" t="n">
        <v>-1896</v>
      </c>
      <c r="H309" s="19" t="n">
        <v>1503</v>
      </c>
      <c r="I309" s="19" t="n">
        <v>0</v>
      </c>
      <c r="J309" s="19" t="n">
        <v>0</v>
      </c>
      <c r="K309" s="19" t="n">
        <v>129</v>
      </c>
      <c r="L309" s="19" t="n">
        <v>0</v>
      </c>
      <c r="M309" s="19" t="n">
        <v>0</v>
      </c>
      <c r="N309" s="19" t="n">
        <v>0</v>
      </c>
      <c r="O309" s="19" t="n">
        <v>-264</v>
      </c>
      <c r="P309" s="20" t="n">
        <f aca="false">IFERROR(O309/SUMIFS($O$160:$O$418,$D$160:$D$418,"&lt;&gt;Not Mapped"),0)</f>
        <v>-0.000112232777582693</v>
      </c>
      <c r="Q309" s="21" t="s">
        <v>570</v>
      </c>
      <c r="R309" s="21"/>
      <c r="S309" s="21"/>
      <c r="T309" s="21"/>
    </row>
    <row r="310" customFormat="false" ht="114" hidden="false" customHeight="true" outlineLevel="0" collapsed="false">
      <c r="A310" s="18" t="s">
        <v>273</v>
      </c>
      <c r="B310" s="18" t="s">
        <v>274</v>
      </c>
      <c r="C310" s="18" t="s">
        <v>571</v>
      </c>
      <c r="D310" s="18" t="s">
        <v>61</v>
      </c>
      <c r="E310" s="18" t="s">
        <v>54</v>
      </c>
      <c r="F310" s="18" t="s">
        <v>280</v>
      </c>
      <c r="G310" s="19" t="n">
        <v>-4229</v>
      </c>
      <c r="H310" s="19" t="n">
        <v>1324</v>
      </c>
      <c r="I310" s="19" t="n">
        <v>0</v>
      </c>
      <c r="J310" s="19" t="n">
        <v>43</v>
      </c>
      <c r="K310" s="19" t="n">
        <v>1118</v>
      </c>
      <c r="L310" s="19" t="n">
        <v>0</v>
      </c>
      <c r="M310" s="19" t="n">
        <v>1386</v>
      </c>
      <c r="N310" s="19" t="n">
        <v>0</v>
      </c>
      <c r="O310" s="19" t="n">
        <v>-358</v>
      </c>
      <c r="P310" s="20" t="n">
        <f aca="false">IFERROR(O310/SUMIFS($O$160:$O$418,$D$160:$D$418,"&lt;&gt;Not Mapped"),0)</f>
        <v>-0.000152194448388652</v>
      </c>
      <c r="Q310" s="21" t="s">
        <v>572</v>
      </c>
      <c r="R310" s="21"/>
      <c r="S310" s="21"/>
      <c r="T310" s="21"/>
    </row>
    <row r="311" customFormat="false" ht="114" hidden="false" customHeight="true" outlineLevel="0" collapsed="false">
      <c r="A311" s="18" t="s">
        <v>273</v>
      </c>
      <c r="B311" s="18" t="s">
        <v>274</v>
      </c>
      <c r="C311" s="18" t="s">
        <v>573</v>
      </c>
      <c r="D311" s="18" t="s">
        <v>305</v>
      </c>
      <c r="E311" s="18" t="s">
        <v>54</v>
      </c>
      <c r="F311" s="18" t="s">
        <v>280</v>
      </c>
      <c r="G311" s="19" t="n">
        <v>-13425</v>
      </c>
      <c r="H311" s="19" t="n">
        <v>4786</v>
      </c>
      <c r="I311" s="19" t="n">
        <v>1649</v>
      </c>
      <c r="J311" s="19" t="n">
        <v>5982</v>
      </c>
      <c r="K311" s="19" t="n">
        <v>543</v>
      </c>
      <c r="L311" s="19" t="n">
        <v>0</v>
      </c>
      <c r="M311" s="19" t="n">
        <v>0</v>
      </c>
      <c r="N311" s="19" t="n">
        <v>0</v>
      </c>
      <c r="O311" s="19" t="n">
        <v>-465</v>
      </c>
      <c r="P311" s="20" t="n">
        <f aca="false">IFERROR(O311/SUMIFS($O$160:$O$418,$D$160:$D$418,"&lt;&gt;Not Mapped"),0)</f>
        <v>-0.000197682733242243</v>
      </c>
      <c r="Q311" s="21" t="s">
        <v>574</v>
      </c>
      <c r="R311" s="21"/>
      <c r="S311" s="21"/>
      <c r="T311" s="21"/>
    </row>
    <row r="312" customFormat="false" ht="78" hidden="false" customHeight="true" outlineLevel="0" collapsed="false">
      <c r="A312" s="18" t="s">
        <v>273</v>
      </c>
      <c r="B312" s="18" t="s">
        <v>575</v>
      </c>
      <c r="C312" s="18" t="s">
        <v>576</v>
      </c>
      <c r="D312" s="18" t="s">
        <v>410</v>
      </c>
      <c r="E312" s="18" t="s">
        <v>302</v>
      </c>
      <c r="F312" s="18" t="s">
        <v>280</v>
      </c>
      <c r="G312" s="19" t="n">
        <v>-599</v>
      </c>
      <c r="H312" s="19" t="n">
        <v>0</v>
      </c>
      <c r="I312" s="19" t="n">
        <v>0</v>
      </c>
      <c r="J312" s="19" t="n">
        <v>0</v>
      </c>
      <c r="K312" s="19" t="n">
        <v>0</v>
      </c>
      <c r="L312" s="19" t="n">
        <v>0</v>
      </c>
      <c r="M312" s="19" t="n">
        <v>0</v>
      </c>
      <c r="N312" s="19" t="n">
        <v>0</v>
      </c>
      <c r="O312" s="19" t="n">
        <v>-599</v>
      </c>
      <c r="P312" s="20" t="n">
        <f aca="false">IFERROR(O312/SUMIFS($O$160:$O$418,$D$160:$D$418,"&lt;&gt;Not Mapped"),0)</f>
        <v>-0.00025464937034861</v>
      </c>
      <c r="Q312" s="21" t="s">
        <v>577</v>
      </c>
      <c r="R312" s="21"/>
      <c r="S312" s="21"/>
      <c r="T312" s="21"/>
    </row>
    <row r="313" customFormat="false" ht="114" hidden="false" customHeight="true" outlineLevel="0" collapsed="false">
      <c r="A313" s="18" t="s">
        <v>273</v>
      </c>
      <c r="B313" s="18" t="s">
        <v>274</v>
      </c>
      <c r="C313" s="18" t="s">
        <v>578</v>
      </c>
      <c r="D313" s="18" t="s">
        <v>68</v>
      </c>
      <c r="E313" s="18" t="s">
        <v>49</v>
      </c>
      <c r="F313" s="18" t="s">
        <v>280</v>
      </c>
      <c r="G313" s="19" t="n">
        <v>-9479</v>
      </c>
      <c r="H313" s="19" t="n">
        <v>3869</v>
      </c>
      <c r="I313" s="19" t="n">
        <v>0</v>
      </c>
      <c r="J313" s="19" t="n">
        <v>0</v>
      </c>
      <c r="K313" s="19" t="n">
        <v>652</v>
      </c>
      <c r="L313" s="19" t="n">
        <v>0</v>
      </c>
      <c r="M313" s="19" t="n">
        <v>4320</v>
      </c>
      <c r="N313" s="19" t="n">
        <v>0</v>
      </c>
      <c r="O313" s="19" t="n">
        <v>-638</v>
      </c>
      <c r="P313" s="20" t="n">
        <f aca="false">IFERROR(O313/SUMIFS($O$160:$O$418,$D$160:$D$418,"&lt;&gt;Not Mapped"),0)</f>
        <v>-0.000271229212491508</v>
      </c>
      <c r="Q313" s="21" t="s">
        <v>579</v>
      </c>
      <c r="R313" s="21"/>
      <c r="S313" s="21"/>
      <c r="T313" s="21"/>
    </row>
    <row r="314" customFormat="false" ht="114" hidden="false" customHeight="true" outlineLevel="0" collapsed="false">
      <c r="A314" s="18" t="s">
        <v>273</v>
      </c>
      <c r="B314" s="18" t="s">
        <v>274</v>
      </c>
      <c r="C314" s="18" t="s">
        <v>580</v>
      </c>
      <c r="D314" s="18" t="s">
        <v>313</v>
      </c>
      <c r="E314" s="18" t="s">
        <v>85</v>
      </c>
      <c r="F314" s="18" t="s">
        <v>280</v>
      </c>
      <c r="G314" s="19" t="n">
        <v>-15225</v>
      </c>
      <c r="H314" s="19" t="n">
        <v>12342</v>
      </c>
      <c r="I314" s="19" t="n">
        <v>428</v>
      </c>
      <c r="J314" s="19" t="n">
        <v>902</v>
      </c>
      <c r="K314" s="19" t="n">
        <v>744</v>
      </c>
      <c r="L314" s="19" t="n">
        <v>0</v>
      </c>
      <c r="M314" s="19" t="n">
        <v>0</v>
      </c>
      <c r="N314" s="19" t="n">
        <v>0</v>
      </c>
      <c r="O314" s="19" t="n">
        <v>-809</v>
      </c>
      <c r="P314" s="20" t="n">
        <f aca="false">IFERROR(O314/SUMIFS($O$160:$O$418,$D$160:$D$418,"&lt;&gt;Not Mapped"),0)</f>
        <v>-0.000343925443425752</v>
      </c>
      <c r="Q314" s="21" t="s">
        <v>581</v>
      </c>
      <c r="R314" s="21"/>
      <c r="S314" s="21"/>
      <c r="T314" s="21"/>
    </row>
    <row r="315" customFormat="false" ht="102" hidden="false" customHeight="true" outlineLevel="0" collapsed="false">
      <c r="A315" s="18" t="s">
        <v>273</v>
      </c>
      <c r="B315" s="18" t="s">
        <v>274</v>
      </c>
      <c r="C315" s="18" t="s">
        <v>582</v>
      </c>
      <c r="D315" s="18" t="s">
        <v>35</v>
      </c>
      <c r="E315" s="18" t="s">
        <v>36</v>
      </c>
      <c r="F315" s="18" t="s">
        <v>275</v>
      </c>
      <c r="G315" s="19" t="n">
        <v>-14443</v>
      </c>
      <c r="H315" s="19" t="n">
        <v>12883</v>
      </c>
      <c r="I315" s="19" t="n">
        <v>0</v>
      </c>
      <c r="J315" s="19" t="n">
        <v>0</v>
      </c>
      <c r="K315" s="19" t="n">
        <v>741</v>
      </c>
      <c r="L315" s="19" t="n">
        <v>0</v>
      </c>
      <c r="M315" s="19" t="n">
        <v>0</v>
      </c>
      <c r="N315" s="19" t="n">
        <v>0</v>
      </c>
      <c r="O315" s="19" t="n">
        <v>-819</v>
      </c>
      <c r="P315" s="20" t="n">
        <f aca="false">IFERROR(O315/SUMIFS($O$160:$O$418,$D$160:$D$418,"&lt;&gt;Not Mapped"),0)</f>
        <v>-0.000348176685000855</v>
      </c>
      <c r="Q315" s="21" t="s">
        <v>583</v>
      </c>
      <c r="R315" s="21"/>
      <c r="S315" s="21"/>
      <c r="T315" s="21"/>
    </row>
    <row r="316" customFormat="false" ht="114" hidden="false" customHeight="true" outlineLevel="0" collapsed="false">
      <c r="A316" s="18" t="s">
        <v>273</v>
      </c>
      <c r="B316" s="18" t="s">
        <v>274</v>
      </c>
      <c r="C316" s="18" t="s">
        <v>584</v>
      </c>
      <c r="D316" s="18" t="s">
        <v>61</v>
      </c>
      <c r="E316" s="18" t="s">
        <v>54</v>
      </c>
      <c r="F316" s="18" t="s">
        <v>280</v>
      </c>
      <c r="G316" s="19" t="n">
        <v>-8358</v>
      </c>
      <c r="H316" s="19" t="n">
        <v>6455</v>
      </c>
      <c r="I316" s="19" t="n">
        <v>0</v>
      </c>
      <c r="J316" s="19" t="n">
        <v>0</v>
      </c>
      <c r="K316" s="19" t="n">
        <v>841</v>
      </c>
      <c r="L316" s="19" t="n">
        <v>0</v>
      </c>
      <c r="M316" s="19" t="n">
        <v>0</v>
      </c>
      <c r="N316" s="19" t="n">
        <v>0</v>
      </c>
      <c r="O316" s="19" t="n">
        <v>-1062</v>
      </c>
      <c r="P316" s="20" t="n">
        <f aca="false">IFERROR(O316/SUMIFS($O$160:$O$418,$D$160:$D$418,"&lt;&gt;Not Mapped"),0)</f>
        <v>-0.000451481855275833</v>
      </c>
      <c r="Q316" s="21" t="s">
        <v>585</v>
      </c>
      <c r="R316" s="21"/>
      <c r="S316" s="21"/>
      <c r="T316" s="21"/>
    </row>
    <row r="317" customFormat="false" ht="114" hidden="false" customHeight="true" outlineLevel="0" collapsed="false">
      <c r="A317" s="18" t="s">
        <v>273</v>
      </c>
      <c r="B317" s="18" t="s">
        <v>274</v>
      </c>
      <c r="C317" s="18" t="s">
        <v>586</v>
      </c>
      <c r="D317" s="18" t="s">
        <v>35</v>
      </c>
      <c r="E317" s="18" t="s">
        <v>36</v>
      </c>
      <c r="F317" s="18" t="s">
        <v>275</v>
      </c>
      <c r="G317" s="19" t="n">
        <v>-4601</v>
      </c>
      <c r="H317" s="19" t="n">
        <v>1560</v>
      </c>
      <c r="I317" s="19" t="n">
        <v>0</v>
      </c>
      <c r="J317" s="19" t="n">
        <v>69</v>
      </c>
      <c r="K317" s="19" t="n">
        <v>1727</v>
      </c>
      <c r="L317" s="19" t="n">
        <v>0</v>
      </c>
      <c r="M317" s="19" t="n">
        <v>0</v>
      </c>
      <c r="N317" s="19" t="n">
        <v>0</v>
      </c>
      <c r="O317" s="19" t="n">
        <v>-1245</v>
      </c>
      <c r="P317" s="20" t="n">
        <f aca="false">IFERROR(O317/SUMIFS($O$160:$O$418,$D$160:$D$418,"&lt;&gt;Not Mapped"),0)</f>
        <v>-0.0005292795761002</v>
      </c>
      <c r="Q317" s="21" t="s">
        <v>587</v>
      </c>
      <c r="R317" s="21"/>
      <c r="S317" s="21"/>
      <c r="T317" s="21"/>
    </row>
    <row r="318" customFormat="false" ht="102" hidden="false" customHeight="true" outlineLevel="0" collapsed="false">
      <c r="A318" s="18" t="s">
        <v>273</v>
      </c>
      <c r="B318" s="18" t="s">
        <v>274</v>
      </c>
      <c r="C318" s="18" t="s">
        <v>588</v>
      </c>
      <c r="D318" s="18" t="s">
        <v>35</v>
      </c>
      <c r="E318" s="18" t="s">
        <v>36</v>
      </c>
      <c r="F318" s="18" t="s">
        <v>275</v>
      </c>
      <c r="G318" s="19" t="n">
        <v>-5354</v>
      </c>
      <c r="H318" s="19" t="n">
        <v>2283</v>
      </c>
      <c r="I318" s="19" t="n">
        <v>0</v>
      </c>
      <c r="J318" s="19" t="n">
        <v>0</v>
      </c>
      <c r="K318" s="19" t="n">
        <v>1819</v>
      </c>
      <c r="L318" s="19" t="n">
        <v>0</v>
      </c>
      <c r="M318" s="19" t="n">
        <v>0</v>
      </c>
      <c r="N318" s="19" t="n">
        <v>0</v>
      </c>
      <c r="O318" s="19" t="n">
        <v>-1252</v>
      </c>
      <c r="P318" s="20" t="n">
        <f aca="false">IFERROR(O318/SUMIFS($O$160:$O$418,$D$160:$D$418,"&lt;&gt;Not Mapped"),0)</f>
        <v>-0.000532255445202772</v>
      </c>
      <c r="Q318" s="21" t="s">
        <v>589</v>
      </c>
      <c r="R318" s="21"/>
      <c r="S318" s="21"/>
      <c r="T318" s="21"/>
    </row>
    <row r="319" customFormat="false" ht="114" hidden="false" customHeight="true" outlineLevel="0" collapsed="false">
      <c r="A319" s="18" t="s">
        <v>273</v>
      </c>
      <c r="B319" s="18" t="s">
        <v>274</v>
      </c>
      <c r="C319" s="18" t="s">
        <v>590</v>
      </c>
      <c r="D319" s="18" t="s">
        <v>305</v>
      </c>
      <c r="E319" s="18" t="s">
        <v>54</v>
      </c>
      <c r="F319" s="18" t="s">
        <v>280</v>
      </c>
      <c r="G319" s="19" t="n">
        <v>-12067</v>
      </c>
      <c r="H319" s="19" t="n">
        <v>954</v>
      </c>
      <c r="I319" s="19" t="n">
        <v>214</v>
      </c>
      <c r="J319" s="19" t="n">
        <v>4030</v>
      </c>
      <c r="K319" s="19" t="n">
        <v>268</v>
      </c>
      <c r="L319" s="19" t="n">
        <v>0</v>
      </c>
      <c r="M319" s="19" t="n">
        <v>5326</v>
      </c>
      <c r="N319" s="19" t="n">
        <v>0</v>
      </c>
      <c r="O319" s="19" t="n">
        <v>-1276</v>
      </c>
      <c r="P319" s="20" t="n">
        <f aca="false">IFERROR(O319/SUMIFS($O$160:$O$418,$D$160:$D$418,"&lt;&gt;Not Mapped"),0)</f>
        <v>-0.000542458424983016</v>
      </c>
      <c r="Q319" s="21" t="s">
        <v>591</v>
      </c>
      <c r="R319" s="21"/>
      <c r="S319" s="21"/>
      <c r="T319" s="21"/>
    </row>
    <row r="320" customFormat="false" ht="102" hidden="false" customHeight="true" outlineLevel="0" collapsed="false">
      <c r="A320" s="18" t="s">
        <v>273</v>
      </c>
      <c r="B320" s="18" t="s">
        <v>486</v>
      </c>
      <c r="C320" s="18" t="s">
        <v>592</v>
      </c>
      <c r="D320" s="18" t="s">
        <v>488</v>
      </c>
      <c r="E320" s="18" t="s">
        <v>321</v>
      </c>
      <c r="F320" s="18" t="s">
        <v>280</v>
      </c>
      <c r="G320" s="19" t="n">
        <v>-2375</v>
      </c>
      <c r="H320" s="19" t="n">
        <v>1050</v>
      </c>
      <c r="I320" s="19" t="n">
        <v>0</v>
      </c>
      <c r="J320" s="19" t="n">
        <v>0</v>
      </c>
      <c r="K320" s="19" t="n">
        <v>39</v>
      </c>
      <c r="L320" s="19" t="n">
        <v>0</v>
      </c>
      <c r="M320" s="19" t="n">
        <v>0</v>
      </c>
      <c r="N320" s="19" t="n">
        <v>0</v>
      </c>
      <c r="O320" s="19" t="n">
        <v>-1287</v>
      </c>
      <c r="P320" s="20" t="n">
        <f aca="false">IFERROR(O320/SUMIFS($O$160:$O$418,$D$160:$D$418,"&lt;&gt;Not Mapped"),0)</f>
        <v>-0.000547134790715629</v>
      </c>
      <c r="Q320" s="21" t="s">
        <v>593</v>
      </c>
      <c r="R320" s="21"/>
      <c r="S320" s="21"/>
      <c r="T320" s="21"/>
    </row>
    <row r="321" customFormat="false" ht="90" hidden="false" customHeight="true" outlineLevel="0" collapsed="false">
      <c r="A321" s="18" t="s">
        <v>273</v>
      </c>
      <c r="B321" s="18" t="s">
        <v>274</v>
      </c>
      <c r="C321" s="18" t="s">
        <v>594</v>
      </c>
      <c r="D321" s="18" t="s">
        <v>313</v>
      </c>
      <c r="E321" s="18" t="s">
        <v>85</v>
      </c>
      <c r="F321" s="18" t="s">
        <v>280</v>
      </c>
      <c r="G321" s="19" t="n">
        <v>-1490</v>
      </c>
      <c r="H321" s="19" t="n">
        <v>0</v>
      </c>
      <c r="I321" s="19" t="n">
        <v>0</v>
      </c>
      <c r="J321" s="19" t="n">
        <v>0</v>
      </c>
      <c r="K321" s="19" t="n">
        <v>23</v>
      </c>
      <c r="L321" s="19" t="n">
        <v>0</v>
      </c>
      <c r="M321" s="19" t="n">
        <v>0</v>
      </c>
      <c r="N321" s="19" t="n">
        <v>0</v>
      </c>
      <c r="O321" s="19" t="n">
        <v>-1467</v>
      </c>
      <c r="P321" s="20" t="n">
        <f aca="false">IFERROR(O321/SUMIFS($O$160:$O$418,$D$160:$D$418,"&lt;&gt;Not Mapped"),0)</f>
        <v>-0.000623657139067465</v>
      </c>
      <c r="Q321" s="21" t="s">
        <v>595</v>
      </c>
      <c r="R321" s="21"/>
      <c r="S321" s="21"/>
      <c r="T321" s="21"/>
    </row>
    <row r="322" customFormat="false" ht="114" hidden="false" customHeight="true" outlineLevel="0" collapsed="false">
      <c r="A322" s="18" t="s">
        <v>273</v>
      </c>
      <c r="B322" s="18" t="s">
        <v>596</v>
      </c>
      <c r="C322" s="18" t="s">
        <v>597</v>
      </c>
      <c r="D322" s="18" t="s">
        <v>399</v>
      </c>
      <c r="E322" s="18" t="s">
        <v>297</v>
      </c>
      <c r="F322" s="18" t="s">
        <v>280</v>
      </c>
      <c r="G322" s="19" t="n">
        <v>-17927</v>
      </c>
      <c r="H322" s="19" t="n">
        <v>8661</v>
      </c>
      <c r="I322" s="19" t="n">
        <v>0</v>
      </c>
      <c r="J322" s="19" t="n">
        <v>0</v>
      </c>
      <c r="K322" s="19" t="n">
        <v>545</v>
      </c>
      <c r="L322" s="19" t="n">
        <v>0</v>
      </c>
      <c r="M322" s="19" t="n">
        <v>7164</v>
      </c>
      <c r="N322" s="19" t="n">
        <v>0</v>
      </c>
      <c r="O322" s="19" t="n">
        <v>-1558</v>
      </c>
      <c r="P322" s="20" t="n">
        <f aca="false">IFERROR(O322/SUMIFS($O$160:$O$418,$D$160:$D$418,"&lt;&gt;Not Mapped"),0)</f>
        <v>-0.000662343437400893</v>
      </c>
      <c r="Q322" s="21" t="s">
        <v>598</v>
      </c>
      <c r="R322" s="21"/>
      <c r="S322" s="21"/>
      <c r="T322" s="21"/>
    </row>
    <row r="323" customFormat="false" ht="114" hidden="false" customHeight="true" outlineLevel="0" collapsed="false">
      <c r="A323" s="18" t="s">
        <v>273</v>
      </c>
      <c r="B323" s="18" t="s">
        <v>274</v>
      </c>
      <c r="C323" s="18" t="s">
        <v>599</v>
      </c>
      <c r="D323" s="18" t="s">
        <v>481</v>
      </c>
      <c r="E323" s="18" t="s">
        <v>297</v>
      </c>
      <c r="F323" s="18" t="s">
        <v>280</v>
      </c>
      <c r="G323" s="19" t="n">
        <v>-12397</v>
      </c>
      <c r="H323" s="19" t="n">
        <v>9854</v>
      </c>
      <c r="I323" s="19" t="n">
        <v>0</v>
      </c>
      <c r="J323" s="19" t="n">
        <v>129</v>
      </c>
      <c r="K323" s="19" t="n">
        <v>321</v>
      </c>
      <c r="L323" s="19" t="n">
        <v>0</v>
      </c>
      <c r="M323" s="19" t="n">
        <v>165</v>
      </c>
      <c r="N323" s="19" t="n">
        <v>0</v>
      </c>
      <c r="O323" s="19" t="n">
        <v>-1928</v>
      </c>
      <c r="P323" s="20" t="n">
        <f aca="false">IFERROR(O323/SUMIFS($O$160:$O$418,$D$160:$D$418,"&lt;&gt;Not Mapped"),0)</f>
        <v>-0.000819639375679667</v>
      </c>
      <c r="Q323" s="21" t="s">
        <v>600</v>
      </c>
      <c r="R323" s="21"/>
      <c r="S323" s="21"/>
      <c r="T323" s="21"/>
    </row>
    <row r="324" customFormat="false" ht="114" hidden="false" customHeight="true" outlineLevel="0" collapsed="false">
      <c r="A324" s="18" t="s">
        <v>273</v>
      </c>
      <c r="B324" s="18" t="s">
        <v>274</v>
      </c>
      <c r="C324" s="18" t="s">
        <v>601</v>
      </c>
      <c r="D324" s="18" t="s">
        <v>351</v>
      </c>
      <c r="E324" s="18" t="s">
        <v>44</v>
      </c>
      <c r="F324" s="18" t="s">
        <v>280</v>
      </c>
      <c r="G324" s="19" t="n">
        <v>-8114</v>
      </c>
      <c r="H324" s="19" t="n">
        <v>3079</v>
      </c>
      <c r="I324" s="19" t="n">
        <v>0</v>
      </c>
      <c r="J324" s="19" t="n">
        <v>1573</v>
      </c>
      <c r="K324" s="19" t="n">
        <v>0</v>
      </c>
      <c r="L324" s="19" t="n">
        <v>0</v>
      </c>
      <c r="M324" s="19" t="n">
        <v>1533</v>
      </c>
      <c r="N324" s="19" t="n">
        <v>0</v>
      </c>
      <c r="O324" s="19" t="n">
        <v>-1929</v>
      </c>
      <c r="P324" s="20" t="n">
        <f aca="false">IFERROR(O324/SUMIFS($O$160:$O$418,$D$160:$D$418,"&lt;&gt;Not Mapped"),0)</f>
        <v>-0.000820064499837177</v>
      </c>
      <c r="Q324" s="21" t="s">
        <v>602</v>
      </c>
      <c r="R324" s="21"/>
      <c r="S324" s="21"/>
      <c r="T324" s="21"/>
    </row>
    <row r="325" customFormat="false" ht="114" hidden="false" customHeight="true" outlineLevel="0" collapsed="false">
      <c r="A325" s="18" t="s">
        <v>273</v>
      </c>
      <c r="B325" s="18" t="s">
        <v>274</v>
      </c>
      <c r="C325" s="18" t="s">
        <v>603</v>
      </c>
      <c r="D325" s="18" t="s">
        <v>309</v>
      </c>
      <c r="E325" s="18" t="s">
        <v>80</v>
      </c>
      <c r="F325" s="18" t="s">
        <v>280</v>
      </c>
      <c r="G325" s="19" t="n">
        <v>-12248</v>
      </c>
      <c r="H325" s="19" t="n">
        <v>9745</v>
      </c>
      <c r="I325" s="19" t="n">
        <v>0</v>
      </c>
      <c r="J325" s="19" t="n">
        <v>0</v>
      </c>
      <c r="K325" s="19" t="n">
        <v>559</v>
      </c>
      <c r="L325" s="19" t="n">
        <v>0</v>
      </c>
      <c r="M325" s="19" t="n">
        <v>0</v>
      </c>
      <c r="N325" s="19" t="n">
        <v>0</v>
      </c>
      <c r="O325" s="19" t="n">
        <v>-1945</v>
      </c>
      <c r="P325" s="20" t="n">
        <f aca="false">IFERROR(O325/SUMIFS($O$160:$O$418,$D$160:$D$418,"&lt;&gt;Not Mapped"),0)</f>
        <v>-0.000826866486357341</v>
      </c>
      <c r="Q325" s="21" t="s">
        <v>604</v>
      </c>
      <c r="R325" s="21"/>
      <c r="S325" s="21"/>
      <c r="T325" s="21"/>
    </row>
    <row r="326" customFormat="false" ht="114" hidden="false" customHeight="true" outlineLevel="0" collapsed="false">
      <c r="A326" s="18" t="s">
        <v>273</v>
      </c>
      <c r="B326" s="18" t="s">
        <v>486</v>
      </c>
      <c r="C326" s="18" t="s">
        <v>605</v>
      </c>
      <c r="D326" s="18" t="s">
        <v>488</v>
      </c>
      <c r="E326" s="18" t="s">
        <v>321</v>
      </c>
      <c r="F326" s="18" t="s">
        <v>280</v>
      </c>
      <c r="G326" s="19" t="n">
        <v>-2936</v>
      </c>
      <c r="H326" s="19" t="n">
        <v>0</v>
      </c>
      <c r="I326" s="19" t="n">
        <v>896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0</v>
      </c>
      <c r="O326" s="19" t="n">
        <v>-2040</v>
      </c>
      <c r="P326" s="20" t="n">
        <f aca="false">IFERROR(O326/SUMIFS($O$160:$O$418,$D$160:$D$418,"&lt;&gt;Not Mapped"),0)</f>
        <v>-0.00086725328132081</v>
      </c>
      <c r="Q326" s="21" t="s">
        <v>606</v>
      </c>
      <c r="R326" s="21"/>
      <c r="S326" s="21"/>
      <c r="T326" s="21"/>
    </row>
    <row r="327" customFormat="false" ht="114" hidden="false" customHeight="true" outlineLevel="0" collapsed="false">
      <c r="A327" s="18" t="s">
        <v>273</v>
      </c>
      <c r="B327" s="18" t="s">
        <v>596</v>
      </c>
      <c r="C327" s="18" t="s">
        <v>607</v>
      </c>
      <c r="D327" s="18" t="s">
        <v>399</v>
      </c>
      <c r="E327" s="18" t="s">
        <v>297</v>
      </c>
      <c r="F327" s="18" t="s">
        <v>280</v>
      </c>
      <c r="G327" s="19" t="n">
        <v>-8069</v>
      </c>
      <c r="H327" s="19" t="n">
        <v>5498</v>
      </c>
      <c r="I327" s="19" t="n">
        <v>0</v>
      </c>
      <c r="J327" s="19" t="n">
        <v>0</v>
      </c>
      <c r="K327" s="19" t="n">
        <v>417</v>
      </c>
      <c r="L327" s="19" t="n">
        <v>0</v>
      </c>
      <c r="M327" s="19" t="n">
        <v>0</v>
      </c>
      <c r="N327" s="19" t="n">
        <v>0</v>
      </c>
      <c r="O327" s="19" t="n">
        <v>-2154</v>
      </c>
      <c r="P327" s="20" t="n">
        <f aca="false">IFERROR(O327/SUMIFS($O$160:$O$418,$D$160:$D$418,"&lt;&gt;Not Mapped"),0)</f>
        <v>-0.000915717435276973</v>
      </c>
      <c r="Q327" s="21" t="s">
        <v>608</v>
      </c>
      <c r="R327" s="21"/>
      <c r="S327" s="21"/>
      <c r="T327" s="21"/>
    </row>
    <row r="328" customFormat="false" ht="114" hidden="false" customHeight="true" outlineLevel="0" collapsed="false">
      <c r="A328" s="18" t="s">
        <v>273</v>
      </c>
      <c r="B328" s="18" t="s">
        <v>274</v>
      </c>
      <c r="C328" s="18" t="s">
        <v>609</v>
      </c>
      <c r="D328" s="18" t="s">
        <v>296</v>
      </c>
      <c r="E328" s="18" t="s">
        <v>297</v>
      </c>
      <c r="F328" s="18" t="s">
        <v>280</v>
      </c>
      <c r="G328" s="19" t="n">
        <v>-8935</v>
      </c>
      <c r="H328" s="19" t="n">
        <v>6625</v>
      </c>
      <c r="I328" s="19" t="n">
        <v>0</v>
      </c>
      <c r="J328" s="19" t="n">
        <v>7</v>
      </c>
      <c r="K328" s="19" t="n">
        <v>23</v>
      </c>
      <c r="L328" s="19" t="n">
        <v>0</v>
      </c>
      <c r="M328" s="19" t="n">
        <v>0</v>
      </c>
      <c r="N328" s="19" t="n">
        <v>0</v>
      </c>
      <c r="O328" s="19" t="n">
        <v>-2281</v>
      </c>
      <c r="P328" s="20" t="n">
        <f aca="false">IFERROR(O328/SUMIFS($O$160:$O$418,$D$160:$D$418,"&lt;&gt;Not Mapped"),0)</f>
        <v>-0.000969708203280768</v>
      </c>
      <c r="Q328" s="21" t="s">
        <v>610</v>
      </c>
      <c r="R328" s="21"/>
      <c r="S328" s="21"/>
      <c r="T328" s="21"/>
    </row>
    <row r="329" customFormat="false" ht="114" hidden="false" customHeight="true" outlineLevel="0" collapsed="false">
      <c r="A329" s="18" t="s">
        <v>273</v>
      </c>
      <c r="B329" s="18" t="s">
        <v>274</v>
      </c>
      <c r="C329" s="18" t="s">
        <v>611</v>
      </c>
      <c r="D329" s="18" t="s">
        <v>296</v>
      </c>
      <c r="E329" s="18" t="s">
        <v>297</v>
      </c>
      <c r="F329" s="18" t="s">
        <v>280</v>
      </c>
      <c r="G329" s="19" t="n">
        <v>-20322</v>
      </c>
      <c r="H329" s="19" t="n">
        <v>8876</v>
      </c>
      <c r="I329" s="19" t="n">
        <v>128</v>
      </c>
      <c r="J329" s="19" t="n">
        <v>8507</v>
      </c>
      <c r="K329" s="19" t="n">
        <v>370</v>
      </c>
      <c r="L329" s="19" t="n">
        <v>0</v>
      </c>
      <c r="M329" s="19" t="n">
        <v>0</v>
      </c>
      <c r="N329" s="19" t="n">
        <v>0</v>
      </c>
      <c r="O329" s="19" t="n">
        <v>-2441</v>
      </c>
      <c r="P329" s="20" t="n">
        <f aca="false">IFERROR(O329/SUMIFS($O$160:$O$418,$D$160:$D$418,"&lt;&gt;Not Mapped"),0)</f>
        <v>-0.0010377280684824</v>
      </c>
      <c r="Q329" s="21" t="s">
        <v>612</v>
      </c>
      <c r="R329" s="21"/>
      <c r="S329" s="21"/>
      <c r="T329" s="21"/>
    </row>
    <row r="330" customFormat="false" ht="114" hidden="false" customHeight="true" outlineLevel="0" collapsed="false">
      <c r="A330" s="18" t="s">
        <v>273</v>
      </c>
      <c r="B330" s="18" t="s">
        <v>274</v>
      </c>
      <c r="C330" s="18" t="s">
        <v>613</v>
      </c>
      <c r="D330" s="18" t="s">
        <v>35</v>
      </c>
      <c r="E330" s="18" t="s">
        <v>36</v>
      </c>
      <c r="F330" s="18" t="s">
        <v>275</v>
      </c>
      <c r="G330" s="19" t="n">
        <v>-19616</v>
      </c>
      <c r="H330" s="19" t="n">
        <v>15330</v>
      </c>
      <c r="I330" s="19" t="n">
        <v>0</v>
      </c>
      <c r="J330" s="19" t="n">
        <v>490</v>
      </c>
      <c r="K330" s="19" t="n">
        <v>1353</v>
      </c>
      <c r="L330" s="19" t="n">
        <v>0</v>
      </c>
      <c r="M330" s="19" t="n">
        <v>0</v>
      </c>
      <c r="N330" s="19" t="n">
        <v>0</v>
      </c>
      <c r="O330" s="19" t="n">
        <v>-2443</v>
      </c>
      <c r="P330" s="20" t="n">
        <f aca="false">IFERROR(O330/SUMIFS($O$160:$O$418,$D$160:$D$418,"&lt;&gt;Not Mapped"),0)</f>
        <v>-0.00103857831679742</v>
      </c>
      <c r="Q330" s="21" t="s">
        <v>614</v>
      </c>
      <c r="R330" s="21"/>
      <c r="S330" s="21"/>
      <c r="T330" s="21"/>
    </row>
    <row r="331" customFormat="false" ht="90" hidden="false" customHeight="true" outlineLevel="0" collapsed="false">
      <c r="A331" s="18" t="s">
        <v>273</v>
      </c>
      <c r="B331" s="18" t="s">
        <v>274</v>
      </c>
      <c r="C331" s="18" t="s">
        <v>615</v>
      </c>
      <c r="D331" s="18" t="s">
        <v>84</v>
      </c>
      <c r="E331" s="18" t="s">
        <v>85</v>
      </c>
      <c r="F331" s="18" t="s">
        <v>280</v>
      </c>
      <c r="G331" s="19" t="n">
        <v>-2872</v>
      </c>
      <c r="H331" s="19" t="n">
        <v>52</v>
      </c>
      <c r="I331" s="19" t="n">
        <v>0</v>
      </c>
      <c r="J331" s="19" t="n">
        <v>0</v>
      </c>
      <c r="K331" s="19" t="n">
        <v>138</v>
      </c>
      <c r="L331" s="19" t="n">
        <v>0</v>
      </c>
      <c r="M331" s="19" t="n">
        <v>0</v>
      </c>
      <c r="N331" s="19" t="n">
        <v>0</v>
      </c>
      <c r="O331" s="19" t="n">
        <v>-2683</v>
      </c>
      <c r="P331" s="20" t="n">
        <f aca="false">IFERROR(O331/SUMIFS($O$160:$O$418,$D$160:$D$418,"&lt;&gt;Not Mapped"),0)</f>
        <v>-0.00114060811459987</v>
      </c>
      <c r="Q331" s="21" t="s">
        <v>616</v>
      </c>
      <c r="R331" s="21"/>
      <c r="S331" s="21"/>
      <c r="T331" s="21"/>
    </row>
    <row r="332" customFormat="false" ht="102" hidden="false" customHeight="true" outlineLevel="0" collapsed="false">
      <c r="A332" s="18" t="s">
        <v>273</v>
      </c>
      <c r="B332" s="18" t="s">
        <v>274</v>
      </c>
      <c r="C332" s="18" t="s">
        <v>617</v>
      </c>
      <c r="D332" s="18" t="s">
        <v>53</v>
      </c>
      <c r="E332" s="18" t="s">
        <v>54</v>
      </c>
      <c r="F332" s="18" t="s">
        <v>280</v>
      </c>
      <c r="G332" s="19" t="n">
        <v>-5163</v>
      </c>
      <c r="H332" s="19" t="n">
        <v>2380</v>
      </c>
      <c r="I332" s="19" t="n">
        <v>0</v>
      </c>
      <c r="J332" s="19" t="n">
        <v>0</v>
      </c>
      <c r="K332" s="19" t="n">
        <v>45</v>
      </c>
      <c r="L332" s="19" t="n">
        <v>0</v>
      </c>
      <c r="M332" s="19" t="n">
        <v>0</v>
      </c>
      <c r="N332" s="19" t="n">
        <v>0</v>
      </c>
      <c r="O332" s="19" t="n">
        <v>-2738</v>
      </c>
      <c r="P332" s="20" t="n">
        <f aca="false">IFERROR(O332/SUMIFS($O$160:$O$418,$D$160:$D$418,"&lt;&gt;Not Mapped"),0)</f>
        <v>-0.00116398994326293</v>
      </c>
      <c r="Q332" s="21" t="s">
        <v>618</v>
      </c>
      <c r="R332" s="21"/>
      <c r="S332" s="21"/>
      <c r="T332" s="21"/>
    </row>
    <row r="333" customFormat="false" ht="114" hidden="false" customHeight="true" outlineLevel="0" collapsed="false">
      <c r="A333" s="18" t="s">
        <v>273</v>
      </c>
      <c r="B333" s="18" t="s">
        <v>274</v>
      </c>
      <c r="C333" s="18" t="s">
        <v>619</v>
      </c>
      <c r="D333" s="18" t="s">
        <v>481</v>
      </c>
      <c r="E333" s="18" t="s">
        <v>297</v>
      </c>
      <c r="F333" s="18" t="s">
        <v>280</v>
      </c>
      <c r="G333" s="19" t="n">
        <v>-8308</v>
      </c>
      <c r="H333" s="19" t="n">
        <v>5468</v>
      </c>
      <c r="I333" s="19" t="n">
        <v>0</v>
      </c>
      <c r="J333" s="19" t="n">
        <v>0</v>
      </c>
      <c r="K333" s="19" t="n">
        <v>0</v>
      </c>
      <c r="L333" s="19" t="n">
        <v>0</v>
      </c>
      <c r="M333" s="19" t="n">
        <v>0</v>
      </c>
      <c r="N333" s="19" t="n">
        <v>0</v>
      </c>
      <c r="O333" s="19" t="n">
        <v>-2840</v>
      </c>
      <c r="P333" s="20" t="n">
        <f aca="false">IFERROR(O333/SUMIFS($O$160:$O$418,$D$160:$D$418,"&lt;&gt;Not Mapped"),0)</f>
        <v>-0.00120735260732897</v>
      </c>
      <c r="Q333" s="21" t="s">
        <v>620</v>
      </c>
      <c r="R333" s="21"/>
      <c r="S333" s="21"/>
      <c r="T333" s="21"/>
    </row>
    <row r="334" customFormat="false" ht="102" hidden="false" customHeight="true" outlineLevel="0" collapsed="false">
      <c r="A334" s="18" t="s">
        <v>273</v>
      </c>
      <c r="B334" s="18" t="s">
        <v>274</v>
      </c>
      <c r="C334" s="18" t="s">
        <v>621</v>
      </c>
      <c r="D334" s="18" t="s">
        <v>351</v>
      </c>
      <c r="E334" s="18" t="s">
        <v>44</v>
      </c>
      <c r="F334" s="18" t="s">
        <v>280</v>
      </c>
      <c r="G334" s="19" t="n">
        <v>-3150</v>
      </c>
      <c r="H334" s="19" t="n">
        <v>39</v>
      </c>
      <c r="I334" s="19" t="n">
        <v>0</v>
      </c>
      <c r="J334" s="19" t="n">
        <v>0</v>
      </c>
      <c r="K334" s="19" t="n">
        <v>127</v>
      </c>
      <c r="L334" s="19" t="n">
        <v>0</v>
      </c>
      <c r="M334" s="19" t="n">
        <v>0</v>
      </c>
      <c r="N334" s="19" t="n">
        <v>0</v>
      </c>
      <c r="O334" s="19" t="n">
        <v>-2984</v>
      </c>
      <c r="P334" s="20" t="n">
        <f aca="false">IFERROR(O334/SUMIFS($O$160:$O$418,$D$160:$D$418,"&lt;&gt;Not Mapped"),0)</f>
        <v>-0.00126857048601044</v>
      </c>
      <c r="Q334" s="21" t="s">
        <v>622</v>
      </c>
      <c r="R334" s="21"/>
      <c r="S334" s="21"/>
      <c r="T334" s="21"/>
    </row>
    <row r="335" customFormat="false" ht="102" hidden="false" customHeight="true" outlineLevel="0" collapsed="false">
      <c r="A335" s="18" t="s">
        <v>273</v>
      </c>
      <c r="B335" s="18" t="s">
        <v>408</v>
      </c>
      <c r="C335" s="18" t="s">
        <v>623</v>
      </c>
      <c r="D335" s="18" t="s">
        <v>410</v>
      </c>
      <c r="E335" s="18" t="s">
        <v>302</v>
      </c>
      <c r="F335" s="18" t="s">
        <v>280</v>
      </c>
      <c r="G335" s="19" t="n">
        <v>-3321</v>
      </c>
      <c r="H335" s="19" t="n">
        <v>216</v>
      </c>
      <c r="I335" s="19" t="n">
        <v>0</v>
      </c>
      <c r="J335" s="19" t="n">
        <v>0</v>
      </c>
      <c r="K335" s="19" t="n">
        <v>86</v>
      </c>
      <c r="L335" s="19" t="n">
        <v>0</v>
      </c>
      <c r="M335" s="19" t="n">
        <v>0</v>
      </c>
      <c r="N335" s="19" t="n">
        <v>0</v>
      </c>
      <c r="O335" s="19" t="n">
        <v>-3019</v>
      </c>
      <c r="P335" s="20" t="n">
        <f aca="false">IFERROR(O335/SUMIFS($O$160:$O$418,$D$160:$D$418,"&lt;&gt;Not Mapped"),0)</f>
        <v>-0.0012834498315233</v>
      </c>
      <c r="Q335" s="21" t="s">
        <v>624</v>
      </c>
      <c r="R335" s="21"/>
      <c r="S335" s="21"/>
      <c r="T335" s="21"/>
    </row>
    <row r="336" customFormat="false" ht="114" hidden="false" customHeight="true" outlineLevel="0" collapsed="false">
      <c r="A336" s="18" t="s">
        <v>273</v>
      </c>
      <c r="B336" s="18" t="s">
        <v>274</v>
      </c>
      <c r="C336" s="18" t="s">
        <v>625</v>
      </c>
      <c r="D336" s="18" t="s">
        <v>68</v>
      </c>
      <c r="E336" s="18" t="s">
        <v>49</v>
      </c>
      <c r="F336" s="18" t="s">
        <v>280</v>
      </c>
      <c r="G336" s="19" t="n">
        <v>-8078</v>
      </c>
      <c r="H336" s="19" t="n">
        <v>4151</v>
      </c>
      <c r="I336" s="19" t="n">
        <v>0</v>
      </c>
      <c r="J336" s="19" t="n">
        <v>253</v>
      </c>
      <c r="K336" s="19" t="n">
        <v>352</v>
      </c>
      <c r="L336" s="19" t="n">
        <v>0</v>
      </c>
      <c r="M336" s="19" t="n">
        <v>0</v>
      </c>
      <c r="N336" s="19" t="n">
        <v>0</v>
      </c>
      <c r="O336" s="19" t="n">
        <v>-3323</v>
      </c>
      <c r="P336" s="20" t="n">
        <f aca="false">IFERROR(O336/SUMIFS($O$160:$O$418,$D$160:$D$418,"&lt;&gt;Not Mapped"),0)</f>
        <v>-0.0014126875754064</v>
      </c>
      <c r="Q336" s="21" t="s">
        <v>626</v>
      </c>
      <c r="R336" s="21"/>
      <c r="S336" s="21"/>
      <c r="T336" s="21"/>
    </row>
    <row r="337" customFormat="false" ht="102" hidden="false" customHeight="true" outlineLevel="0" collapsed="false">
      <c r="A337" s="18" t="s">
        <v>273</v>
      </c>
      <c r="B337" s="18" t="s">
        <v>274</v>
      </c>
      <c r="C337" s="18" t="s">
        <v>627</v>
      </c>
      <c r="D337" s="18" t="s">
        <v>35</v>
      </c>
      <c r="E337" s="18" t="s">
        <v>36</v>
      </c>
      <c r="F337" s="18" t="s">
        <v>275</v>
      </c>
      <c r="G337" s="19" t="n">
        <v>-8918</v>
      </c>
      <c r="H337" s="19" t="n">
        <v>787</v>
      </c>
      <c r="I337" s="19" t="n">
        <v>0</v>
      </c>
      <c r="J337" s="19" t="n">
        <v>0</v>
      </c>
      <c r="K337" s="19" t="n">
        <v>754</v>
      </c>
      <c r="L337" s="19" t="n">
        <v>0</v>
      </c>
      <c r="M337" s="19" t="n">
        <v>0</v>
      </c>
      <c r="N337" s="19" t="n">
        <v>3862</v>
      </c>
      <c r="O337" s="19" t="n">
        <v>-3514</v>
      </c>
      <c r="P337" s="20" t="n">
        <f aca="false">IFERROR(O337/SUMIFS($O$160:$O$418,$D$160:$D$418,"&lt;&gt;Not Mapped"),0)</f>
        <v>-0.00149388628949085</v>
      </c>
      <c r="Q337" s="21" t="s">
        <v>628</v>
      </c>
      <c r="R337" s="21"/>
      <c r="S337" s="21"/>
      <c r="T337" s="21"/>
    </row>
    <row r="338" customFormat="false" ht="114" hidden="false" customHeight="true" outlineLevel="0" collapsed="false">
      <c r="A338" s="18" t="s">
        <v>273</v>
      </c>
      <c r="B338" s="18" t="s">
        <v>408</v>
      </c>
      <c r="C338" s="18" t="s">
        <v>629</v>
      </c>
      <c r="D338" s="18" t="s">
        <v>410</v>
      </c>
      <c r="E338" s="18" t="s">
        <v>302</v>
      </c>
      <c r="F338" s="18" t="s">
        <v>280</v>
      </c>
      <c r="G338" s="19" t="n">
        <v>-10618</v>
      </c>
      <c r="H338" s="19" t="n">
        <v>4246</v>
      </c>
      <c r="I338" s="19" t="n">
        <v>1571</v>
      </c>
      <c r="J338" s="19" t="n">
        <v>258</v>
      </c>
      <c r="K338" s="19" t="n">
        <v>925</v>
      </c>
      <c r="L338" s="19" t="n">
        <v>0</v>
      </c>
      <c r="M338" s="19" t="n">
        <v>0</v>
      </c>
      <c r="N338" s="19" t="n">
        <v>0</v>
      </c>
      <c r="O338" s="19" t="n">
        <v>-3618</v>
      </c>
      <c r="P338" s="20" t="n">
        <f aca="false">IFERROR(O338/SUMIFS($O$160:$O$418,$D$160:$D$418,"&lt;&gt;Not Mapped"),0)</f>
        <v>-0.00153809920187191</v>
      </c>
      <c r="Q338" s="21" t="s">
        <v>630</v>
      </c>
      <c r="R338" s="21"/>
      <c r="S338" s="21"/>
      <c r="T338" s="21"/>
    </row>
    <row r="339" customFormat="false" ht="114" hidden="false" customHeight="true" outlineLevel="0" collapsed="false">
      <c r="A339" s="18" t="s">
        <v>273</v>
      </c>
      <c r="B339" s="18" t="s">
        <v>274</v>
      </c>
      <c r="C339" s="18" t="s">
        <v>631</v>
      </c>
      <c r="D339" s="18" t="s">
        <v>89</v>
      </c>
      <c r="E339" s="18" t="s">
        <v>54</v>
      </c>
      <c r="F339" s="18" t="s">
        <v>280</v>
      </c>
      <c r="G339" s="19" t="n">
        <v>-10402</v>
      </c>
      <c r="H339" s="19" t="n">
        <v>6439</v>
      </c>
      <c r="I339" s="19" t="n">
        <v>0</v>
      </c>
      <c r="J339" s="19" t="n">
        <v>0</v>
      </c>
      <c r="K339" s="19" t="n">
        <v>111</v>
      </c>
      <c r="L339" s="19" t="n">
        <v>0</v>
      </c>
      <c r="M339" s="19" t="n">
        <v>0</v>
      </c>
      <c r="N339" s="19" t="n">
        <v>0</v>
      </c>
      <c r="O339" s="19" t="n">
        <v>-3852</v>
      </c>
      <c r="P339" s="20" t="n">
        <f aca="false">IFERROR(O339/SUMIFS($O$160:$O$418,$D$160:$D$418,"&lt;&gt;Not Mapped"),0)</f>
        <v>-0.00163757825472929</v>
      </c>
      <c r="Q339" s="21" t="s">
        <v>632</v>
      </c>
      <c r="R339" s="21"/>
      <c r="S339" s="21"/>
      <c r="T339" s="21"/>
    </row>
    <row r="340" customFormat="false" ht="90" hidden="false" customHeight="true" outlineLevel="0" collapsed="false">
      <c r="A340" s="18" t="s">
        <v>273</v>
      </c>
      <c r="B340" s="18" t="s">
        <v>633</v>
      </c>
      <c r="C340" s="18" t="s">
        <v>634</v>
      </c>
      <c r="D340" s="18" t="s">
        <v>410</v>
      </c>
      <c r="E340" s="18" t="s">
        <v>302</v>
      </c>
      <c r="F340" s="18" t="s">
        <v>280</v>
      </c>
      <c r="G340" s="19" t="n">
        <v>-4380</v>
      </c>
      <c r="H340" s="19" t="n">
        <v>0</v>
      </c>
      <c r="I340" s="19" t="n">
        <v>0</v>
      </c>
      <c r="J340" s="19" t="n">
        <v>0</v>
      </c>
      <c r="K340" s="19" t="n">
        <v>275</v>
      </c>
      <c r="L340" s="19" t="n">
        <v>0</v>
      </c>
      <c r="M340" s="19" t="n">
        <v>0</v>
      </c>
      <c r="N340" s="19" t="n">
        <v>0</v>
      </c>
      <c r="O340" s="19" t="n">
        <v>-4105</v>
      </c>
      <c r="P340" s="20" t="n">
        <f aca="false">IFERROR(O340/SUMIFS($O$160:$O$418,$D$160:$D$418,"&lt;&gt;Not Mapped"),0)</f>
        <v>-0.00174513466657937</v>
      </c>
      <c r="Q340" s="21" t="s">
        <v>635</v>
      </c>
      <c r="R340" s="21"/>
      <c r="S340" s="21"/>
      <c r="T340" s="21"/>
    </row>
    <row r="341" customFormat="false" ht="114" hidden="false" customHeight="true" outlineLevel="0" collapsed="false">
      <c r="A341" s="18" t="s">
        <v>273</v>
      </c>
      <c r="B341" s="18" t="s">
        <v>274</v>
      </c>
      <c r="C341" s="18" t="s">
        <v>636</v>
      </c>
      <c r="D341" s="18" t="s">
        <v>481</v>
      </c>
      <c r="E341" s="18" t="s">
        <v>297</v>
      </c>
      <c r="F341" s="18" t="s">
        <v>280</v>
      </c>
      <c r="G341" s="19" t="n">
        <v>-5924</v>
      </c>
      <c r="H341" s="19" t="n">
        <v>1578</v>
      </c>
      <c r="I341" s="19" t="n">
        <v>0</v>
      </c>
      <c r="J341" s="19" t="n">
        <v>0</v>
      </c>
      <c r="K341" s="19" t="n">
        <v>167</v>
      </c>
      <c r="L341" s="19" t="n">
        <v>0</v>
      </c>
      <c r="M341" s="19" t="n">
        <v>0</v>
      </c>
      <c r="N341" s="19" t="n">
        <v>0</v>
      </c>
      <c r="O341" s="19" t="n">
        <v>-4178</v>
      </c>
      <c r="P341" s="20" t="n">
        <f aca="false">IFERROR(O341/SUMIFS($O$160:$O$418,$D$160:$D$418,"&lt;&gt;Not Mapped"),0)</f>
        <v>-0.00177616873007762</v>
      </c>
      <c r="Q341" s="21" t="s">
        <v>637</v>
      </c>
      <c r="R341" s="21"/>
      <c r="S341" s="21"/>
      <c r="T341" s="21"/>
    </row>
    <row r="342" customFormat="false" ht="78" hidden="false" customHeight="true" outlineLevel="0" collapsed="false">
      <c r="A342" s="18" t="s">
        <v>273</v>
      </c>
      <c r="B342" s="18" t="s">
        <v>458</v>
      </c>
      <c r="C342" s="18" t="s">
        <v>638</v>
      </c>
      <c r="D342" s="18" t="s">
        <v>460</v>
      </c>
      <c r="E342" s="18" t="s">
        <v>321</v>
      </c>
      <c r="F342" s="18" t="s">
        <v>280</v>
      </c>
      <c r="G342" s="19" t="n">
        <v>-4415</v>
      </c>
      <c r="H342" s="19" t="n">
        <v>0</v>
      </c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0</v>
      </c>
      <c r="O342" s="19" t="n">
        <v>-4415</v>
      </c>
      <c r="P342" s="20" t="n">
        <f aca="false">IFERROR(O342/SUMIFS($O$160:$O$418,$D$160:$D$418,"&lt;&gt;Not Mapped"),0)</f>
        <v>-0.00187692315540754</v>
      </c>
      <c r="Q342" s="21" t="s">
        <v>639</v>
      </c>
      <c r="R342" s="21"/>
      <c r="S342" s="21"/>
      <c r="T342" s="21"/>
    </row>
    <row r="343" customFormat="false" ht="114" hidden="false" customHeight="true" outlineLevel="0" collapsed="false">
      <c r="A343" s="18" t="s">
        <v>273</v>
      </c>
      <c r="B343" s="18" t="s">
        <v>274</v>
      </c>
      <c r="C343" s="18" t="s">
        <v>640</v>
      </c>
      <c r="D343" s="18" t="s">
        <v>348</v>
      </c>
      <c r="E343" s="18" t="s">
        <v>54</v>
      </c>
      <c r="F343" s="18" t="s">
        <v>280</v>
      </c>
      <c r="G343" s="19" t="n">
        <v>-11226</v>
      </c>
      <c r="H343" s="19" t="n">
        <v>5297</v>
      </c>
      <c r="I343" s="19" t="n">
        <v>0</v>
      </c>
      <c r="J343" s="19" t="n">
        <v>176</v>
      </c>
      <c r="K343" s="19" t="n">
        <v>1021</v>
      </c>
      <c r="L343" s="19" t="n">
        <v>0</v>
      </c>
      <c r="M343" s="19" t="n">
        <v>0</v>
      </c>
      <c r="N343" s="19" t="n">
        <v>66</v>
      </c>
      <c r="O343" s="19" t="n">
        <v>-4667</v>
      </c>
      <c r="P343" s="20" t="n">
        <f aca="false">IFERROR(O343/SUMIFS($O$160:$O$418,$D$160:$D$418,"&lt;&gt;Not Mapped"),0)</f>
        <v>-0.00198405444310011</v>
      </c>
      <c r="Q343" s="21" t="s">
        <v>641</v>
      </c>
      <c r="R343" s="21"/>
      <c r="S343" s="21"/>
      <c r="T343" s="21"/>
    </row>
    <row r="344" customFormat="false" ht="102" hidden="false" customHeight="true" outlineLevel="0" collapsed="false">
      <c r="A344" s="18" t="s">
        <v>273</v>
      </c>
      <c r="B344" s="18" t="s">
        <v>274</v>
      </c>
      <c r="C344" s="18" t="s">
        <v>642</v>
      </c>
      <c r="D344" s="18" t="s">
        <v>315</v>
      </c>
      <c r="E344" s="18" t="s">
        <v>49</v>
      </c>
      <c r="F344" s="18" t="s">
        <v>280</v>
      </c>
      <c r="G344" s="19" t="n">
        <v>-5055</v>
      </c>
      <c r="H344" s="19" t="n">
        <v>0</v>
      </c>
      <c r="I344" s="19" t="n">
        <v>0</v>
      </c>
      <c r="J344" s="19" t="n">
        <v>0</v>
      </c>
      <c r="K344" s="19" t="n">
        <v>43</v>
      </c>
      <c r="L344" s="19" t="n">
        <v>0</v>
      </c>
      <c r="M344" s="19" t="n">
        <v>0</v>
      </c>
      <c r="N344" s="19" t="n">
        <v>194</v>
      </c>
      <c r="O344" s="19" t="n">
        <v>-4818</v>
      </c>
      <c r="P344" s="20" t="n">
        <f aca="false">IFERROR(O344/SUMIFS($O$160:$O$418,$D$160:$D$418,"&lt;&gt;Not Mapped"),0)</f>
        <v>-0.00204824819088415</v>
      </c>
      <c r="Q344" s="21" t="s">
        <v>643</v>
      </c>
      <c r="R344" s="21"/>
      <c r="S344" s="21"/>
      <c r="T344" s="21"/>
    </row>
    <row r="345" customFormat="false" ht="102" hidden="false" customHeight="true" outlineLevel="0" collapsed="false">
      <c r="A345" s="18" t="s">
        <v>273</v>
      </c>
      <c r="B345" s="18" t="s">
        <v>458</v>
      </c>
      <c r="C345" s="18" t="s">
        <v>644</v>
      </c>
      <c r="D345" s="18" t="s">
        <v>460</v>
      </c>
      <c r="E345" s="18" t="s">
        <v>321</v>
      </c>
      <c r="F345" s="18" t="s">
        <v>280</v>
      </c>
      <c r="G345" s="19" t="n">
        <v>-5009</v>
      </c>
      <c r="H345" s="19" t="n">
        <v>59</v>
      </c>
      <c r="I345" s="19" t="n">
        <v>0</v>
      </c>
      <c r="J345" s="19" t="n">
        <v>0</v>
      </c>
      <c r="K345" s="19" t="n">
        <v>0</v>
      </c>
      <c r="L345" s="19" t="n">
        <v>0</v>
      </c>
      <c r="M345" s="19" t="n">
        <v>0</v>
      </c>
      <c r="N345" s="19" t="n">
        <v>19</v>
      </c>
      <c r="O345" s="19" t="n">
        <v>-4930</v>
      </c>
      <c r="P345" s="20" t="n">
        <f aca="false">IFERROR(O345/SUMIFS($O$160:$O$418,$D$160:$D$418,"&lt;&gt;Not Mapped"),0)</f>
        <v>-0.00209586209652529</v>
      </c>
      <c r="Q345" s="21" t="s">
        <v>645</v>
      </c>
      <c r="R345" s="21"/>
      <c r="S345" s="21"/>
      <c r="T345" s="21"/>
    </row>
    <row r="346" customFormat="false" ht="114" hidden="false" customHeight="true" outlineLevel="0" collapsed="false">
      <c r="A346" s="18" t="s">
        <v>273</v>
      </c>
      <c r="B346" s="18" t="s">
        <v>274</v>
      </c>
      <c r="C346" s="18" t="s">
        <v>646</v>
      </c>
      <c r="D346" s="18" t="s">
        <v>301</v>
      </c>
      <c r="E346" s="18" t="s">
        <v>302</v>
      </c>
      <c r="F346" s="18" t="s">
        <v>280</v>
      </c>
      <c r="G346" s="19" t="n">
        <v>-14706</v>
      </c>
      <c r="H346" s="19" t="n">
        <v>7716</v>
      </c>
      <c r="I346" s="19" t="n">
        <v>535</v>
      </c>
      <c r="J346" s="19" t="n">
        <v>780</v>
      </c>
      <c r="K346" s="19" t="n">
        <v>736</v>
      </c>
      <c r="L346" s="19" t="n">
        <v>0</v>
      </c>
      <c r="M346" s="19" t="n">
        <v>0</v>
      </c>
      <c r="N346" s="19" t="n">
        <v>0</v>
      </c>
      <c r="O346" s="19" t="n">
        <v>-4939</v>
      </c>
      <c r="P346" s="20" t="n">
        <f aca="false">IFERROR(O346/SUMIFS($O$160:$O$418,$D$160:$D$418,"&lt;&gt;Not Mapped"),0)</f>
        <v>-0.00209968821394288</v>
      </c>
      <c r="Q346" s="21" t="s">
        <v>647</v>
      </c>
      <c r="R346" s="21"/>
      <c r="S346" s="21"/>
      <c r="T346" s="21"/>
    </row>
    <row r="347" customFormat="false" ht="102" hidden="false" customHeight="true" outlineLevel="0" collapsed="false">
      <c r="A347" s="18" t="s">
        <v>273</v>
      </c>
      <c r="B347" s="18" t="s">
        <v>486</v>
      </c>
      <c r="C347" s="18" t="s">
        <v>648</v>
      </c>
      <c r="D347" s="18" t="s">
        <v>488</v>
      </c>
      <c r="E347" s="18" t="s">
        <v>321</v>
      </c>
      <c r="F347" s="18" t="s">
        <v>280</v>
      </c>
      <c r="G347" s="19" t="n">
        <v>-13832</v>
      </c>
      <c r="H347" s="19" t="n">
        <v>8038</v>
      </c>
      <c r="I347" s="19" t="n">
        <v>0</v>
      </c>
      <c r="J347" s="19" t="n">
        <v>0</v>
      </c>
      <c r="K347" s="19" t="n">
        <v>836</v>
      </c>
      <c r="L347" s="19" t="n">
        <v>0</v>
      </c>
      <c r="M347" s="19" t="n">
        <v>0</v>
      </c>
      <c r="N347" s="19" t="n">
        <v>0</v>
      </c>
      <c r="O347" s="19" t="n">
        <v>-4958</v>
      </c>
      <c r="P347" s="20" t="n">
        <f aca="false">IFERROR(O347/SUMIFS($O$160:$O$418,$D$160:$D$418,"&lt;&gt;Not Mapped"),0)</f>
        <v>-0.00210776557293558</v>
      </c>
      <c r="Q347" s="21" t="s">
        <v>649</v>
      </c>
      <c r="R347" s="21"/>
      <c r="S347" s="21"/>
      <c r="T347" s="21"/>
    </row>
    <row r="348" customFormat="false" ht="114" hidden="false" customHeight="true" outlineLevel="0" collapsed="false">
      <c r="A348" s="18" t="s">
        <v>273</v>
      </c>
      <c r="B348" s="18" t="s">
        <v>274</v>
      </c>
      <c r="C348" s="18" t="s">
        <v>650</v>
      </c>
      <c r="D348" s="18" t="s">
        <v>348</v>
      </c>
      <c r="E348" s="18" t="s">
        <v>54</v>
      </c>
      <c r="F348" s="18" t="s">
        <v>280</v>
      </c>
      <c r="G348" s="19" t="n">
        <v>-15436</v>
      </c>
      <c r="H348" s="19" t="n">
        <v>7018</v>
      </c>
      <c r="I348" s="19" t="n">
        <v>0</v>
      </c>
      <c r="J348" s="19" t="n">
        <v>49</v>
      </c>
      <c r="K348" s="19" t="n">
        <v>3344</v>
      </c>
      <c r="L348" s="19" t="n">
        <v>0</v>
      </c>
      <c r="M348" s="19" t="n">
        <v>0</v>
      </c>
      <c r="N348" s="19" t="n">
        <v>0</v>
      </c>
      <c r="O348" s="19" t="n">
        <v>-5025</v>
      </c>
      <c r="P348" s="20" t="n">
        <f aca="false">IFERROR(O348/SUMIFS($O$160:$O$418,$D$160:$D$418,"&lt;&gt;Not Mapped"),0)</f>
        <v>-0.00213624889148876</v>
      </c>
      <c r="Q348" s="21" t="s">
        <v>651</v>
      </c>
      <c r="R348" s="21"/>
      <c r="S348" s="21"/>
      <c r="T348" s="21"/>
    </row>
    <row r="349" customFormat="false" ht="114" hidden="false" customHeight="true" outlineLevel="0" collapsed="false">
      <c r="A349" s="18" t="s">
        <v>273</v>
      </c>
      <c r="B349" s="18" t="s">
        <v>408</v>
      </c>
      <c r="C349" s="18" t="s">
        <v>652</v>
      </c>
      <c r="D349" s="18" t="s">
        <v>410</v>
      </c>
      <c r="E349" s="18" t="s">
        <v>302</v>
      </c>
      <c r="F349" s="18" t="s">
        <v>280</v>
      </c>
      <c r="G349" s="19" t="n">
        <v>-12408</v>
      </c>
      <c r="H349" s="19" t="n">
        <v>4910</v>
      </c>
      <c r="I349" s="19" t="n">
        <v>2313</v>
      </c>
      <c r="J349" s="19" t="n">
        <v>0</v>
      </c>
      <c r="K349" s="19" t="n">
        <v>139</v>
      </c>
      <c r="L349" s="19" t="n">
        <v>0</v>
      </c>
      <c r="M349" s="19" t="n">
        <v>0</v>
      </c>
      <c r="N349" s="19" t="n">
        <v>0</v>
      </c>
      <c r="O349" s="19" t="n">
        <v>-5046</v>
      </c>
      <c r="P349" s="20" t="n">
        <f aca="false">IFERROR(O349/SUMIFS($O$160:$O$418,$D$160:$D$418,"&lt;&gt;Not Mapped"),0)</f>
        <v>-0.00214517649879647</v>
      </c>
      <c r="Q349" s="21" t="s">
        <v>653</v>
      </c>
      <c r="R349" s="21"/>
      <c r="S349" s="21"/>
      <c r="T349" s="21"/>
    </row>
    <row r="350" customFormat="false" ht="114" hidden="false" customHeight="true" outlineLevel="0" collapsed="false">
      <c r="A350" s="18" t="s">
        <v>273</v>
      </c>
      <c r="B350" s="18" t="s">
        <v>274</v>
      </c>
      <c r="C350" s="18" t="s">
        <v>654</v>
      </c>
      <c r="D350" s="18" t="s">
        <v>301</v>
      </c>
      <c r="E350" s="18" t="s">
        <v>302</v>
      </c>
      <c r="F350" s="18" t="s">
        <v>280</v>
      </c>
      <c r="G350" s="19" t="n">
        <v>-20246</v>
      </c>
      <c r="H350" s="19" t="n">
        <v>14628</v>
      </c>
      <c r="I350" s="19" t="n">
        <v>0</v>
      </c>
      <c r="J350" s="19" t="n">
        <v>34</v>
      </c>
      <c r="K350" s="19" t="n">
        <v>256</v>
      </c>
      <c r="L350" s="19" t="n">
        <v>0</v>
      </c>
      <c r="M350" s="19" t="n">
        <v>251</v>
      </c>
      <c r="N350" s="19" t="n">
        <v>0</v>
      </c>
      <c r="O350" s="19" t="n">
        <v>-5077</v>
      </c>
      <c r="P350" s="20" t="n">
        <f aca="false">IFERROR(O350/SUMIFS($O$160:$O$418,$D$160:$D$418,"&lt;&gt;Not Mapped"),0)</f>
        <v>-0.00215835534767929</v>
      </c>
      <c r="Q350" s="21" t="s">
        <v>655</v>
      </c>
      <c r="R350" s="21"/>
      <c r="S350" s="21"/>
      <c r="T350" s="21"/>
    </row>
    <row r="351" customFormat="false" ht="114" hidden="false" customHeight="true" outlineLevel="0" collapsed="false">
      <c r="A351" s="18" t="s">
        <v>273</v>
      </c>
      <c r="B351" s="18" t="s">
        <v>274</v>
      </c>
      <c r="C351" s="18" t="s">
        <v>656</v>
      </c>
      <c r="D351" s="18" t="s">
        <v>313</v>
      </c>
      <c r="E351" s="18" t="s">
        <v>85</v>
      </c>
      <c r="F351" s="18" t="s">
        <v>280</v>
      </c>
      <c r="G351" s="19" t="n">
        <v>-10294</v>
      </c>
      <c r="H351" s="19" t="n">
        <v>4340</v>
      </c>
      <c r="I351" s="19" t="n">
        <v>0</v>
      </c>
      <c r="J351" s="19" t="n">
        <v>702</v>
      </c>
      <c r="K351" s="19" t="n">
        <v>119</v>
      </c>
      <c r="L351" s="19" t="n">
        <v>0</v>
      </c>
      <c r="M351" s="19" t="n">
        <v>0</v>
      </c>
      <c r="N351" s="19" t="n">
        <v>0</v>
      </c>
      <c r="O351" s="19" t="n">
        <v>-5133</v>
      </c>
      <c r="P351" s="20" t="n">
        <f aca="false">IFERROR(O351/SUMIFS($O$160:$O$418,$D$160:$D$418,"&lt;&gt;Not Mapped"),0)</f>
        <v>-0.00218216230049986</v>
      </c>
      <c r="Q351" s="21" t="s">
        <v>657</v>
      </c>
      <c r="R351" s="21"/>
      <c r="S351" s="21"/>
      <c r="T351" s="21"/>
    </row>
    <row r="352" customFormat="false" ht="114" hidden="false" customHeight="true" outlineLevel="0" collapsed="false">
      <c r="A352" s="18" t="s">
        <v>273</v>
      </c>
      <c r="B352" s="18" t="s">
        <v>274</v>
      </c>
      <c r="C352" s="18" t="s">
        <v>658</v>
      </c>
      <c r="D352" s="18" t="s">
        <v>296</v>
      </c>
      <c r="E352" s="18" t="s">
        <v>297</v>
      </c>
      <c r="F352" s="18" t="s">
        <v>280</v>
      </c>
      <c r="G352" s="19" t="n">
        <v>-7590</v>
      </c>
      <c r="H352" s="19" t="n">
        <v>1741</v>
      </c>
      <c r="I352" s="19" t="n">
        <v>115</v>
      </c>
      <c r="J352" s="19" t="n">
        <v>0</v>
      </c>
      <c r="K352" s="19" t="n">
        <v>403</v>
      </c>
      <c r="L352" s="19" t="n">
        <v>0</v>
      </c>
      <c r="M352" s="19" t="n">
        <v>0</v>
      </c>
      <c r="N352" s="19" t="n">
        <v>0</v>
      </c>
      <c r="O352" s="19" t="n">
        <v>-5331</v>
      </c>
      <c r="P352" s="20" t="n">
        <f aca="false">IFERROR(O352/SUMIFS($O$160:$O$418,$D$160:$D$418,"&lt;&gt;Not Mapped"),0)</f>
        <v>-0.00226633688368688</v>
      </c>
      <c r="Q352" s="21" t="s">
        <v>659</v>
      </c>
      <c r="R352" s="21"/>
      <c r="S352" s="21"/>
      <c r="T352" s="21"/>
    </row>
    <row r="353" customFormat="false" ht="114" hidden="false" customHeight="true" outlineLevel="0" collapsed="false">
      <c r="A353" s="18" t="s">
        <v>273</v>
      </c>
      <c r="B353" s="18" t="s">
        <v>274</v>
      </c>
      <c r="C353" s="18" t="s">
        <v>660</v>
      </c>
      <c r="D353" s="18" t="s">
        <v>313</v>
      </c>
      <c r="E353" s="18" t="s">
        <v>85</v>
      </c>
      <c r="F353" s="18" t="s">
        <v>280</v>
      </c>
      <c r="G353" s="19" t="n">
        <v>-19317</v>
      </c>
      <c r="H353" s="19" t="n">
        <v>10703</v>
      </c>
      <c r="I353" s="19" t="n">
        <v>0</v>
      </c>
      <c r="J353" s="19" t="n">
        <v>400</v>
      </c>
      <c r="K353" s="19" t="n">
        <v>2810</v>
      </c>
      <c r="L353" s="19" t="n">
        <v>0</v>
      </c>
      <c r="M353" s="19" t="n">
        <v>0</v>
      </c>
      <c r="N353" s="19" t="n">
        <v>0</v>
      </c>
      <c r="O353" s="19" t="n">
        <v>-5403</v>
      </c>
      <c r="P353" s="20" t="n">
        <f aca="false">IFERROR(O353/SUMIFS($O$160:$O$418,$D$160:$D$418,"&lt;&gt;Not Mapped"),0)</f>
        <v>-0.00229694582302762</v>
      </c>
      <c r="Q353" s="21" t="s">
        <v>661</v>
      </c>
      <c r="R353" s="21"/>
      <c r="S353" s="21"/>
      <c r="T353" s="21"/>
    </row>
    <row r="354" customFormat="false" ht="78" hidden="false" customHeight="true" outlineLevel="0" collapsed="false">
      <c r="A354" s="18" t="s">
        <v>273</v>
      </c>
      <c r="B354" s="18" t="s">
        <v>633</v>
      </c>
      <c r="C354" s="18" t="s">
        <v>662</v>
      </c>
      <c r="D354" s="18" t="s">
        <v>410</v>
      </c>
      <c r="E354" s="18" t="s">
        <v>302</v>
      </c>
      <c r="F354" s="18" t="s">
        <v>280</v>
      </c>
      <c r="G354" s="19" t="n">
        <v>-5488</v>
      </c>
      <c r="H354" s="19" t="n">
        <v>0</v>
      </c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0</v>
      </c>
      <c r="O354" s="19" t="n">
        <v>-5488</v>
      </c>
      <c r="P354" s="20" t="n">
        <f aca="false">IFERROR(O354/SUMIFS($O$160:$O$418,$D$160:$D$418,"&lt;&gt;Not Mapped"),0)</f>
        <v>-0.00233308137641598</v>
      </c>
      <c r="Q354" s="21" t="s">
        <v>663</v>
      </c>
      <c r="R354" s="21"/>
      <c r="S354" s="21"/>
      <c r="T354" s="21"/>
    </row>
    <row r="355" customFormat="false" ht="102" hidden="false" customHeight="true" outlineLevel="0" collapsed="false">
      <c r="A355" s="18" t="s">
        <v>273</v>
      </c>
      <c r="B355" s="18" t="s">
        <v>398</v>
      </c>
      <c r="C355" s="18" t="s">
        <v>664</v>
      </c>
      <c r="D355" s="18" t="s">
        <v>399</v>
      </c>
      <c r="E355" s="18" t="s">
        <v>297</v>
      </c>
      <c r="F355" s="18" t="s">
        <v>280</v>
      </c>
      <c r="G355" s="19" t="n">
        <v>-5576</v>
      </c>
      <c r="H355" s="19" t="n">
        <v>0</v>
      </c>
      <c r="I355" s="19" t="n">
        <v>0</v>
      </c>
      <c r="J355" s="19" t="n">
        <v>0</v>
      </c>
      <c r="K355" s="19" t="n">
        <v>8</v>
      </c>
      <c r="L355" s="19" t="n">
        <v>0</v>
      </c>
      <c r="M355" s="19" t="n">
        <v>0</v>
      </c>
      <c r="N355" s="19" t="n">
        <v>0</v>
      </c>
      <c r="O355" s="19" t="n">
        <v>-5568</v>
      </c>
      <c r="P355" s="20" t="n">
        <f aca="false">IFERROR(O355/SUMIFS($O$160:$O$418,$D$160:$D$418,"&lt;&gt;Not Mapped"),0)</f>
        <v>-0.0023670913090168</v>
      </c>
      <c r="Q355" s="21" t="s">
        <v>665</v>
      </c>
      <c r="R355" s="21"/>
      <c r="S355" s="21"/>
      <c r="T355" s="21"/>
    </row>
    <row r="356" customFormat="false" ht="114" hidden="false" customHeight="true" outlineLevel="0" collapsed="false">
      <c r="A356" s="18" t="s">
        <v>273</v>
      </c>
      <c r="B356" s="18" t="s">
        <v>274</v>
      </c>
      <c r="C356" s="18" t="s">
        <v>666</v>
      </c>
      <c r="D356" s="18" t="s">
        <v>48</v>
      </c>
      <c r="E356" s="18" t="s">
        <v>49</v>
      </c>
      <c r="F356" s="18" t="s">
        <v>280</v>
      </c>
      <c r="G356" s="19" t="n">
        <v>-11044</v>
      </c>
      <c r="H356" s="19" t="n">
        <v>4177</v>
      </c>
      <c r="I356" s="19" t="n">
        <v>0</v>
      </c>
      <c r="J356" s="19" t="n">
        <v>197</v>
      </c>
      <c r="K356" s="19" t="n">
        <v>686</v>
      </c>
      <c r="L356" s="19" t="n">
        <v>0</v>
      </c>
      <c r="M356" s="19" t="n">
        <v>0</v>
      </c>
      <c r="N356" s="19" t="n">
        <v>348</v>
      </c>
      <c r="O356" s="19" t="n">
        <v>-5636</v>
      </c>
      <c r="P356" s="20" t="n">
        <f aca="false">IFERROR(O356/SUMIFS($O$160:$O$418,$D$160:$D$418,"&lt;&gt;Not Mapped"),0)</f>
        <v>-0.00239599975172749</v>
      </c>
      <c r="Q356" s="21" t="s">
        <v>667</v>
      </c>
      <c r="R356" s="21"/>
      <c r="S356" s="21"/>
      <c r="T356" s="21"/>
    </row>
    <row r="357" customFormat="false" ht="114" hidden="false" customHeight="true" outlineLevel="0" collapsed="false">
      <c r="A357" s="18" t="s">
        <v>273</v>
      </c>
      <c r="B357" s="18" t="s">
        <v>274</v>
      </c>
      <c r="C357" s="18" t="s">
        <v>668</v>
      </c>
      <c r="D357" s="18" t="s">
        <v>43</v>
      </c>
      <c r="E357" s="18" t="s">
        <v>44</v>
      </c>
      <c r="F357" s="18" t="s">
        <v>280</v>
      </c>
      <c r="G357" s="19" t="n">
        <v>-10049</v>
      </c>
      <c r="H357" s="19" t="n">
        <v>3910</v>
      </c>
      <c r="I357" s="19" t="n">
        <v>0</v>
      </c>
      <c r="J357" s="19" t="n">
        <v>0</v>
      </c>
      <c r="K357" s="19" t="n">
        <v>0</v>
      </c>
      <c r="L357" s="19" t="n">
        <v>0</v>
      </c>
      <c r="M357" s="19" t="n">
        <v>0</v>
      </c>
      <c r="N357" s="19" t="n">
        <v>0</v>
      </c>
      <c r="O357" s="19" t="n">
        <v>-6139</v>
      </c>
      <c r="P357" s="20" t="n">
        <f aca="false">IFERROR(O357/SUMIFS($O$160:$O$418,$D$160:$D$418,"&lt;&gt;Not Mapped"),0)</f>
        <v>-0.00260983720295512</v>
      </c>
      <c r="Q357" s="21" t="s">
        <v>669</v>
      </c>
      <c r="R357" s="21"/>
      <c r="S357" s="21"/>
      <c r="T357" s="21"/>
    </row>
    <row r="358" customFormat="false" ht="114" hidden="false" customHeight="true" outlineLevel="0" collapsed="false">
      <c r="A358" s="18" t="s">
        <v>273</v>
      </c>
      <c r="B358" s="18" t="s">
        <v>274</v>
      </c>
      <c r="C358" s="18" t="s">
        <v>670</v>
      </c>
      <c r="D358" s="18" t="s">
        <v>296</v>
      </c>
      <c r="E358" s="18" t="s">
        <v>297</v>
      </c>
      <c r="F358" s="18" t="s">
        <v>280</v>
      </c>
      <c r="G358" s="19" t="n">
        <v>-7144</v>
      </c>
      <c r="H358" s="19" t="n">
        <v>933</v>
      </c>
      <c r="I358" s="19" t="n">
        <v>0</v>
      </c>
      <c r="J358" s="19" t="n">
        <v>0</v>
      </c>
      <c r="K358" s="19" t="n">
        <v>0</v>
      </c>
      <c r="L358" s="19" t="n">
        <v>0</v>
      </c>
      <c r="M358" s="19" t="n">
        <v>61</v>
      </c>
      <c r="N358" s="19" t="n">
        <v>0</v>
      </c>
      <c r="O358" s="19" t="n">
        <v>-6150</v>
      </c>
      <c r="P358" s="20" t="n">
        <f aca="false">IFERROR(O358/SUMIFS($O$160:$O$418,$D$160:$D$418,"&lt;&gt;Not Mapped"),0)</f>
        <v>-0.00261451356868774</v>
      </c>
      <c r="Q358" s="21" t="s">
        <v>671</v>
      </c>
      <c r="R358" s="21"/>
      <c r="S358" s="21"/>
      <c r="T358" s="21"/>
    </row>
    <row r="359" customFormat="false" ht="90" hidden="false" customHeight="true" outlineLevel="0" collapsed="false">
      <c r="A359" s="18" t="s">
        <v>273</v>
      </c>
      <c r="B359" s="18" t="s">
        <v>274</v>
      </c>
      <c r="C359" s="18" t="s">
        <v>672</v>
      </c>
      <c r="D359" s="18" t="s">
        <v>305</v>
      </c>
      <c r="E359" s="18" t="s">
        <v>54</v>
      </c>
      <c r="F359" s="18" t="s">
        <v>280</v>
      </c>
      <c r="G359" s="19" t="n">
        <v>-6726</v>
      </c>
      <c r="H359" s="19" t="n">
        <v>356</v>
      </c>
      <c r="I359" s="19" t="n">
        <v>0</v>
      </c>
      <c r="J359" s="19" t="n">
        <v>0</v>
      </c>
      <c r="K359" s="19" t="n">
        <v>64</v>
      </c>
      <c r="L359" s="19" t="n">
        <v>0</v>
      </c>
      <c r="M359" s="19" t="n">
        <v>0</v>
      </c>
      <c r="N359" s="19" t="n">
        <v>0</v>
      </c>
      <c r="O359" s="19" t="n">
        <v>-6307</v>
      </c>
      <c r="P359" s="20" t="n">
        <f aca="false">IFERROR(O359/SUMIFS($O$160:$O$418,$D$160:$D$418,"&lt;&gt;Not Mapped"),0)</f>
        <v>-0.00268125806141684</v>
      </c>
      <c r="Q359" s="21" t="s">
        <v>673</v>
      </c>
      <c r="R359" s="21"/>
      <c r="S359" s="21"/>
      <c r="T359" s="21"/>
    </row>
    <row r="360" customFormat="false" ht="78" hidden="false" customHeight="true" outlineLevel="0" collapsed="false">
      <c r="A360" s="18" t="s">
        <v>273</v>
      </c>
      <c r="B360" s="18" t="s">
        <v>486</v>
      </c>
      <c r="C360" s="18" t="s">
        <v>674</v>
      </c>
      <c r="D360" s="18" t="s">
        <v>488</v>
      </c>
      <c r="E360" s="18" t="s">
        <v>321</v>
      </c>
      <c r="F360" s="18" t="s">
        <v>280</v>
      </c>
      <c r="G360" s="19" t="n">
        <v>-6360</v>
      </c>
      <c r="H360" s="19" t="n">
        <v>0</v>
      </c>
      <c r="I360" s="19" t="n">
        <v>0</v>
      </c>
      <c r="J360" s="19" t="n">
        <v>0</v>
      </c>
      <c r="K360" s="19" t="n">
        <v>0</v>
      </c>
      <c r="L360" s="19" t="n">
        <v>0</v>
      </c>
      <c r="M360" s="19" t="n">
        <v>0</v>
      </c>
      <c r="N360" s="19" t="n">
        <v>0</v>
      </c>
      <c r="O360" s="19" t="n">
        <v>-6360</v>
      </c>
      <c r="P360" s="20" t="n">
        <f aca="false">IFERROR(O360/SUMIFS($O$160:$O$418,$D$160:$D$418,"&lt;&gt;Not Mapped"),0)</f>
        <v>-0.00270378964176488</v>
      </c>
      <c r="Q360" s="21" t="s">
        <v>675</v>
      </c>
      <c r="R360" s="21"/>
      <c r="S360" s="21"/>
      <c r="T360" s="21"/>
    </row>
    <row r="361" customFormat="false" ht="114" hidden="false" customHeight="true" outlineLevel="0" collapsed="false">
      <c r="A361" s="18" t="s">
        <v>273</v>
      </c>
      <c r="B361" s="18" t="s">
        <v>274</v>
      </c>
      <c r="C361" s="18" t="s">
        <v>676</v>
      </c>
      <c r="D361" s="18" t="s">
        <v>348</v>
      </c>
      <c r="E361" s="18" t="s">
        <v>54</v>
      </c>
      <c r="F361" s="18" t="s">
        <v>280</v>
      </c>
      <c r="G361" s="19" t="n">
        <v>-11184</v>
      </c>
      <c r="H361" s="19" t="n">
        <v>4108</v>
      </c>
      <c r="I361" s="19" t="n">
        <v>0</v>
      </c>
      <c r="J361" s="19" t="n">
        <v>0</v>
      </c>
      <c r="K361" s="19" t="n">
        <v>182</v>
      </c>
      <c r="L361" s="19" t="n">
        <v>0</v>
      </c>
      <c r="M361" s="19" t="n">
        <v>491</v>
      </c>
      <c r="N361" s="19" t="n">
        <v>0</v>
      </c>
      <c r="O361" s="19" t="n">
        <v>-6403</v>
      </c>
      <c r="P361" s="20" t="n">
        <f aca="false">IFERROR(O361/SUMIFS($O$160:$O$418,$D$160:$D$418,"&lt;&gt;Not Mapped"),0)</f>
        <v>-0.00272206998053782</v>
      </c>
      <c r="Q361" s="21" t="s">
        <v>677</v>
      </c>
      <c r="R361" s="21"/>
      <c r="S361" s="21"/>
      <c r="T361" s="21"/>
    </row>
    <row r="362" customFormat="false" ht="102" hidden="false" customHeight="true" outlineLevel="0" collapsed="false">
      <c r="A362" s="18" t="s">
        <v>273</v>
      </c>
      <c r="B362" s="18" t="s">
        <v>458</v>
      </c>
      <c r="C362" s="18" t="s">
        <v>678</v>
      </c>
      <c r="D362" s="18" t="s">
        <v>460</v>
      </c>
      <c r="E362" s="18" t="s">
        <v>321</v>
      </c>
      <c r="F362" s="18" t="s">
        <v>280</v>
      </c>
      <c r="G362" s="19" t="n">
        <v>-7967</v>
      </c>
      <c r="H362" s="19" t="n">
        <v>392</v>
      </c>
      <c r="I362" s="19" t="n">
        <v>0</v>
      </c>
      <c r="J362" s="19" t="n">
        <v>781</v>
      </c>
      <c r="K362" s="19" t="n">
        <v>380</v>
      </c>
      <c r="L362" s="19" t="n">
        <v>0</v>
      </c>
      <c r="M362" s="19" t="n">
        <v>0</v>
      </c>
      <c r="N362" s="19" t="n">
        <v>0</v>
      </c>
      <c r="O362" s="19" t="n">
        <v>-6416</v>
      </c>
      <c r="P362" s="20" t="n">
        <f aca="false">IFERROR(O362/SUMIFS($O$160:$O$418,$D$160:$D$418,"&lt;&gt;Not Mapped"),0)</f>
        <v>-0.00272759659458545</v>
      </c>
      <c r="Q362" s="21" t="s">
        <v>679</v>
      </c>
      <c r="R362" s="21"/>
      <c r="S362" s="21"/>
      <c r="T362" s="21"/>
    </row>
    <row r="363" customFormat="false" ht="114" hidden="false" customHeight="true" outlineLevel="0" collapsed="false">
      <c r="A363" s="18" t="s">
        <v>273</v>
      </c>
      <c r="B363" s="18" t="s">
        <v>274</v>
      </c>
      <c r="C363" s="18" t="s">
        <v>680</v>
      </c>
      <c r="D363" s="18" t="s">
        <v>315</v>
      </c>
      <c r="E363" s="18" t="s">
        <v>49</v>
      </c>
      <c r="F363" s="18" t="s">
        <v>280</v>
      </c>
      <c r="G363" s="19" t="n">
        <v>-10079</v>
      </c>
      <c r="H363" s="19" t="n">
        <v>815</v>
      </c>
      <c r="I363" s="19" t="n">
        <v>1168</v>
      </c>
      <c r="J363" s="19" t="n">
        <v>635</v>
      </c>
      <c r="K363" s="19" t="n">
        <v>277</v>
      </c>
      <c r="L363" s="19" t="n">
        <v>0</v>
      </c>
      <c r="M363" s="19" t="n">
        <v>593</v>
      </c>
      <c r="N363" s="19" t="n">
        <v>0</v>
      </c>
      <c r="O363" s="19" t="n">
        <v>-6592</v>
      </c>
      <c r="P363" s="20" t="n">
        <f aca="false">IFERROR(O363/SUMIFS($O$160:$O$418,$D$160:$D$418,"&lt;&gt;Not Mapped"),0)</f>
        <v>-0.00280241844630724</v>
      </c>
      <c r="Q363" s="21" t="s">
        <v>681</v>
      </c>
      <c r="R363" s="21"/>
      <c r="S363" s="21"/>
      <c r="T363" s="21"/>
    </row>
    <row r="364" customFormat="false" ht="78" hidden="false" customHeight="true" outlineLevel="0" collapsed="false">
      <c r="A364" s="18" t="s">
        <v>273</v>
      </c>
      <c r="B364" s="18" t="s">
        <v>633</v>
      </c>
      <c r="C364" s="18" t="s">
        <v>682</v>
      </c>
      <c r="D364" s="18" t="s">
        <v>410</v>
      </c>
      <c r="E364" s="18" t="s">
        <v>302</v>
      </c>
      <c r="F364" s="18" t="s">
        <v>280</v>
      </c>
      <c r="G364" s="19" t="n">
        <v>-6649</v>
      </c>
      <c r="H364" s="19" t="n">
        <v>0</v>
      </c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0</v>
      </c>
      <c r="O364" s="19" t="n">
        <v>-6649</v>
      </c>
      <c r="P364" s="20" t="n">
        <f aca="false">IFERROR(O364/SUMIFS($O$160:$O$418,$D$160:$D$418,"&lt;&gt;Not Mapped"),0)</f>
        <v>-0.00282665052328533</v>
      </c>
      <c r="Q364" s="21" t="s">
        <v>683</v>
      </c>
      <c r="R364" s="21"/>
      <c r="S364" s="21"/>
      <c r="T364" s="21"/>
    </row>
    <row r="365" customFormat="false" ht="114" hidden="false" customHeight="true" outlineLevel="0" collapsed="false">
      <c r="A365" s="18" t="s">
        <v>273</v>
      </c>
      <c r="B365" s="18" t="s">
        <v>274</v>
      </c>
      <c r="C365" s="18" t="s">
        <v>684</v>
      </c>
      <c r="D365" s="18" t="s">
        <v>313</v>
      </c>
      <c r="E365" s="18" t="s">
        <v>85</v>
      </c>
      <c r="F365" s="18" t="s">
        <v>280</v>
      </c>
      <c r="G365" s="19" t="n">
        <v>-12490</v>
      </c>
      <c r="H365" s="19" t="n">
        <v>5741</v>
      </c>
      <c r="I365" s="19" t="n">
        <v>0</v>
      </c>
      <c r="J365" s="19" t="n">
        <v>30</v>
      </c>
      <c r="K365" s="19" t="n">
        <v>0</v>
      </c>
      <c r="L365" s="19" t="n">
        <v>0</v>
      </c>
      <c r="M365" s="19" t="n">
        <v>0</v>
      </c>
      <c r="N365" s="19" t="n">
        <v>0</v>
      </c>
      <c r="O365" s="19" t="n">
        <v>-6720</v>
      </c>
      <c r="P365" s="20" t="n">
        <f aca="false">IFERROR(O365/SUMIFS($O$160:$O$418,$D$160:$D$418,"&lt;&gt;Not Mapped"),0)</f>
        <v>-0.00285683433846855</v>
      </c>
      <c r="Q365" s="21" t="s">
        <v>685</v>
      </c>
      <c r="R365" s="21"/>
      <c r="S365" s="21"/>
      <c r="T365" s="21"/>
    </row>
    <row r="366" customFormat="false" ht="102" hidden="false" customHeight="true" outlineLevel="0" collapsed="false">
      <c r="A366" s="18" t="s">
        <v>273</v>
      </c>
      <c r="B366" s="18" t="s">
        <v>274</v>
      </c>
      <c r="C366" s="18" t="s">
        <v>686</v>
      </c>
      <c r="D366" s="18" t="s">
        <v>53</v>
      </c>
      <c r="E366" s="18" t="s">
        <v>54</v>
      </c>
      <c r="F366" s="18" t="s">
        <v>280</v>
      </c>
      <c r="G366" s="19" t="n">
        <v>-10959</v>
      </c>
      <c r="H366" s="19" t="n">
        <v>3796</v>
      </c>
      <c r="I366" s="19" t="n">
        <v>0</v>
      </c>
      <c r="J366" s="19" t="n">
        <v>260</v>
      </c>
      <c r="K366" s="19" t="n">
        <v>73</v>
      </c>
      <c r="L366" s="19" t="n">
        <v>0</v>
      </c>
      <c r="M366" s="19" t="n">
        <v>0</v>
      </c>
      <c r="N366" s="19" t="n">
        <v>0</v>
      </c>
      <c r="O366" s="19" t="n">
        <v>-6830</v>
      </c>
      <c r="P366" s="20" t="n">
        <f aca="false">IFERROR(O366/SUMIFS($O$160:$O$418,$D$160:$D$418,"&lt;&gt;Not Mapped"),0)</f>
        <v>-0.00290359799579467</v>
      </c>
      <c r="Q366" s="21" t="s">
        <v>687</v>
      </c>
      <c r="R366" s="21"/>
      <c r="S366" s="21"/>
      <c r="T366" s="21"/>
    </row>
    <row r="367" customFormat="false" ht="90" hidden="false" customHeight="true" outlineLevel="0" collapsed="false">
      <c r="A367" s="18" t="s">
        <v>273</v>
      </c>
      <c r="B367" s="18" t="s">
        <v>274</v>
      </c>
      <c r="C367" s="18" t="s">
        <v>688</v>
      </c>
      <c r="D367" s="18" t="s">
        <v>61</v>
      </c>
      <c r="E367" s="18" t="s">
        <v>54</v>
      </c>
      <c r="F367" s="18" t="s">
        <v>280</v>
      </c>
      <c r="G367" s="19" t="n">
        <v>-7373</v>
      </c>
      <c r="H367" s="19" t="n">
        <v>190</v>
      </c>
      <c r="I367" s="19" t="n">
        <v>0</v>
      </c>
      <c r="J367" s="19" t="n">
        <v>0</v>
      </c>
      <c r="K367" s="19" t="n">
        <v>333</v>
      </c>
      <c r="L367" s="19" t="n">
        <v>0</v>
      </c>
      <c r="M367" s="19" t="n">
        <v>0</v>
      </c>
      <c r="N367" s="19" t="n">
        <v>0</v>
      </c>
      <c r="O367" s="19" t="n">
        <v>-6850</v>
      </c>
      <c r="P367" s="20" t="n">
        <f aca="false">IFERROR(O367/SUMIFS($O$160:$O$418,$D$160:$D$418,"&lt;&gt;Not Mapped"),0)</f>
        <v>-0.00291210047894488</v>
      </c>
      <c r="Q367" s="21" t="s">
        <v>689</v>
      </c>
      <c r="R367" s="21"/>
      <c r="S367" s="21"/>
      <c r="T367" s="21"/>
    </row>
    <row r="368" customFormat="false" ht="102" hidden="false" customHeight="true" outlineLevel="0" collapsed="false">
      <c r="A368" s="18" t="s">
        <v>273</v>
      </c>
      <c r="B368" s="18" t="s">
        <v>486</v>
      </c>
      <c r="C368" s="18" t="s">
        <v>690</v>
      </c>
      <c r="D368" s="18" t="s">
        <v>488</v>
      </c>
      <c r="E368" s="18" t="s">
        <v>321</v>
      </c>
      <c r="F368" s="18" t="s">
        <v>280</v>
      </c>
      <c r="G368" s="19" t="n">
        <v>-7519</v>
      </c>
      <c r="H368" s="19" t="n">
        <v>299</v>
      </c>
      <c r="I368" s="19" t="n">
        <v>0</v>
      </c>
      <c r="J368" s="19" t="n">
        <v>0</v>
      </c>
      <c r="K368" s="19" t="n">
        <v>0</v>
      </c>
      <c r="L368" s="19" t="n">
        <v>0</v>
      </c>
      <c r="M368" s="19" t="n">
        <v>0</v>
      </c>
      <c r="N368" s="19" t="n">
        <v>0</v>
      </c>
      <c r="O368" s="19" t="n">
        <v>-7220</v>
      </c>
      <c r="P368" s="20" t="n">
        <f aca="false">IFERROR(O368/SUMIFS($O$160:$O$418,$D$160:$D$418,"&lt;&gt;Not Mapped"),0)</f>
        <v>-0.00306939641722365</v>
      </c>
      <c r="Q368" s="21" t="s">
        <v>691</v>
      </c>
      <c r="R368" s="21"/>
      <c r="S368" s="21"/>
      <c r="T368" s="21"/>
    </row>
    <row r="369" customFormat="false" ht="114" hidden="false" customHeight="true" outlineLevel="0" collapsed="false">
      <c r="A369" s="18" t="s">
        <v>273</v>
      </c>
      <c r="B369" s="18" t="s">
        <v>274</v>
      </c>
      <c r="C369" s="18" t="s">
        <v>692</v>
      </c>
      <c r="D369" s="18" t="s">
        <v>48</v>
      </c>
      <c r="E369" s="18" t="s">
        <v>49</v>
      </c>
      <c r="F369" s="18" t="s">
        <v>280</v>
      </c>
      <c r="G369" s="19" t="n">
        <v>-23739</v>
      </c>
      <c r="H369" s="19" t="n">
        <v>14937</v>
      </c>
      <c r="I369" s="19" t="n">
        <v>0</v>
      </c>
      <c r="J369" s="19" t="n">
        <v>322</v>
      </c>
      <c r="K369" s="19" t="n">
        <v>878</v>
      </c>
      <c r="L369" s="19" t="n">
        <v>0</v>
      </c>
      <c r="M369" s="19" t="n">
        <v>0</v>
      </c>
      <c r="N369" s="19" t="n">
        <v>0</v>
      </c>
      <c r="O369" s="19" t="n">
        <v>-7602</v>
      </c>
      <c r="P369" s="20" t="n">
        <f aca="false">IFERROR(O369/SUMIFS($O$160:$O$418,$D$160:$D$418,"&lt;&gt;Not Mapped"),0)</f>
        <v>-0.00323179384539255</v>
      </c>
      <c r="Q369" s="21" t="s">
        <v>693</v>
      </c>
      <c r="R369" s="21"/>
      <c r="S369" s="21"/>
      <c r="T369" s="21"/>
    </row>
    <row r="370" customFormat="false" ht="102" hidden="false" customHeight="true" outlineLevel="0" collapsed="false">
      <c r="A370" s="18" t="s">
        <v>273</v>
      </c>
      <c r="B370" s="18" t="s">
        <v>274</v>
      </c>
      <c r="C370" s="18" t="s">
        <v>694</v>
      </c>
      <c r="D370" s="18" t="s">
        <v>35</v>
      </c>
      <c r="E370" s="18" t="s">
        <v>36</v>
      </c>
      <c r="F370" s="18" t="s">
        <v>275</v>
      </c>
      <c r="G370" s="19" t="n">
        <v>-10777</v>
      </c>
      <c r="H370" s="19" t="n">
        <v>3143</v>
      </c>
      <c r="I370" s="19" t="n">
        <v>0</v>
      </c>
      <c r="J370" s="19" t="n">
        <v>0</v>
      </c>
      <c r="K370" s="19" t="n">
        <v>0</v>
      </c>
      <c r="L370" s="19" t="n">
        <v>0</v>
      </c>
      <c r="M370" s="19" t="n">
        <v>0</v>
      </c>
      <c r="N370" s="19" t="n">
        <v>0</v>
      </c>
      <c r="O370" s="19" t="n">
        <v>-7634</v>
      </c>
      <c r="P370" s="20" t="n">
        <f aca="false">IFERROR(O370/SUMIFS($O$160:$O$418,$D$160:$D$418,"&lt;&gt;Not Mapped"),0)</f>
        <v>-0.00324539781843287</v>
      </c>
      <c r="Q370" s="21" t="s">
        <v>695</v>
      </c>
      <c r="R370" s="21"/>
      <c r="S370" s="21"/>
      <c r="T370" s="21"/>
    </row>
    <row r="371" customFormat="false" ht="114" hidden="false" customHeight="true" outlineLevel="0" collapsed="false">
      <c r="A371" s="18" t="s">
        <v>273</v>
      </c>
      <c r="B371" s="18" t="s">
        <v>274</v>
      </c>
      <c r="C371" s="18" t="s">
        <v>696</v>
      </c>
      <c r="D371" s="18" t="s">
        <v>315</v>
      </c>
      <c r="E371" s="18" t="s">
        <v>49</v>
      </c>
      <c r="F371" s="18" t="s">
        <v>280</v>
      </c>
      <c r="G371" s="19" t="n">
        <v>-9149</v>
      </c>
      <c r="H371" s="19" t="n">
        <v>1023</v>
      </c>
      <c r="I371" s="19" t="n">
        <v>336</v>
      </c>
      <c r="J371" s="19" t="n">
        <v>27</v>
      </c>
      <c r="K371" s="19" t="n">
        <v>56</v>
      </c>
      <c r="L371" s="19" t="n">
        <v>0</v>
      </c>
      <c r="M371" s="19" t="n">
        <v>0</v>
      </c>
      <c r="N371" s="19" t="n">
        <v>0</v>
      </c>
      <c r="O371" s="19" t="n">
        <v>-7708</v>
      </c>
      <c r="P371" s="20" t="n">
        <f aca="false">IFERROR(O371/SUMIFS($O$160:$O$418,$D$160:$D$418,"&lt;&gt;Not Mapped"),0)</f>
        <v>-0.00327685700608863</v>
      </c>
      <c r="Q371" s="21" t="s">
        <v>697</v>
      </c>
      <c r="R371" s="21"/>
      <c r="S371" s="21"/>
      <c r="T371" s="21"/>
    </row>
    <row r="372" customFormat="false" ht="114" hidden="false" customHeight="true" outlineLevel="0" collapsed="false">
      <c r="A372" s="18" t="s">
        <v>273</v>
      </c>
      <c r="B372" s="18" t="s">
        <v>274</v>
      </c>
      <c r="C372" s="18" t="s">
        <v>698</v>
      </c>
      <c r="D372" s="18" t="s">
        <v>320</v>
      </c>
      <c r="E372" s="18" t="s">
        <v>321</v>
      </c>
      <c r="F372" s="18" t="s">
        <v>280</v>
      </c>
      <c r="G372" s="19" t="n">
        <v>-12944</v>
      </c>
      <c r="H372" s="19" t="n">
        <v>4491</v>
      </c>
      <c r="I372" s="19" t="n">
        <v>0</v>
      </c>
      <c r="J372" s="19" t="n">
        <v>648</v>
      </c>
      <c r="K372" s="19" t="n">
        <v>0</v>
      </c>
      <c r="L372" s="19" t="n">
        <v>0</v>
      </c>
      <c r="M372" s="19" t="n">
        <v>0</v>
      </c>
      <c r="N372" s="19" t="n">
        <v>0</v>
      </c>
      <c r="O372" s="19" t="n">
        <v>-7805</v>
      </c>
      <c r="P372" s="20" t="n">
        <f aca="false">IFERROR(O372/SUMIFS($O$160:$O$418,$D$160:$D$418,"&lt;&gt;Not Mapped"),0)</f>
        <v>-0.00331809404936712</v>
      </c>
      <c r="Q372" s="21" t="s">
        <v>699</v>
      </c>
      <c r="R372" s="21"/>
      <c r="S372" s="21"/>
      <c r="T372" s="21"/>
    </row>
    <row r="373" customFormat="false" ht="114" hidden="false" customHeight="true" outlineLevel="0" collapsed="false">
      <c r="A373" s="18" t="s">
        <v>273</v>
      </c>
      <c r="B373" s="18" t="s">
        <v>408</v>
      </c>
      <c r="C373" s="18" t="s">
        <v>700</v>
      </c>
      <c r="D373" s="18" t="s">
        <v>410</v>
      </c>
      <c r="E373" s="18" t="s">
        <v>302</v>
      </c>
      <c r="F373" s="18" t="s">
        <v>280</v>
      </c>
      <c r="G373" s="19" t="n">
        <v>-19476</v>
      </c>
      <c r="H373" s="19" t="n">
        <v>6667</v>
      </c>
      <c r="I373" s="19" t="n">
        <v>1000</v>
      </c>
      <c r="J373" s="19" t="n">
        <v>0</v>
      </c>
      <c r="K373" s="19" t="n">
        <v>0</v>
      </c>
      <c r="L373" s="19" t="n">
        <v>0</v>
      </c>
      <c r="M373" s="19" t="n">
        <v>3786</v>
      </c>
      <c r="N373" s="19" t="n">
        <v>0</v>
      </c>
      <c r="O373" s="19" t="n">
        <v>-8023</v>
      </c>
      <c r="P373" s="20" t="n">
        <f aca="false">IFERROR(O373/SUMIFS($O$160:$O$418,$D$160:$D$418,"&lt;&gt;Not Mapped"),0)</f>
        <v>-0.00341077111570434</v>
      </c>
      <c r="Q373" s="21" t="s">
        <v>701</v>
      </c>
      <c r="R373" s="21"/>
      <c r="S373" s="21"/>
      <c r="T373" s="21"/>
    </row>
    <row r="374" customFormat="false" ht="114" hidden="false" customHeight="true" outlineLevel="0" collapsed="false">
      <c r="A374" s="18" t="s">
        <v>273</v>
      </c>
      <c r="B374" s="18" t="s">
        <v>274</v>
      </c>
      <c r="C374" s="18" t="s">
        <v>702</v>
      </c>
      <c r="D374" s="18" t="s">
        <v>320</v>
      </c>
      <c r="E374" s="18" t="s">
        <v>321</v>
      </c>
      <c r="F374" s="18" t="s">
        <v>280</v>
      </c>
      <c r="G374" s="19" t="n">
        <v>-23503</v>
      </c>
      <c r="H374" s="19" t="n">
        <v>12828</v>
      </c>
      <c r="I374" s="19" t="n">
        <v>0</v>
      </c>
      <c r="J374" s="19" t="n">
        <v>842</v>
      </c>
      <c r="K374" s="19" t="n">
        <v>622</v>
      </c>
      <c r="L374" s="19" t="n">
        <v>0</v>
      </c>
      <c r="M374" s="19" t="n">
        <v>1082</v>
      </c>
      <c r="N374" s="19" t="n">
        <v>19</v>
      </c>
      <c r="O374" s="19" t="n">
        <v>-8110</v>
      </c>
      <c r="P374" s="20" t="n">
        <f aca="false">IFERROR(O374/SUMIFS($O$160:$O$418,$D$160:$D$418,"&lt;&gt;Not Mapped"),0)</f>
        <v>-0.00344775691740773</v>
      </c>
      <c r="Q374" s="21" t="s">
        <v>703</v>
      </c>
      <c r="R374" s="21"/>
      <c r="S374" s="21"/>
      <c r="T374" s="21"/>
    </row>
    <row r="375" customFormat="false" ht="114" hidden="false" customHeight="true" outlineLevel="0" collapsed="false">
      <c r="A375" s="18" t="s">
        <v>273</v>
      </c>
      <c r="B375" s="18" t="s">
        <v>408</v>
      </c>
      <c r="C375" s="18" t="s">
        <v>704</v>
      </c>
      <c r="D375" s="18" t="s">
        <v>410</v>
      </c>
      <c r="E375" s="18" t="s">
        <v>302</v>
      </c>
      <c r="F375" s="18" t="s">
        <v>280</v>
      </c>
      <c r="G375" s="19" t="n">
        <v>-10069</v>
      </c>
      <c r="H375" s="19" t="n">
        <v>1068</v>
      </c>
      <c r="I375" s="19" t="n">
        <v>0</v>
      </c>
      <c r="J375" s="19" t="n">
        <v>0</v>
      </c>
      <c r="K375" s="19" t="n">
        <v>443</v>
      </c>
      <c r="L375" s="19" t="n">
        <v>0</v>
      </c>
      <c r="M375" s="19" t="n">
        <v>0</v>
      </c>
      <c r="N375" s="19" t="n">
        <v>0</v>
      </c>
      <c r="O375" s="19" t="n">
        <v>-8558</v>
      </c>
      <c r="P375" s="20" t="n">
        <f aca="false">IFERROR(O375/SUMIFS($O$160:$O$418,$D$160:$D$418,"&lt;&gt;Not Mapped"),0)</f>
        <v>-0.0036382125399723</v>
      </c>
      <c r="Q375" s="21" t="s">
        <v>705</v>
      </c>
      <c r="R375" s="21"/>
      <c r="S375" s="21"/>
      <c r="T375" s="21"/>
    </row>
    <row r="376" customFormat="false" ht="114" hidden="false" customHeight="true" outlineLevel="0" collapsed="false">
      <c r="A376" s="18" t="s">
        <v>273</v>
      </c>
      <c r="B376" s="18" t="s">
        <v>398</v>
      </c>
      <c r="C376" s="18" t="s">
        <v>706</v>
      </c>
      <c r="D376" s="18" t="s">
        <v>399</v>
      </c>
      <c r="E376" s="18" t="s">
        <v>297</v>
      </c>
      <c r="F376" s="18" t="s">
        <v>280</v>
      </c>
      <c r="G376" s="19" t="n">
        <v>-15646</v>
      </c>
      <c r="H376" s="19" t="n">
        <v>5885</v>
      </c>
      <c r="I376" s="19" t="n">
        <v>641</v>
      </c>
      <c r="J376" s="19" t="n">
        <v>0</v>
      </c>
      <c r="K376" s="19" t="n">
        <v>555</v>
      </c>
      <c r="L376" s="19" t="n">
        <v>0</v>
      </c>
      <c r="M376" s="19" t="n">
        <v>0</v>
      </c>
      <c r="N376" s="19" t="n">
        <v>0</v>
      </c>
      <c r="O376" s="19" t="n">
        <v>-8566</v>
      </c>
      <c r="P376" s="20" t="n">
        <f aca="false">IFERROR(O376/SUMIFS($O$160:$O$418,$D$160:$D$418,"&lt;&gt;Not Mapped"),0)</f>
        <v>-0.00364161353323238</v>
      </c>
      <c r="Q376" s="21" t="s">
        <v>707</v>
      </c>
      <c r="R376" s="21"/>
      <c r="S376" s="21"/>
      <c r="T376" s="21"/>
    </row>
    <row r="377" customFormat="false" ht="114" hidden="false" customHeight="true" outlineLevel="0" collapsed="false">
      <c r="A377" s="18" t="s">
        <v>273</v>
      </c>
      <c r="B377" s="18" t="s">
        <v>274</v>
      </c>
      <c r="C377" s="18" t="s">
        <v>708</v>
      </c>
      <c r="D377" s="18" t="s">
        <v>309</v>
      </c>
      <c r="E377" s="18" t="s">
        <v>80</v>
      </c>
      <c r="F377" s="18" t="s">
        <v>280</v>
      </c>
      <c r="G377" s="19" t="n">
        <v>-11983</v>
      </c>
      <c r="H377" s="19" t="n">
        <v>2784</v>
      </c>
      <c r="I377" s="19" t="n">
        <v>0</v>
      </c>
      <c r="J377" s="19" t="n">
        <v>0</v>
      </c>
      <c r="K377" s="19" t="n">
        <v>346</v>
      </c>
      <c r="L377" s="19" t="n">
        <v>0</v>
      </c>
      <c r="M377" s="19" t="n">
        <v>0</v>
      </c>
      <c r="N377" s="19" t="n">
        <v>0</v>
      </c>
      <c r="O377" s="19" t="n">
        <v>-8853</v>
      </c>
      <c r="P377" s="20" t="n">
        <f aca="false">IFERROR(O377/SUMIFS($O$160:$O$418,$D$160:$D$418,"&lt;&gt;Not Mapped"),0)</f>
        <v>-0.00376362416643781</v>
      </c>
      <c r="Q377" s="21" t="s">
        <v>709</v>
      </c>
      <c r="R377" s="21"/>
      <c r="S377" s="21"/>
      <c r="T377" s="21"/>
    </row>
    <row r="378" customFormat="false" ht="102" hidden="false" customHeight="true" outlineLevel="0" collapsed="false">
      <c r="A378" s="18" t="s">
        <v>273</v>
      </c>
      <c r="B378" s="18" t="s">
        <v>274</v>
      </c>
      <c r="C378" s="18" t="s">
        <v>710</v>
      </c>
      <c r="D378" s="18" t="s">
        <v>301</v>
      </c>
      <c r="E378" s="18" t="s">
        <v>302</v>
      </c>
      <c r="F378" s="18" t="s">
        <v>280</v>
      </c>
      <c r="G378" s="19" t="n">
        <v>-19351</v>
      </c>
      <c r="H378" s="19" t="n">
        <v>9488</v>
      </c>
      <c r="I378" s="19" t="n">
        <v>179</v>
      </c>
      <c r="J378" s="19" t="n">
        <v>43</v>
      </c>
      <c r="K378" s="19" t="n">
        <v>471</v>
      </c>
      <c r="L378" s="19" t="n">
        <v>0</v>
      </c>
      <c r="M378" s="19" t="n">
        <v>0</v>
      </c>
      <c r="N378" s="19" t="n">
        <v>0</v>
      </c>
      <c r="O378" s="19" t="n">
        <v>-9170</v>
      </c>
      <c r="P378" s="20" t="n">
        <f aca="false">IFERROR(O378/SUMIFS($O$160:$O$418,$D$160:$D$418,"&lt;&gt;Not Mapped"),0)</f>
        <v>-0.00389838852436854</v>
      </c>
      <c r="Q378" s="21" t="s">
        <v>711</v>
      </c>
      <c r="R378" s="21"/>
      <c r="S378" s="21"/>
      <c r="T378" s="21"/>
    </row>
    <row r="379" customFormat="false" ht="114" hidden="false" customHeight="true" outlineLevel="0" collapsed="false">
      <c r="A379" s="18" t="s">
        <v>273</v>
      </c>
      <c r="B379" s="18" t="s">
        <v>486</v>
      </c>
      <c r="C379" s="18" t="s">
        <v>712</v>
      </c>
      <c r="D379" s="18" t="s">
        <v>488</v>
      </c>
      <c r="E379" s="18" t="s">
        <v>321</v>
      </c>
      <c r="F379" s="18" t="s">
        <v>280</v>
      </c>
      <c r="G379" s="19" t="n">
        <v>-11910</v>
      </c>
      <c r="H379" s="19" t="n">
        <v>2411</v>
      </c>
      <c r="I379" s="19" t="n">
        <v>0</v>
      </c>
      <c r="J379" s="19" t="n">
        <v>0</v>
      </c>
      <c r="K379" s="19" t="n">
        <v>246</v>
      </c>
      <c r="L379" s="19" t="n">
        <v>0</v>
      </c>
      <c r="M379" s="19" t="n">
        <v>0</v>
      </c>
      <c r="N379" s="19" t="n">
        <v>0</v>
      </c>
      <c r="O379" s="19" t="n">
        <v>-9253</v>
      </c>
      <c r="P379" s="20" t="n">
        <f aca="false">IFERROR(O379/SUMIFS($O$160:$O$418,$D$160:$D$418,"&lt;&gt;Not Mapped"),0)</f>
        <v>-0.00393367382944189</v>
      </c>
      <c r="Q379" s="21" t="s">
        <v>713</v>
      </c>
      <c r="R379" s="21"/>
      <c r="S379" s="21"/>
      <c r="T379" s="21"/>
    </row>
    <row r="380" customFormat="false" ht="102" hidden="false" customHeight="true" outlineLevel="0" collapsed="false">
      <c r="A380" s="18" t="s">
        <v>273</v>
      </c>
      <c r="B380" s="18" t="s">
        <v>274</v>
      </c>
      <c r="C380" s="18" t="s">
        <v>714</v>
      </c>
      <c r="D380" s="18" t="s">
        <v>546</v>
      </c>
      <c r="E380" s="18" t="s">
        <v>546</v>
      </c>
      <c r="F380" s="18" t="s">
        <v>280</v>
      </c>
      <c r="G380" s="19" t="n">
        <v>-10316</v>
      </c>
      <c r="H380" s="19" t="n">
        <v>0</v>
      </c>
      <c r="I380" s="19" t="n">
        <v>0</v>
      </c>
      <c r="J380" s="19" t="n">
        <v>0</v>
      </c>
      <c r="K380" s="19" t="n">
        <v>953</v>
      </c>
      <c r="L380" s="19" t="n">
        <v>0</v>
      </c>
      <c r="M380" s="19" t="n">
        <v>0</v>
      </c>
      <c r="N380" s="19" t="n">
        <v>0</v>
      </c>
      <c r="O380" s="19" t="n">
        <v>-9363</v>
      </c>
      <c r="P380" s="20" t="n">
        <f aca="false">IFERROR(O380/SUMIFS($O$160:$O$418,$D$160:$D$418,"&lt;&gt;Not Mapped"),0)</f>
        <v>-0.00398043748676801</v>
      </c>
      <c r="Q380" s="21" t="s">
        <v>715</v>
      </c>
      <c r="R380" s="21"/>
      <c r="S380" s="21"/>
      <c r="T380" s="21"/>
    </row>
    <row r="381" customFormat="false" ht="114" hidden="false" customHeight="true" outlineLevel="0" collapsed="false">
      <c r="A381" s="18" t="s">
        <v>273</v>
      </c>
      <c r="B381" s="18" t="s">
        <v>408</v>
      </c>
      <c r="C381" s="18" t="s">
        <v>716</v>
      </c>
      <c r="D381" s="18" t="s">
        <v>410</v>
      </c>
      <c r="E381" s="18" t="s">
        <v>302</v>
      </c>
      <c r="F381" s="18" t="s">
        <v>280</v>
      </c>
      <c r="G381" s="19" t="n">
        <v>-17880</v>
      </c>
      <c r="H381" s="19" t="n">
        <v>6443</v>
      </c>
      <c r="I381" s="19" t="n">
        <v>624</v>
      </c>
      <c r="J381" s="19" t="n">
        <v>74</v>
      </c>
      <c r="K381" s="19" t="n">
        <v>509</v>
      </c>
      <c r="L381" s="19" t="n">
        <v>0</v>
      </c>
      <c r="M381" s="19" t="n">
        <v>0</v>
      </c>
      <c r="N381" s="19" t="n">
        <v>0</v>
      </c>
      <c r="O381" s="19" t="n">
        <v>-10230</v>
      </c>
      <c r="P381" s="20" t="n">
        <f aca="false">IFERROR(O381/SUMIFS($O$160:$O$418,$D$160:$D$418,"&lt;&gt;Not Mapped"),0)</f>
        <v>-0.00434902013132936</v>
      </c>
      <c r="Q381" s="21" t="s">
        <v>717</v>
      </c>
      <c r="R381" s="21"/>
      <c r="S381" s="21"/>
      <c r="T381" s="21"/>
    </row>
    <row r="382" customFormat="false" ht="78" hidden="false" customHeight="true" outlineLevel="0" collapsed="false">
      <c r="A382" s="18" t="s">
        <v>273</v>
      </c>
      <c r="B382" s="18" t="s">
        <v>274</v>
      </c>
      <c r="C382" s="18" t="s">
        <v>718</v>
      </c>
      <c r="D382" s="18" t="s">
        <v>35</v>
      </c>
      <c r="E382" s="18" t="s">
        <v>36</v>
      </c>
      <c r="F382" s="18" t="s">
        <v>275</v>
      </c>
      <c r="G382" s="19" t="n">
        <v>-10970</v>
      </c>
      <c r="H382" s="19" t="n">
        <v>0</v>
      </c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0</v>
      </c>
      <c r="O382" s="19" t="n">
        <v>-10970</v>
      </c>
      <c r="P382" s="20" t="n">
        <f aca="false">IFERROR(O382/SUMIFS($O$160:$O$418,$D$160:$D$418,"&lt;&gt;Not Mapped"),0)</f>
        <v>-0.0046636120078869</v>
      </c>
      <c r="Q382" s="21" t="s">
        <v>719</v>
      </c>
      <c r="R382" s="21"/>
      <c r="S382" s="21"/>
      <c r="T382" s="21"/>
    </row>
    <row r="383" customFormat="false" ht="102" hidden="false" customHeight="true" outlineLevel="0" collapsed="false">
      <c r="A383" s="18" t="s">
        <v>273</v>
      </c>
      <c r="B383" s="18" t="s">
        <v>274</v>
      </c>
      <c r="C383" s="18" t="s">
        <v>720</v>
      </c>
      <c r="D383" s="18" t="s">
        <v>351</v>
      </c>
      <c r="E383" s="18" t="s">
        <v>44</v>
      </c>
      <c r="F383" s="18" t="s">
        <v>280</v>
      </c>
      <c r="G383" s="19" t="n">
        <v>-11107</v>
      </c>
      <c r="H383" s="19" t="n">
        <v>0</v>
      </c>
      <c r="I383" s="19" t="n">
        <v>0</v>
      </c>
      <c r="J383" s="19" t="n">
        <v>0</v>
      </c>
      <c r="K383" s="19" t="n">
        <v>48</v>
      </c>
      <c r="L383" s="19" t="n">
        <v>0</v>
      </c>
      <c r="M383" s="19" t="n">
        <v>0</v>
      </c>
      <c r="N383" s="19" t="n">
        <v>0</v>
      </c>
      <c r="O383" s="19" t="n">
        <v>-11059</v>
      </c>
      <c r="P383" s="20" t="n">
        <f aca="false">IFERROR(O383/SUMIFS($O$160:$O$418,$D$160:$D$418,"&lt;&gt;Not Mapped"),0)</f>
        <v>-0.00470144805790531</v>
      </c>
      <c r="Q383" s="21" t="s">
        <v>721</v>
      </c>
      <c r="R383" s="21"/>
      <c r="S383" s="21"/>
      <c r="T383" s="21"/>
    </row>
    <row r="384" customFormat="false" ht="102" hidden="false" customHeight="true" outlineLevel="0" collapsed="false">
      <c r="A384" s="18" t="s">
        <v>273</v>
      </c>
      <c r="B384" s="18" t="s">
        <v>274</v>
      </c>
      <c r="C384" s="18" t="s">
        <v>722</v>
      </c>
      <c r="D384" s="18" t="s">
        <v>305</v>
      </c>
      <c r="E384" s="18" t="s">
        <v>54</v>
      </c>
      <c r="F384" s="18" t="s">
        <v>280</v>
      </c>
      <c r="G384" s="19" t="n">
        <v>-14078</v>
      </c>
      <c r="H384" s="19" t="n">
        <v>1038</v>
      </c>
      <c r="I384" s="19" t="n">
        <v>0</v>
      </c>
      <c r="J384" s="19" t="n">
        <v>0</v>
      </c>
      <c r="K384" s="19" t="n">
        <v>62</v>
      </c>
      <c r="L384" s="19" t="n">
        <v>0</v>
      </c>
      <c r="M384" s="19" t="n">
        <v>1375</v>
      </c>
      <c r="N384" s="19" t="n">
        <v>506</v>
      </c>
      <c r="O384" s="19" t="n">
        <v>-11098</v>
      </c>
      <c r="P384" s="20" t="n">
        <f aca="false">IFERROR(O384/SUMIFS($O$160:$O$418,$D$160:$D$418,"&lt;&gt;Not Mapped"),0)</f>
        <v>-0.00471802790004821</v>
      </c>
      <c r="Q384" s="21" t="s">
        <v>723</v>
      </c>
      <c r="R384" s="21"/>
      <c r="S384" s="21"/>
      <c r="T384" s="21"/>
    </row>
    <row r="385" customFormat="false" ht="114" hidden="false" customHeight="true" outlineLevel="0" collapsed="false">
      <c r="A385" s="18" t="s">
        <v>273</v>
      </c>
      <c r="B385" s="18" t="s">
        <v>274</v>
      </c>
      <c r="C385" s="18" t="s">
        <v>724</v>
      </c>
      <c r="D385" s="18" t="s">
        <v>309</v>
      </c>
      <c r="E385" s="18" t="s">
        <v>80</v>
      </c>
      <c r="F385" s="18" t="s">
        <v>280</v>
      </c>
      <c r="G385" s="19" t="n">
        <v>-13071</v>
      </c>
      <c r="H385" s="19" t="n">
        <v>1396</v>
      </c>
      <c r="I385" s="19" t="n">
        <v>0</v>
      </c>
      <c r="J385" s="19" t="n">
        <v>232</v>
      </c>
      <c r="K385" s="19" t="n">
        <v>107</v>
      </c>
      <c r="L385" s="19" t="n">
        <v>0</v>
      </c>
      <c r="M385" s="19" t="n">
        <v>54</v>
      </c>
      <c r="N385" s="19" t="n">
        <v>0</v>
      </c>
      <c r="O385" s="19" t="n">
        <v>-11283</v>
      </c>
      <c r="P385" s="20" t="n">
        <f aca="false">IFERROR(O385/SUMIFS($O$160:$O$418,$D$160:$D$418,"&lt;&gt;Not Mapped"),0)</f>
        <v>-0.0047966758691876</v>
      </c>
      <c r="Q385" s="21" t="s">
        <v>725</v>
      </c>
      <c r="R385" s="21"/>
      <c r="S385" s="21"/>
      <c r="T385" s="21"/>
    </row>
    <row r="386" customFormat="false" ht="114" hidden="false" customHeight="true" outlineLevel="0" collapsed="false">
      <c r="A386" s="18" t="s">
        <v>273</v>
      </c>
      <c r="B386" s="18" t="s">
        <v>274</v>
      </c>
      <c r="C386" s="18" t="s">
        <v>726</v>
      </c>
      <c r="D386" s="18" t="s">
        <v>313</v>
      </c>
      <c r="E386" s="18" t="s">
        <v>85</v>
      </c>
      <c r="F386" s="18" t="s">
        <v>280</v>
      </c>
      <c r="G386" s="19" t="n">
        <v>-25203</v>
      </c>
      <c r="H386" s="19" t="n">
        <v>13631</v>
      </c>
      <c r="I386" s="19" t="n">
        <v>0</v>
      </c>
      <c r="J386" s="19" t="n">
        <v>0</v>
      </c>
      <c r="K386" s="19" t="n">
        <v>258</v>
      </c>
      <c r="L386" s="19" t="n">
        <v>0</v>
      </c>
      <c r="M386" s="19" t="n">
        <v>0</v>
      </c>
      <c r="N386" s="19" t="n">
        <v>0</v>
      </c>
      <c r="O386" s="19" t="n">
        <v>-11314</v>
      </c>
      <c r="P386" s="20" t="n">
        <f aca="false">IFERROR(O386/SUMIFS($O$160:$O$418,$D$160:$D$418,"&lt;&gt;Not Mapped"),0)</f>
        <v>-0.00480985471807041</v>
      </c>
      <c r="Q386" s="21" t="s">
        <v>727</v>
      </c>
      <c r="R386" s="21"/>
      <c r="S386" s="21"/>
      <c r="T386" s="21"/>
    </row>
    <row r="387" customFormat="false" ht="114" hidden="false" customHeight="true" outlineLevel="0" collapsed="false">
      <c r="A387" s="18" t="s">
        <v>273</v>
      </c>
      <c r="B387" s="18" t="s">
        <v>274</v>
      </c>
      <c r="C387" s="18" t="s">
        <v>728</v>
      </c>
      <c r="D387" s="18" t="s">
        <v>305</v>
      </c>
      <c r="E387" s="18" t="s">
        <v>54</v>
      </c>
      <c r="F387" s="18" t="s">
        <v>280</v>
      </c>
      <c r="G387" s="19" t="n">
        <v>-18091</v>
      </c>
      <c r="H387" s="19" t="n">
        <v>5898</v>
      </c>
      <c r="I387" s="19" t="n">
        <v>0</v>
      </c>
      <c r="J387" s="19" t="n">
        <v>0</v>
      </c>
      <c r="K387" s="19" t="n">
        <v>863</v>
      </c>
      <c r="L387" s="19" t="n">
        <v>0</v>
      </c>
      <c r="M387" s="19" t="n">
        <v>0</v>
      </c>
      <c r="N387" s="19" t="n">
        <v>0</v>
      </c>
      <c r="O387" s="19" t="n">
        <v>-11330</v>
      </c>
      <c r="P387" s="20" t="n">
        <f aca="false">IFERROR(O387/SUMIFS($O$160:$O$418,$D$160:$D$418,"&lt;&gt;Not Mapped"),0)</f>
        <v>-0.00481665670459058</v>
      </c>
      <c r="Q387" s="21" t="s">
        <v>729</v>
      </c>
      <c r="R387" s="21"/>
      <c r="S387" s="21"/>
      <c r="T387" s="21"/>
    </row>
    <row r="388" customFormat="false" ht="114" hidden="false" customHeight="true" outlineLevel="0" collapsed="false">
      <c r="A388" s="18" t="s">
        <v>273</v>
      </c>
      <c r="B388" s="18" t="s">
        <v>274</v>
      </c>
      <c r="C388" s="18" t="s">
        <v>730</v>
      </c>
      <c r="D388" s="18" t="s">
        <v>35</v>
      </c>
      <c r="E388" s="18" t="s">
        <v>36</v>
      </c>
      <c r="F388" s="18" t="s">
        <v>275</v>
      </c>
      <c r="G388" s="19" t="n">
        <v>-13119</v>
      </c>
      <c r="H388" s="19" t="n">
        <v>756</v>
      </c>
      <c r="I388" s="19" t="n">
        <v>0</v>
      </c>
      <c r="J388" s="19" t="n">
        <v>0</v>
      </c>
      <c r="K388" s="19" t="n">
        <v>966</v>
      </c>
      <c r="L388" s="19" t="n">
        <v>0</v>
      </c>
      <c r="M388" s="19" t="n">
        <v>0</v>
      </c>
      <c r="N388" s="19" t="n">
        <v>0</v>
      </c>
      <c r="O388" s="19" t="n">
        <v>-11397</v>
      </c>
      <c r="P388" s="20" t="n">
        <f aca="false">IFERROR(O388/SUMIFS($O$160:$O$418,$D$160:$D$418,"&lt;&gt;Not Mapped"),0)</f>
        <v>-0.00484514002314376</v>
      </c>
      <c r="Q388" s="21" t="s">
        <v>731</v>
      </c>
      <c r="R388" s="21"/>
      <c r="S388" s="21"/>
      <c r="T388" s="21"/>
    </row>
    <row r="389" customFormat="false" ht="114" hidden="false" customHeight="true" outlineLevel="0" collapsed="false">
      <c r="A389" s="18" t="s">
        <v>273</v>
      </c>
      <c r="B389" s="18" t="s">
        <v>274</v>
      </c>
      <c r="C389" s="18" t="s">
        <v>732</v>
      </c>
      <c r="D389" s="18" t="s">
        <v>348</v>
      </c>
      <c r="E389" s="18" t="s">
        <v>54</v>
      </c>
      <c r="F389" s="18" t="s">
        <v>280</v>
      </c>
      <c r="G389" s="19" t="n">
        <v>-15262</v>
      </c>
      <c r="H389" s="19" t="n">
        <v>2022</v>
      </c>
      <c r="I389" s="19" t="n">
        <v>0</v>
      </c>
      <c r="J389" s="19" t="n">
        <v>262</v>
      </c>
      <c r="K389" s="19" t="n">
        <v>1084</v>
      </c>
      <c r="L389" s="19" t="n">
        <v>0</v>
      </c>
      <c r="M389" s="19" t="n">
        <v>323</v>
      </c>
      <c r="N389" s="19" t="n">
        <v>0</v>
      </c>
      <c r="O389" s="19" t="n">
        <v>-11570</v>
      </c>
      <c r="P389" s="20" t="n">
        <f aca="false">IFERROR(O389/SUMIFS($O$160:$O$418,$D$160:$D$418,"&lt;&gt;Not Mapped"),0)</f>
        <v>-0.00491868650239302</v>
      </c>
      <c r="Q389" s="21" t="s">
        <v>733</v>
      </c>
      <c r="R389" s="21"/>
      <c r="S389" s="21"/>
      <c r="T389" s="21"/>
    </row>
    <row r="390" customFormat="false" ht="114" hidden="false" customHeight="true" outlineLevel="0" collapsed="false">
      <c r="A390" s="18" t="s">
        <v>273</v>
      </c>
      <c r="B390" s="18" t="s">
        <v>274</v>
      </c>
      <c r="C390" s="18" t="s">
        <v>734</v>
      </c>
      <c r="D390" s="18" t="s">
        <v>313</v>
      </c>
      <c r="E390" s="18" t="s">
        <v>85</v>
      </c>
      <c r="F390" s="18" t="s">
        <v>280</v>
      </c>
      <c r="G390" s="19" t="n">
        <v>-12306</v>
      </c>
      <c r="H390" s="19" t="n">
        <v>627</v>
      </c>
      <c r="I390" s="19" t="n">
        <v>0</v>
      </c>
      <c r="J390" s="19" t="n">
        <v>0</v>
      </c>
      <c r="K390" s="19" t="n">
        <v>36</v>
      </c>
      <c r="L390" s="19" t="n">
        <v>0</v>
      </c>
      <c r="M390" s="19" t="n">
        <v>0</v>
      </c>
      <c r="N390" s="19" t="n">
        <v>0</v>
      </c>
      <c r="O390" s="19" t="n">
        <v>-11643</v>
      </c>
      <c r="P390" s="20" t="n">
        <f aca="false">IFERROR(O390/SUMIFS($O$160:$O$418,$D$160:$D$418,"&lt;&gt;Not Mapped"),0)</f>
        <v>-0.00494972056589127</v>
      </c>
      <c r="Q390" s="21" t="s">
        <v>735</v>
      </c>
      <c r="R390" s="21"/>
      <c r="S390" s="21"/>
      <c r="T390" s="21"/>
    </row>
    <row r="391" customFormat="false" ht="114" hidden="false" customHeight="true" outlineLevel="0" collapsed="false">
      <c r="A391" s="18" t="s">
        <v>273</v>
      </c>
      <c r="B391" s="18" t="s">
        <v>458</v>
      </c>
      <c r="C391" s="18" t="s">
        <v>736</v>
      </c>
      <c r="D391" s="18" t="s">
        <v>460</v>
      </c>
      <c r="E391" s="18" t="s">
        <v>321</v>
      </c>
      <c r="F391" s="18" t="s">
        <v>280</v>
      </c>
      <c r="G391" s="19" t="n">
        <v>-12987</v>
      </c>
      <c r="H391" s="19" t="n">
        <v>551</v>
      </c>
      <c r="I391" s="19" t="n">
        <v>0</v>
      </c>
      <c r="J391" s="19" t="n">
        <v>0</v>
      </c>
      <c r="K391" s="19" t="n">
        <v>573</v>
      </c>
      <c r="L391" s="19" t="n">
        <v>0</v>
      </c>
      <c r="M391" s="19" t="n">
        <v>0</v>
      </c>
      <c r="N391" s="19" t="n">
        <v>19</v>
      </c>
      <c r="O391" s="19" t="n">
        <v>-11844</v>
      </c>
      <c r="P391" s="20" t="n">
        <f aca="false">IFERROR(O391/SUMIFS($O$160:$O$418,$D$160:$D$418,"&lt;&gt;Not Mapped"),0)</f>
        <v>-0.00503517052155082</v>
      </c>
      <c r="Q391" s="21" t="s">
        <v>737</v>
      </c>
      <c r="R391" s="21"/>
      <c r="S391" s="21"/>
      <c r="T391" s="21"/>
    </row>
    <row r="392" customFormat="false" ht="114" hidden="false" customHeight="true" outlineLevel="0" collapsed="false">
      <c r="A392" s="18" t="s">
        <v>273</v>
      </c>
      <c r="B392" s="18" t="s">
        <v>274</v>
      </c>
      <c r="C392" s="18" t="s">
        <v>738</v>
      </c>
      <c r="D392" s="18" t="s">
        <v>35</v>
      </c>
      <c r="E392" s="18" t="s">
        <v>36</v>
      </c>
      <c r="F392" s="18" t="s">
        <v>275</v>
      </c>
      <c r="G392" s="19" t="n">
        <v>-14560</v>
      </c>
      <c r="H392" s="19" t="n">
        <v>1882</v>
      </c>
      <c r="I392" s="19" t="n">
        <v>0</v>
      </c>
      <c r="J392" s="19" t="n">
        <v>0</v>
      </c>
      <c r="K392" s="19" t="n">
        <v>534</v>
      </c>
      <c r="L392" s="19" t="n">
        <v>0</v>
      </c>
      <c r="M392" s="19" t="n">
        <v>0</v>
      </c>
      <c r="N392" s="19" t="n">
        <v>0</v>
      </c>
      <c r="O392" s="19" t="n">
        <v>-12144</v>
      </c>
      <c r="P392" s="20" t="n">
        <f aca="false">IFERROR(O392/SUMIFS($O$160:$O$418,$D$160:$D$418,"&lt;&gt;Not Mapped"),0)</f>
        <v>-0.00516270776880388</v>
      </c>
      <c r="Q392" s="21" t="s">
        <v>739</v>
      </c>
      <c r="R392" s="21"/>
      <c r="S392" s="21"/>
      <c r="T392" s="21"/>
    </row>
    <row r="393" customFormat="false" ht="114" hidden="false" customHeight="true" outlineLevel="0" collapsed="false">
      <c r="A393" s="18" t="s">
        <v>273</v>
      </c>
      <c r="B393" s="18" t="s">
        <v>274</v>
      </c>
      <c r="C393" s="18" t="s">
        <v>740</v>
      </c>
      <c r="D393" s="18" t="s">
        <v>72</v>
      </c>
      <c r="E393" s="18" t="s">
        <v>54</v>
      </c>
      <c r="F393" s="18" t="s">
        <v>280</v>
      </c>
      <c r="G393" s="19" t="n">
        <v>-18949</v>
      </c>
      <c r="H393" s="19" t="n">
        <v>6267</v>
      </c>
      <c r="I393" s="19" t="n">
        <v>0</v>
      </c>
      <c r="J393" s="19" t="n">
        <v>0</v>
      </c>
      <c r="K393" s="19" t="n">
        <v>146</v>
      </c>
      <c r="L393" s="19" t="n">
        <v>0</v>
      </c>
      <c r="M393" s="19" t="n">
        <v>0</v>
      </c>
      <c r="N393" s="19" t="n">
        <v>0</v>
      </c>
      <c r="O393" s="19" t="n">
        <v>-12536</v>
      </c>
      <c r="P393" s="20" t="n">
        <f aca="false">IFERROR(O393/SUMIFS($O$160:$O$418,$D$160:$D$418,"&lt;&gt;Not Mapped"),0)</f>
        <v>-0.00532935643854788</v>
      </c>
      <c r="Q393" s="21" t="s">
        <v>741</v>
      </c>
      <c r="R393" s="21"/>
      <c r="S393" s="21"/>
      <c r="T393" s="21"/>
    </row>
    <row r="394" customFormat="false" ht="90" hidden="false" customHeight="true" outlineLevel="0" collapsed="false">
      <c r="A394" s="18" t="s">
        <v>273</v>
      </c>
      <c r="B394" s="18" t="s">
        <v>274</v>
      </c>
      <c r="C394" s="18" t="s">
        <v>742</v>
      </c>
      <c r="D394" s="18" t="s">
        <v>296</v>
      </c>
      <c r="E394" s="18" t="s">
        <v>297</v>
      </c>
      <c r="F394" s="18" t="s">
        <v>280</v>
      </c>
      <c r="G394" s="19" t="n">
        <v>-13313</v>
      </c>
      <c r="H394" s="19" t="n">
        <v>0</v>
      </c>
      <c r="I394" s="19" t="n">
        <v>0</v>
      </c>
      <c r="J394" s="19" t="n">
        <v>63</v>
      </c>
      <c r="K394" s="19" t="n">
        <v>23</v>
      </c>
      <c r="L394" s="19" t="n">
        <v>0</v>
      </c>
      <c r="M394" s="19" t="n">
        <v>0</v>
      </c>
      <c r="N394" s="19" t="n">
        <v>0</v>
      </c>
      <c r="O394" s="19" t="n">
        <v>-13227</v>
      </c>
      <c r="P394" s="20" t="n">
        <f aca="false">IFERROR(O394/SUMIFS($O$160:$O$418,$D$160:$D$418,"&lt;&gt;Not Mapped"),0)</f>
        <v>-0.00562311723138743</v>
      </c>
      <c r="Q394" s="21" t="s">
        <v>743</v>
      </c>
      <c r="R394" s="21"/>
      <c r="S394" s="21"/>
      <c r="T394" s="21"/>
    </row>
    <row r="395" customFormat="false" ht="90" hidden="false" customHeight="true" outlineLevel="0" collapsed="false">
      <c r="A395" s="18" t="s">
        <v>273</v>
      </c>
      <c r="B395" s="18" t="s">
        <v>274</v>
      </c>
      <c r="C395" s="18" t="s">
        <v>744</v>
      </c>
      <c r="D395" s="18" t="s">
        <v>84</v>
      </c>
      <c r="E395" s="18" t="s">
        <v>85</v>
      </c>
      <c r="F395" s="18" t="s">
        <v>280</v>
      </c>
      <c r="G395" s="19" t="n">
        <v>-13519</v>
      </c>
      <c r="H395" s="19" t="n">
        <v>154</v>
      </c>
      <c r="I395" s="19" t="n">
        <v>0</v>
      </c>
      <c r="J395" s="19" t="n">
        <v>0</v>
      </c>
      <c r="K395" s="19" t="n">
        <v>51</v>
      </c>
      <c r="L395" s="19" t="n">
        <v>0</v>
      </c>
      <c r="M395" s="19" t="n">
        <v>0</v>
      </c>
      <c r="N395" s="19" t="n">
        <v>0</v>
      </c>
      <c r="O395" s="19" t="n">
        <v>-13314</v>
      </c>
      <c r="P395" s="20" t="n">
        <f aca="false">IFERROR(O395/SUMIFS($O$160:$O$418,$D$160:$D$418,"&lt;&gt;Not Mapped"),0)</f>
        <v>-0.00566010303309081</v>
      </c>
      <c r="Q395" s="21" t="s">
        <v>745</v>
      </c>
      <c r="R395" s="21"/>
      <c r="S395" s="21"/>
      <c r="T395" s="21"/>
    </row>
    <row r="396" customFormat="false" ht="114" hidden="false" customHeight="true" outlineLevel="0" collapsed="false">
      <c r="A396" s="18" t="s">
        <v>273</v>
      </c>
      <c r="B396" s="18" t="s">
        <v>274</v>
      </c>
      <c r="C396" s="18" t="s">
        <v>746</v>
      </c>
      <c r="D396" s="18" t="s">
        <v>481</v>
      </c>
      <c r="E396" s="18" t="s">
        <v>297</v>
      </c>
      <c r="F396" s="18" t="s">
        <v>280</v>
      </c>
      <c r="G396" s="19" t="n">
        <v>-16096</v>
      </c>
      <c r="H396" s="19" t="n">
        <v>2123</v>
      </c>
      <c r="I396" s="19" t="n">
        <v>0</v>
      </c>
      <c r="J396" s="19" t="n">
        <v>124</v>
      </c>
      <c r="K396" s="19" t="n">
        <v>27</v>
      </c>
      <c r="L396" s="19" t="n">
        <v>0</v>
      </c>
      <c r="M396" s="19" t="n">
        <v>0</v>
      </c>
      <c r="N396" s="19" t="n">
        <v>0</v>
      </c>
      <c r="O396" s="19" t="n">
        <v>-13822</v>
      </c>
      <c r="P396" s="20" t="n">
        <f aca="false">IFERROR(O396/SUMIFS($O$160:$O$418,$D$160:$D$418,"&lt;&gt;Not Mapped"),0)</f>
        <v>-0.005876066105106</v>
      </c>
      <c r="Q396" s="21" t="s">
        <v>747</v>
      </c>
      <c r="R396" s="21"/>
      <c r="S396" s="21"/>
      <c r="T396" s="21"/>
    </row>
    <row r="397" customFormat="false" ht="102" hidden="false" customHeight="true" outlineLevel="0" collapsed="false">
      <c r="A397" s="18" t="s">
        <v>273</v>
      </c>
      <c r="B397" s="18" t="s">
        <v>274</v>
      </c>
      <c r="C397" s="18" t="s">
        <v>748</v>
      </c>
      <c r="D397" s="18" t="s">
        <v>348</v>
      </c>
      <c r="E397" s="18" t="s">
        <v>54</v>
      </c>
      <c r="F397" s="18" t="s">
        <v>280</v>
      </c>
      <c r="G397" s="19" t="n">
        <v>-49282</v>
      </c>
      <c r="H397" s="19" t="n">
        <v>0</v>
      </c>
      <c r="I397" s="19" t="n">
        <v>0</v>
      </c>
      <c r="J397" s="19" t="n">
        <v>34008</v>
      </c>
      <c r="K397" s="19" t="n">
        <v>0</v>
      </c>
      <c r="L397" s="19" t="n">
        <v>0</v>
      </c>
      <c r="M397" s="19" t="n">
        <v>0</v>
      </c>
      <c r="N397" s="19" t="n">
        <v>0</v>
      </c>
      <c r="O397" s="19" t="n">
        <v>-15274</v>
      </c>
      <c r="P397" s="20" t="n">
        <f aca="false">IFERROR(O397/SUMIFS($O$160:$O$418,$D$160:$D$418,"&lt;&gt;Not Mapped"),0)</f>
        <v>-0.00649334638181081</v>
      </c>
      <c r="Q397" s="21" t="s">
        <v>749</v>
      </c>
      <c r="R397" s="21"/>
      <c r="S397" s="21"/>
      <c r="T397" s="21"/>
    </row>
    <row r="398" customFormat="false" ht="102" hidden="false" customHeight="true" outlineLevel="0" collapsed="false">
      <c r="A398" s="18" t="s">
        <v>273</v>
      </c>
      <c r="B398" s="18" t="s">
        <v>458</v>
      </c>
      <c r="C398" s="18" t="s">
        <v>750</v>
      </c>
      <c r="D398" s="18" t="s">
        <v>460</v>
      </c>
      <c r="E398" s="18" t="s">
        <v>321</v>
      </c>
      <c r="F398" s="18" t="s">
        <v>280</v>
      </c>
      <c r="G398" s="19" t="n">
        <v>-15689</v>
      </c>
      <c r="H398" s="19" t="n">
        <v>91</v>
      </c>
      <c r="I398" s="19" t="n">
        <v>0</v>
      </c>
      <c r="J398" s="19" t="n">
        <v>0</v>
      </c>
      <c r="K398" s="19" t="n">
        <v>63</v>
      </c>
      <c r="L398" s="19" t="n">
        <v>0</v>
      </c>
      <c r="M398" s="19" t="n">
        <v>0</v>
      </c>
      <c r="N398" s="19" t="n">
        <v>0</v>
      </c>
      <c r="O398" s="19" t="n">
        <v>-15536</v>
      </c>
      <c r="P398" s="20" t="n">
        <f aca="false">IFERROR(O398/SUMIFS($O$160:$O$418,$D$160:$D$418,"&lt;&gt;Not Mapped"),0)</f>
        <v>-0.00660472891107848</v>
      </c>
      <c r="Q398" s="21" t="s">
        <v>751</v>
      </c>
      <c r="R398" s="21"/>
      <c r="S398" s="21"/>
      <c r="T398" s="21"/>
    </row>
    <row r="399" customFormat="false" ht="114" hidden="false" customHeight="true" outlineLevel="0" collapsed="false">
      <c r="A399" s="18" t="s">
        <v>273</v>
      </c>
      <c r="B399" s="18" t="s">
        <v>274</v>
      </c>
      <c r="C399" s="18" t="s">
        <v>752</v>
      </c>
      <c r="D399" s="18" t="s">
        <v>79</v>
      </c>
      <c r="E399" s="18" t="s">
        <v>80</v>
      </c>
      <c r="F399" s="18" t="s">
        <v>280</v>
      </c>
      <c r="G399" s="19" t="n">
        <v>-23346</v>
      </c>
      <c r="H399" s="19" t="n">
        <v>6265</v>
      </c>
      <c r="I399" s="19" t="n">
        <v>0</v>
      </c>
      <c r="J399" s="19" t="n">
        <v>143</v>
      </c>
      <c r="K399" s="19" t="n">
        <v>692</v>
      </c>
      <c r="L399" s="19" t="n">
        <v>0</v>
      </c>
      <c r="M399" s="19" t="n">
        <v>0</v>
      </c>
      <c r="N399" s="19" t="n">
        <v>0</v>
      </c>
      <c r="O399" s="19" t="n">
        <v>-16246</v>
      </c>
      <c r="P399" s="20" t="n">
        <f aca="false">IFERROR(O399/SUMIFS($O$160:$O$418,$D$160:$D$418,"&lt;&gt;Not Mapped"),0)</f>
        <v>-0.00690656706291072</v>
      </c>
      <c r="Q399" s="21" t="s">
        <v>753</v>
      </c>
      <c r="R399" s="21"/>
      <c r="S399" s="21"/>
      <c r="T399" s="21"/>
    </row>
    <row r="400" customFormat="false" ht="114" hidden="false" customHeight="true" outlineLevel="0" collapsed="false">
      <c r="A400" s="18" t="s">
        <v>273</v>
      </c>
      <c r="B400" s="18" t="s">
        <v>274</v>
      </c>
      <c r="C400" s="18" t="s">
        <v>754</v>
      </c>
      <c r="D400" s="18" t="s">
        <v>309</v>
      </c>
      <c r="E400" s="18" t="s">
        <v>80</v>
      </c>
      <c r="F400" s="18" t="s">
        <v>280</v>
      </c>
      <c r="G400" s="19" t="n">
        <v>-22617</v>
      </c>
      <c r="H400" s="19" t="n">
        <v>3338</v>
      </c>
      <c r="I400" s="19" t="n">
        <v>1831</v>
      </c>
      <c r="J400" s="19" t="n">
        <v>123</v>
      </c>
      <c r="K400" s="19" t="n">
        <v>680</v>
      </c>
      <c r="L400" s="19" t="n">
        <v>0</v>
      </c>
      <c r="M400" s="19" t="n">
        <v>0</v>
      </c>
      <c r="N400" s="19" t="n">
        <v>0</v>
      </c>
      <c r="O400" s="19" t="n">
        <v>-16644</v>
      </c>
      <c r="P400" s="20" t="n">
        <f aca="false">IFERROR(O400/SUMIFS($O$160:$O$418,$D$160:$D$418,"&lt;&gt;Not Mapped"),0)</f>
        <v>-0.00707576647759978</v>
      </c>
      <c r="Q400" s="21" t="s">
        <v>755</v>
      </c>
      <c r="R400" s="21"/>
      <c r="S400" s="21"/>
      <c r="T400" s="21"/>
    </row>
    <row r="401" customFormat="false" ht="102" hidden="false" customHeight="true" outlineLevel="0" collapsed="false">
      <c r="A401" s="18" t="s">
        <v>273</v>
      </c>
      <c r="B401" s="18" t="s">
        <v>274</v>
      </c>
      <c r="C401" s="18" t="s">
        <v>756</v>
      </c>
      <c r="D401" s="18" t="s">
        <v>481</v>
      </c>
      <c r="E401" s="18" t="s">
        <v>297</v>
      </c>
      <c r="F401" s="18" t="s">
        <v>280</v>
      </c>
      <c r="G401" s="19" t="n">
        <v>-19869</v>
      </c>
      <c r="H401" s="19" t="n">
        <v>3031</v>
      </c>
      <c r="I401" s="19" t="n">
        <v>0</v>
      </c>
      <c r="J401" s="19" t="n">
        <v>18</v>
      </c>
      <c r="K401" s="19" t="n">
        <v>129</v>
      </c>
      <c r="L401" s="19" t="n">
        <v>0</v>
      </c>
      <c r="M401" s="19" t="n">
        <v>0</v>
      </c>
      <c r="N401" s="19" t="n">
        <v>0</v>
      </c>
      <c r="O401" s="19" t="n">
        <v>-16691</v>
      </c>
      <c r="P401" s="20" t="n">
        <f aca="false">IFERROR(O401/SUMIFS($O$160:$O$418,$D$160:$D$418,"&lt;&gt;Not Mapped"),0)</f>
        <v>-0.00709574731300276</v>
      </c>
      <c r="Q401" s="21" t="s">
        <v>757</v>
      </c>
      <c r="R401" s="21"/>
      <c r="S401" s="21"/>
      <c r="T401" s="21"/>
    </row>
    <row r="402" customFormat="false" ht="114" hidden="false" customHeight="true" outlineLevel="0" collapsed="false">
      <c r="A402" s="18" t="s">
        <v>273</v>
      </c>
      <c r="B402" s="18" t="s">
        <v>274</v>
      </c>
      <c r="C402" s="18" t="s">
        <v>758</v>
      </c>
      <c r="D402" s="18" t="s">
        <v>348</v>
      </c>
      <c r="E402" s="18" t="s">
        <v>54</v>
      </c>
      <c r="F402" s="18" t="s">
        <v>280</v>
      </c>
      <c r="G402" s="19" t="n">
        <v>-22334</v>
      </c>
      <c r="H402" s="19" t="n">
        <v>3779</v>
      </c>
      <c r="I402" s="19" t="n">
        <v>0</v>
      </c>
      <c r="J402" s="19" t="n">
        <v>0</v>
      </c>
      <c r="K402" s="19" t="n">
        <v>231</v>
      </c>
      <c r="L402" s="19" t="n">
        <v>0</v>
      </c>
      <c r="M402" s="19" t="n">
        <v>0</v>
      </c>
      <c r="N402" s="19" t="n">
        <v>0</v>
      </c>
      <c r="O402" s="19" t="n">
        <v>-18324</v>
      </c>
      <c r="P402" s="20" t="n">
        <f aca="false">IFERROR(O402/SUMIFS($O$160:$O$418,$D$160:$D$418,"&lt;&gt;Not Mapped"),0)</f>
        <v>-0.00778997506221692</v>
      </c>
      <c r="Q402" s="21" t="s">
        <v>759</v>
      </c>
      <c r="R402" s="21"/>
      <c r="S402" s="21"/>
      <c r="T402" s="21"/>
    </row>
    <row r="403" customFormat="false" ht="114" hidden="false" customHeight="true" outlineLevel="0" collapsed="false">
      <c r="A403" s="18" t="s">
        <v>273</v>
      </c>
      <c r="B403" s="18" t="s">
        <v>274</v>
      </c>
      <c r="C403" s="18" t="s">
        <v>760</v>
      </c>
      <c r="D403" s="18" t="s">
        <v>61</v>
      </c>
      <c r="E403" s="18" t="s">
        <v>54</v>
      </c>
      <c r="F403" s="18" t="s">
        <v>280</v>
      </c>
      <c r="G403" s="19" t="n">
        <v>-22532</v>
      </c>
      <c r="H403" s="19" t="n">
        <v>2440</v>
      </c>
      <c r="I403" s="19" t="n">
        <v>0</v>
      </c>
      <c r="J403" s="19" t="n">
        <v>0</v>
      </c>
      <c r="K403" s="19" t="n">
        <v>697</v>
      </c>
      <c r="L403" s="19" t="n">
        <v>0</v>
      </c>
      <c r="M403" s="19" t="n">
        <v>0</v>
      </c>
      <c r="N403" s="19" t="n">
        <v>0</v>
      </c>
      <c r="O403" s="19" t="n">
        <v>-19395</v>
      </c>
      <c r="P403" s="20" t="n">
        <f aca="false">IFERROR(O403/SUMIFS($O$160:$O$418,$D$160:$D$418,"&lt;&gt;Not Mapped"),0)</f>
        <v>-0.00824528303491035</v>
      </c>
      <c r="Q403" s="21" t="s">
        <v>761</v>
      </c>
      <c r="R403" s="21"/>
      <c r="S403" s="21"/>
      <c r="T403" s="21"/>
    </row>
    <row r="404" customFormat="false" ht="102" hidden="false" customHeight="true" outlineLevel="0" collapsed="false">
      <c r="A404" s="18" t="s">
        <v>273</v>
      </c>
      <c r="B404" s="18" t="s">
        <v>274</v>
      </c>
      <c r="C404" s="18" t="s">
        <v>762</v>
      </c>
      <c r="D404" s="18" t="s">
        <v>43</v>
      </c>
      <c r="E404" s="18" t="s">
        <v>44</v>
      </c>
      <c r="F404" s="18" t="s">
        <v>280</v>
      </c>
      <c r="G404" s="19" t="n">
        <v>-22263</v>
      </c>
      <c r="H404" s="19" t="n">
        <v>19</v>
      </c>
      <c r="I404" s="19" t="n">
        <v>854</v>
      </c>
      <c r="J404" s="19" t="n">
        <v>0</v>
      </c>
      <c r="K404" s="19" t="n">
        <v>51</v>
      </c>
      <c r="L404" s="19" t="n">
        <v>0</v>
      </c>
      <c r="M404" s="19" t="n">
        <v>0</v>
      </c>
      <c r="N404" s="19" t="n">
        <v>0</v>
      </c>
      <c r="O404" s="19" t="n">
        <v>-21339</v>
      </c>
      <c r="P404" s="20" t="n">
        <f aca="false">IFERROR(O404/SUMIFS($O$160:$O$418,$D$160:$D$418,"&lt;&gt;Not Mapped"),0)</f>
        <v>-0.00907172439711018</v>
      </c>
      <c r="Q404" s="21" t="s">
        <v>763</v>
      </c>
      <c r="R404" s="21"/>
      <c r="S404" s="21"/>
      <c r="T404" s="21"/>
    </row>
    <row r="405" customFormat="false" ht="114" hidden="false" customHeight="true" outlineLevel="0" collapsed="false">
      <c r="A405" s="18" t="s">
        <v>273</v>
      </c>
      <c r="B405" s="18" t="s">
        <v>274</v>
      </c>
      <c r="C405" s="18" t="s">
        <v>764</v>
      </c>
      <c r="D405" s="18" t="s">
        <v>313</v>
      </c>
      <c r="E405" s="18" t="s">
        <v>85</v>
      </c>
      <c r="F405" s="18" t="s">
        <v>280</v>
      </c>
      <c r="G405" s="19" t="n">
        <v>-25168</v>
      </c>
      <c r="H405" s="19" t="n">
        <v>2458</v>
      </c>
      <c r="I405" s="19" t="n">
        <v>0</v>
      </c>
      <c r="J405" s="19" t="n">
        <v>0</v>
      </c>
      <c r="K405" s="19" t="n">
        <v>113</v>
      </c>
      <c r="L405" s="19" t="n">
        <v>0</v>
      </c>
      <c r="M405" s="19" t="n">
        <v>0</v>
      </c>
      <c r="N405" s="19" t="n">
        <v>0</v>
      </c>
      <c r="O405" s="19" t="n">
        <v>-22597</v>
      </c>
      <c r="P405" s="20" t="n">
        <f aca="false">IFERROR(O405/SUMIFS($O$160:$O$418,$D$160:$D$418,"&lt;&gt;Not Mapped"),0)</f>
        <v>-0.00960653058725801</v>
      </c>
      <c r="Q405" s="21" t="s">
        <v>765</v>
      </c>
      <c r="R405" s="21"/>
      <c r="S405" s="21"/>
      <c r="T405" s="21"/>
    </row>
    <row r="406" customFormat="false" ht="114" hidden="false" customHeight="true" outlineLevel="0" collapsed="false">
      <c r="A406" s="18" t="s">
        <v>273</v>
      </c>
      <c r="B406" s="18" t="s">
        <v>274</v>
      </c>
      <c r="C406" s="18" t="s">
        <v>766</v>
      </c>
      <c r="D406" s="18" t="s">
        <v>305</v>
      </c>
      <c r="E406" s="18" t="s">
        <v>54</v>
      </c>
      <c r="F406" s="18" t="s">
        <v>280</v>
      </c>
      <c r="G406" s="19" t="n">
        <v>-26123</v>
      </c>
      <c r="H406" s="19" t="n">
        <v>1504</v>
      </c>
      <c r="I406" s="19" t="n">
        <v>434</v>
      </c>
      <c r="J406" s="19" t="n">
        <v>527</v>
      </c>
      <c r="K406" s="19" t="n">
        <v>23</v>
      </c>
      <c r="L406" s="19" t="n">
        <v>0</v>
      </c>
      <c r="M406" s="19" t="n">
        <v>404</v>
      </c>
      <c r="N406" s="19" t="n">
        <v>0</v>
      </c>
      <c r="O406" s="19" t="n">
        <v>-23232</v>
      </c>
      <c r="P406" s="20" t="n">
        <f aca="false">IFERROR(O406/SUMIFS($O$160:$O$418,$D$160:$D$418,"&lt;&gt;Not Mapped"),0)</f>
        <v>-0.00987648442727699</v>
      </c>
      <c r="Q406" s="21" t="s">
        <v>767</v>
      </c>
      <c r="R406" s="21"/>
      <c r="S406" s="21"/>
      <c r="T406" s="21"/>
    </row>
    <row r="407" customFormat="false" ht="114" hidden="false" customHeight="true" outlineLevel="0" collapsed="false">
      <c r="A407" s="18" t="s">
        <v>273</v>
      </c>
      <c r="B407" s="18" t="s">
        <v>274</v>
      </c>
      <c r="C407" s="18" t="s">
        <v>768</v>
      </c>
      <c r="D407" s="18" t="s">
        <v>43</v>
      </c>
      <c r="E407" s="18" t="s">
        <v>44</v>
      </c>
      <c r="F407" s="18" t="s">
        <v>280</v>
      </c>
      <c r="G407" s="19" t="n">
        <v>-27495</v>
      </c>
      <c r="H407" s="19" t="n">
        <v>0</v>
      </c>
      <c r="I407" s="19" t="n">
        <v>0</v>
      </c>
      <c r="J407" s="19" t="n">
        <v>0</v>
      </c>
      <c r="K407" s="19" t="n">
        <v>134</v>
      </c>
      <c r="L407" s="19" t="n">
        <v>0</v>
      </c>
      <c r="M407" s="19" t="n">
        <v>2299</v>
      </c>
      <c r="N407" s="19" t="n">
        <v>0</v>
      </c>
      <c r="O407" s="19" t="n">
        <v>-25063</v>
      </c>
      <c r="P407" s="20" t="n">
        <f aca="false">IFERROR(O407/SUMIFS($O$160:$O$418,$D$160:$D$418,"&lt;&gt;Not Mapped"),0)</f>
        <v>-0.0106548867596782</v>
      </c>
      <c r="Q407" s="21" t="s">
        <v>769</v>
      </c>
      <c r="R407" s="21"/>
      <c r="S407" s="21"/>
      <c r="T407" s="21"/>
    </row>
    <row r="408" customFormat="false" ht="114" hidden="false" customHeight="true" outlineLevel="0" collapsed="false">
      <c r="A408" s="18" t="s">
        <v>273</v>
      </c>
      <c r="B408" s="18" t="s">
        <v>274</v>
      </c>
      <c r="C408" s="18" t="s">
        <v>770</v>
      </c>
      <c r="D408" s="18" t="s">
        <v>79</v>
      </c>
      <c r="E408" s="18" t="s">
        <v>80</v>
      </c>
      <c r="F408" s="18" t="s">
        <v>280</v>
      </c>
      <c r="G408" s="19" t="n">
        <v>-35339</v>
      </c>
      <c r="H408" s="19" t="n">
        <v>4958</v>
      </c>
      <c r="I408" s="19" t="n">
        <v>0</v>
      </c>
      <c r="J408" s="19" t="n">
        <v>4381</v>
      </c>
      <c r="K408" s="19" t="n">
        <v>203</v>
      </c>
      <c r="L408" s="19" t="n">
        <v>0</v>
      </c>
      <c r="M408" s="19" t="n">
        <v>0</v>
      </c>
      <c r="N408" s="19" t="n">
        <v>0</v>
      </c>
      <c r="O408" s="19" t="n">
        <v>-25796</v>
      </c>
      <c r="P408" s="20" t="n">
        <f aca="false">IFERROR(O408/SUMIFS($O$160:$O$418,$D$160:$D$418,"&lt;&gt;Not Mapped"),0)</f>
        <v>-0.0109665027671331</v>
      </c>
      <c r="Q408" s="21" t="s">
        <v>771</v>
      </c>
      <c r="R408" s="21"/>
      <c r="S408" s="21"/>
      <c r="T408" s="21"/>
    </row>
    <row r="409" customFormat="false" ht="102" hidden="false" customHeight="true" outlineLevel="0" collapsed="false">
      <c r="A409" s="18" t="s">
        <v>273</v>
      </c>
      <c r="B409" s="18" t="s">
        <v>486</v>
      </c>
      <c r="C409" s="18" t="s">
        <v>772</v>
      </c>
      <c r="D409" s="18" t="s">
        <v>488</v>
      </c>
      <c r="E409" s="18" t="s">
        <v>321</v>
      </c>
      <c r="F409" s="18" t="s">
        <v>280</v>
      </c>
      <c r="G409" s="19" t="n">
        <v>-28955</v>
      </c>
      <c r="H409" s="19" t="n">
        <v>468</v>
      </c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0</v>
      </c>
      <c r="O409" s="19" t="n">
        <v>-28487</v>
      </c>
      <c r="P409" s="20" t="n">
        <f aca="false">IFERROR(O409/SUMIFS($O$160:$O$418,$D$160:$D$418,"&lt;&gt;Not Mapped"),0)</f>
        <v>-0.0121105118749931</v>
      </c>
      <c r="Q409" s="21" t="s">
        <v>773</v>
      </c>
      <c r="R409" s="21"/>
      <c r="S409" s="21"/>
      <c r="T409" s="21"/>
    </row>
    <row r="410" customFormat="false" ht="114" hidden="false" customHeight="true" outlineLevel="0" collapsed="false">
      <c r="A410" s="18" t="s">
        <v>273</v>
      </c>
      <c r="B410" s="18" t="s">
        <v>274</v>
      </c>
      <c r="C410" s="18" t="s">
        <v>774</v>
      </c>
      <c r="D410" s="18" t="s">
        <v>341</v>
      </c>
      <c r="E410" s="18" t="s">
        <v>85</v>
      </c>
      <c r="F410" s="18" t="s">
        <v>280</v>
      </c>
      <c r="G410" s="19" t="n">
        <v>-31906</v>
      </c>
      <c r="H410" s="19" t="n">
        <v>673</v>
      </c>
      <c r="I410" s="19" t="n">
        <v>0</v>
      </c>
      <c r="J410" s="19" t="n">
        <v>73</v>
      </c>
      <c r="K410" s="19" t="n">
        <v>307</v>
      </c>
      <c r="L410" s="19" t="n">
        <v>0</v>
      </c>
      <c r="M410" s="19" t="n">
        <v>0</v>
      </c>
      <c r="N410" s="19" t="n">
        <v>0</v>
      </c>
      <c r="O410" s="19" t="n">
        <v>-30854</v>
      </c>
      <c r="P410" s="20" t="n">
        <f aca="false">IFERROR(O410/SUMIFS($O$160:$O$418,$D$160:$D$418,"&lt;&gt;Not Mapped"),0)</f>
        <v>-0.0131167807558197</v>
      </c>
      <c r="Q410" s="21" t="s">
        <v>775</v>
      </c>
      <c r="R410" s="21"/>
      <c r="S410" s="21"/>
      <c r="T410" s="21"/>
    </row>
    <row r="411" customFormat="false" ht="114" hidden="false" customHeight="true" outlineLevel="0" collapsed="false">
      <c r="A411" s="18" t="s">
        <v>273</v>
      </c>
      <c r="B411" s="18" t="s">
        <v>274</v>
      </c>
      <c r="C411" s="18" t="s">
        <v>776</v>
      </c>
      <c r="D411" s="18" t="s">
        <v>305</v>
      </c>
      <c r="E411" s="18" t="s">
        <v>54</v>
      </c>
      <c r="F411" s="18" t="s">
        <v>280</v>
      </c>
      <c r="G411" s="19" t="n">
        <v>-46534</v>
      </c>
      <c r="H411" s="19" t="n">
        <v>14756</v>
      </c>
      <c r="I411" s="19" t="n">
        <v>0</v>
      </c>
      <c r="J411" s="19" t="n">
        <v>0</v>
      </c>
      <c r="K411" s="19" t="n">
        <v>516</v>
      </c>
      <c r="L411" s="19" t="n">
        <v>0</v>
      </c>
      <c r="M411" s="19" t="n">
        <v>0</v>
      </c>
      <c r="N411" s="19" t="n">
        <v>0</v>
      </c>
      <c r="O411" s="19" t="n">
        <v>-31262</v>
      </c>
      <c r="P411" s="20" t="n">
        <f aca="false">IFERROR(O411/SUMIFS($O$160:$O$418,$D$160:$D$418,"&lt;&gt;Not Mapped"),0)</f>
        <v>-0.0132902314120839</v>
      </c>
      <c r="Q411" s="21" t="s">
        <v>777</v>
      </c>
      <c r="R411" s="21"/>
      <c r="S411" s="21"/>
      <c r="T411" s="21"/>
    </row>
    <row r="412" customFormat="false" ht="114" hidden="false" customHeight="true" outlineLevel="0" collapsed="false">
      <c r="A412" s="18" t="s">
        <v>273</v>
      </c>
      <c r="B412" s="18" t="s">
        <v>274</v>
      </c>
      <c r="C412" s="18" t="s">
        <v>778</v>
      </c>
      <c r="D412" s="18" t="s">
        <v>313</v>
      </c>
      <c r="E412" s="18" t="s">
        <v>85</v>
      </c>
      <c r="F412" s="18" t="s">
        <v>280</v>
      </c>
      <c r="G412" s="19" t="n">
        <v>-38209</v>
      </c>
      <c r="H412" s="19" t="n">
        <v>1162</v>
      </c>
      <c r="I412" s="19" t="n">
        <v>0</v>
      </c>
      <c r="J412" s="19" t="n">
        <v>970</v>
      </c>
      <c r="K412" s="19" t="n">
        <v>1331</v>
      </c>
      <c r="L412" s="19" t="n">
        <v>0</v>
      </c>
      <c r="M412" s="19" t="n">
        <v>0</v>
      </c>
      <c r="N412" s="19" t="n">
        <v>0</v>
      </c>
      <c r="O412" s="19" t="n">
        <v>-34746</v>
      </c>
      <c r="P412" s="20" t="n">
        <f aca="false">IFERROR(O412/SUMIFS($O$160:$O$418,$D$160:$D$418,"&lt;&gt;Not Mapped"),0)</f>
        <v>-0.0147713639768494</v>
      </c>
      <c r="Q412" s="21" t="s">
        <v>779</v>
      </c>
      <c r="R412" s="21"/>
      <c r="S412" s="21"/>
      <c r="T412" s="21"/>
    </row>
    <row r="413" customFormat="false" ht="114" hidden="false" customHeight="true" outlineLevel="0" collapsed="false">
      <c r="A413" s="18" t="s">
        <v>273</v>
      </c>
      <c r="B413" s="18" t="s">
        <v>274</v>
      </c>
      <c r="C413" s="18" t="s">
        <v>780</v>
      </c>
      <c r="D413" s="18" t="s">
        <v>61</v>
      </c>
      <c r="E413" s="18" t="s">
        <v>54</v>
      </c>
      <c r="F413" s="18" t="s">
        <v>280</v>
      </c>
      <c r="G413" s="19" t="n">
        <v>-39484</v>
      </c>
      <c r="H413" s="19" t="n">
        <v>2408</v>
      </c>
      <c r="I413" s="19" t="n">
        <v>0</v>
      </c>
      <c r="J413" s="19" t="n">
        <v>195</v>
      </c>
      <c r="K413" s="19" t="n">
        <v>152</v>
      </c>
      <c r="L413" s="19" t="n">
        <v>0</v>
      </c>
      <c r="M413" s="19" t="n">
        <v>0</v>
      </c>
      <c r="N413" s="19" t="n">
        <v>0</v>
      </c>
      <c r="O413" s="19" t="n">
        <v>-36730</v>
      </c>
      <c r="P413" s="20" t="n">
        <f aca="false">IFERROR(O413/SUMIFS($O$160:$O$418,$D$160:$D$418,"&lt;&gt;Not Mapped"),0)</f>
        <v>-0.0156148103053497</v>
      </c>
      <c r="Q413" s="21" t="s">
        <v>781</v>
      </c>
      <c r="R413" s="21"/>
      <c r="S413" s="21"/>
      <c r="T413" s="21"/>
    </row>
    <row r="414" customFormat="false" ht="102" hidden="false" customHeight="true" outlineLevel="0" collapsed="false">
      <c r="A414" s="18" t="s">
        <v>273</v>
      </c>
      <c r="B414" s="18" t="s">
        <v>274</v>
      </c>
      <c r="C414" s="18" t="s">
        <v>782</v>
      </c>
      <c r="D414" s="18" t="s">
        <v>305</v>
      </c>
      <c r="E414" s="18" t="s">
        <v>54</v>
      </c>
      <c r="F414" s="18" t="s">
        <v>280</v>
      </c>
      <c r="G414" s="19" t="n">
        <v>-46491</v>
      </c>
      <c r="H414" s="19" t="n">
        <v>6605</v>
      </c>
      <c r="I414" s="19" t="n">
        <v>1245</v>
      </c>
      <c r="J414" s="19" t="n">
        <v>0</v>
      </c>
      <c r="K414" s="19" t="n">
        <v>1245</v>
      </c>
      <c r="L414" s="19" t="n">
        <v>0</v>
      </c>
      <c r="M414" s="19" t="n">
        <v>0</v>
      </c>
      <c r="N414" s="19" t="n">
        <v>0</v>
      </c>
      <c r="O414" s="19" t="n">
        <v>-37396</v>
      </c>
      <c r="P414" s="20" t="n">
        <f aca="false">IFERROR(O414/SUMIFS($O$160:$O$418,$D$160:$D$418,"&lt;&gt;Not Mapped"),0)</f>
        <v>-0.0158979429942515</v>
      </c>
      <c r="Q414" s="21" t="s">
        <v>783</v>
      </c>
      <c r="R414" s="21"/>
      <c r="S414" s="21"/>
      <c r="T414" s="21"/>
    </row>
    <row r="415" customFormat="false" ht="114" hidden="false" customHeight="true" outlineLevel="0" collapsed="false">
      <c r="A415" s="18" t="s">
        <v>273</v>
      </c>
      <c r="B415" s="18" t="s">
        <v>274</v>
      </c>
      <c r="C415" s="18" t="s">
        <v>784</v>
      </c>
      <c r="D415" s="18" t="s">
        <v>320</v>
      </c>
      <c r="E415" s="18" t="s">
        <v>321</v>
      </c>
      <c r="F415" s="18" t="s">
        <v>280</v>
      </c>
      <c r="G415" s="19" t="n">
        <v>-44048</v>
      </c>
      <c r="H415" s="19" t="n">
        <v>978</v>
      </c>
      <c r="I415" s="19" t="n">
        <v>0</v>
      </c>
      <c r="J415" s="19" t="n">
        <v>184</v>
      </c>
      <c r="K415" s="19" t="n">
        <v>73</v>
      </c>
      <c r="L415" s="19" t="n">
        <v>0</v>
      </c>
      <c r="M415" s="19" t="n">
        <v>0</v>
      </c>
      <c r="N415" s="19" t="n">
        <v>0</v>
      </c>
      <c r="O415" s="19" t="n">
        <v>-42812</v>
      </c>
      <c r="P415" s="20" t="n">
        <f aca="false">IFERROR(O415/SUMIFS($O$160:$O$418,$D$160:$D$418,"&lt;&gt;Not Mapped"),0)</f>
        <v>-0.0182004154313267</v>
      </c>
      <c r="Q415" s="21" t="s">
        <v>785</v>
      </c>
      <c r="R415" s="21"/>
      <c r="S415" s="21"/>
      <c r="T415" s="21"/>
    </row>
    <row r="416" customFormat="false" ht="114" hidden="false" customHeight="true" outlineLevel="0" collapsed="false">
      <c r="A416" s="18" t="s">
        <v>273</v>
      </c>
      <c r="B416" s="18" t="s">
        <v>274</v>
      </c>
      <c r="C416" s="18" t="s">
        <v>786</v>
      </c>
      <c r="D416" s="18" t="s">
        <v>61</v>
      </c>
      <c r="E416" s="18" t="s">
        <v>54</v>
      </c>
      <c r="F416" s="18" t="s">
        <v>280</v>
      </c>
      <c r="G416" s="19" t="n">
        <v>-51686</v>
      </c>
      <c r="H416" s="19" t="n">
        <v>4063</v>
      </c>
      <c r="I416" s="19" t="n">
        <v>1111</v>
      </c>
      <c r="J416" s="19" t="n">
        <v>672</v>
      </c>
      <c r="K416" s="19" t="n">
        <v>1461</v>
      </c>
      <c r="L416" s="19" t="n">
        <v>0</v>
      </c>
      <c r="M416" s="19" t="n">
        <v>0</v>
      </c>
      <c r="N416" s="19" t="n">
        <v>0</v>
      </c>
      <c r="O416" s="19" t="n">
        <v>-44378</v>
      </c>
      <c r="P416" s="20" t="n">
        <f aca="false">IFERROR(O416/SUMIFS($O$160:$O$418,$D$160:$D$418,"&lt;&gt;Not Mapped"),0)</f>
        <v>-0.0188661598619877</v>
      </c>
      <c r="Q416" s="21" t="s">
        <v>787</v>
      </c>
      <c r="R416" s="21"/>
      <c r="S416" s="21"/>
      <c r="T416" s="21"/>
    </row>
    <row r="417" customFormat="false" ht="114" hidden="false" customHeight="true" outlineLevel="0" collapsed="false">
      <c r="A417" s="18" t="s">
        <v>273</v>
      </c>
      <c r="B417" s="18" t="s">
        <v>274</v>
      </c>
      <c r="C417" s="18" t="s">
        <v>788</v>
      </c>
      <c r="D417" s="18" t="s">
        <v>313</v>
      </c>
      <c r="E417" s="18" t="s">
        <v>85</v>
      </c>
      <c r="F417" s="18" t="s">
        <v>280</v>
      </c>
      <c r="G417" s="19" t="n">
        <v>-46809</v>
      </c>
      <c r="H417" s="19" t="n">
        <v>291</v>
      </c>
      <c r="I417" s="19" t="n">
        <v>0</v>
      </c>
      <c r="J417" s="19" t="n">
        <v>0</v>
      </c>
      <c r="K417" s="19" t="n">
        <v>179</v>
      </c>
      <c r="L417" s="19" t="n">
        <v>0</v>
      </c>
      <c r="M417" s="19" t="n">
        <v>1166</v>
      </c>
      <c r="N417" s="19" t="n">
        <v>0</v>
      </c>
      <c r="O417" s="19" t="n">
        <v>-45174</v>
      </c>
      <c r="P417" s="20" t="n">
        <f aca="false">IFERROR(O417/SUMIFS($O$160:$O$418,$D$160:$D$418,"&lt;&gt;Not Mapped"),0)</f>
        <v>-0.0192045586913658</v>
      </c>
      <c r="Q417" s="21" t="s">
        <v>789</v>
      </c>
      <c r="R417" s="21"/>
      <c r="S417" s="21"/>
      <c r="T417" s="21"/>
    </row>
    <row r="418" customFormat="false" ht="102" hidden="false" customHeight="true" outlineLevel="0" collapsed="false">
      <c r="A418" s="18" t="s">
        <v>273</v>
      </c>
      <c r="B418" s="18" t="s">
        <v>274</v>
      </c>
      <c r="C418" s="18" t="s">
        <v>790</v>
      </c>
      <c r="D418" s="18" t="s">
        <v>35</v>
      </c>
      <c r="E418" s="18" t="s">
        <v>36</v>
      </c>
      <c r="F418" s="18" t="s">
        <v>275</v>
      </c>
      <c r="G418" s="19" t="n">
        <v>-253068</v>
      </c>
      <c r="H418" s="19" t="n">
        <v>0</v>
      </c>
      <c r="I418" s="19" t="n">
        <v>0</v>
      </c>
      <c r="J418" s="19" t="n">
        <v>161584</v>
      </c>
      <c r="K418" s="19" t="n">
        <v>0</v>
      </c>
      <c r="L418" s="19" t="n">
        <v>0</v>
      </c>
      <c r="M418" s="19" t="n">
        <v>0</v>
      </c>
      <c r="N418" s="19" t="n">
        <v>0</v>
      </c>
      <c r="O418" s="19" t="n">
        <v>-91484</v>
      </c>
      <c r="P418" s="20" t="n">
        <f aca="false">IFERROR(O418/SUMIFS($O$160:$O$418,$D$160:$D$418,"&lt;&gt;Not Mapped"),0)</f>
        <v>-0.0388920584256632</v>
      </c>
      <c r="Q418" s="21" t="s">
        <v>791</v>
      </c>
      <c r="R418" s="21"/>
      <c r="S418" s="21"/>
      <c r="T418" s="21"/>
    </row>
  </sheetData>
  <autoFilter ref="A159:T418"/>
  <conditionalFormatting sqref="I118:I148">
    <cfRule type="cellIs" priority="2" operator="notEqual" aboveAverage="0" equalAverage="0" bottom="0" percent="0" rank="0" text="" dxfId="132">
      <formula>"OK"</formula>
    </cfRule>
  </conditionalFormatting>
  <conditionalFormatting sqref="O160:O418">
    <cfRule type="colorScale" priority="3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conditionalFormatting sqref="P160:P418">
    <cfRule type="colorScale" priority="4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2026-10-08T08:20:53Z</dcterms:created>
  <dc:creator>openpyxl</dc:creator>
  <dc:description/>
  <dc:language>en-US</dc:language>
  <cp:lastModifiedBy/>
  <dcterms:modified xsi:type="dcterms:W3CDTF">2026-10-08T08:21:00Z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