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rinkage" sheetId="1" state="visible" r:id="rId3"/>
    <sheet name="Inventory Hygiene" sheetId="2" state="visible" r:id="rId4"/>
    <sheet name="CLM &amp; IM Mapping" sheetId="3" state="hidden" r:id="rId5"/>
    <sheet name="Bad Bins" sheetId="4" state="visible" r:id="rId6"/>
    <sheet name="RSTO &gt; 48hrs" sheetId="5" state="visible" r:id="rId7"/>
    <sheet name="Recirculation &gt; 24 hrs" sheetId="6" state="visible" r:id="rId8"/>
    <sheet name="Pending Putaway" sheetId="7" state="visible" r:id="rId9"/>
    <sheet name="Final Summary" sheetId="8" state="visible" r:id="rId10"/>
    <sheet name="Aisle Loss 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<sst xmlns="http://schemas.openxmlformats.org/spreadsheetml/2006/main" count="7870" uniqueCount="457">
  <si>
    <t xml:space="preserve">Zone</t>
  </si>
  <si>
    <t xml:space="preserve">city_name_</t>
  </si>
  <si>
    <t xml:space="preserve">Store Name</t>
  </si>
  <si>
    <t xml:space="preserve">CLM</t>
  </si>
  <si>
    <t xml:space="preserve">IM</t>
  </si>
  <si>
    <t xml:space="preserve">locationtype2</t>
  </si>
  <si>
    <t xml:space="preserve">Adj_Amt</t>
  </si>
  <si>
    <t xml:space="preserve">FCC_Bin_Amt</t>
  </si>
  <si>
    <t xml:space="preserve">Other_Bin_Amt</t>
  </si>
  <si>
    <t xml:space="preserve">Shortpick_Amt</t>
  </si>
  <si>
    <t xml:space="preserve">RTO_Loss</t>
  </si>
  <si>
    <t xml:space="preserve">PP PO Closed (curr+prev)</t>
  </si>
  <si>
    <t xml:space="preserve">PP STO Closed (curr+prev)</t>
  </si>
  <si>
    <t xml:space="preserve">PP Canc Closed (curr+prev)</t>
  </si>
  <si>
    <t xml:space="preserve">Total Inhouse</t>
  </si>
  <si>
    <t xml:space="preserve">SLP Ticket ID / Mail</t>
  </si>
  <si>
    <t xml:space="preserve">SLP Recovery</t>
  </si>
  <si>
    <t xml:space="preserve">RCA &amp; POA </t>
  </si>
  <si>
    <t xml:space="preserve">Expected Recovery by 11th Oct</t>
  </si>
  <si>
    <t xml:space="preserve">Top 2 Net Loss Aisle</t>
  </si>
  <si>
    <t xml:space="preserve">Top 2 Aisle Net Loss Value</t>
  </si>
  <si>
    <t xml:space="preserve">South1</t>
  </si>
  <si>
    <t xml:space="preserve">Bengaluru</t>
  </si>
  <si>
    <t xml:space="preserve">BLR-Shivaji Nagar SS</t>
  </si>
  <si>
    <t xml:space="preserve">SUPERSTORE</t>
  </si>
  <si>
    <t xml:space="preserve">BLR-RICHMOND TOWN SS</t>
  </si>
  <si>
    <t xml:space="preserve">BLR-Mathikere</t>
  </si>
  <si>
    <t xml:space="preserve">RETAIL_STORE</t>
  </si>
  <si>
    <t xml:space="preserve">BLR-SHIVAJI NAGAR Network</t>
  </si>
  <si>
    <t xml:space="preserve">Wrong putaway on Last month and  theft involvement SLP Team investigation under process</t>
  </si>
  <si>
    <t xml:space="preserve">BLR-Dooravani Nagar</t>
  </si>
  <si>
    <t xml:space="preserve">BLR-Kalkere</t>
  </si>
  <si>
    <t xml:space="preserve">BLR-HSR-3</t>
  </si>
  <si>
    <t xml:space="preserve">BLR-Malleshwaram SS</t>
  </si>
  <si>
    <t xml:space="preserve">BLR-BASAVANAPURA NETWORK 2</t>
  </si>
  <si>
    <t xml:space="preserve">BLR-Mico layout New</t>
  </si>
  <si>
    <t xml:space="preserve">BLR-HSR Layout New</t>
  </si>
  <si>
    <t xml:space="preserve">BLR-Siddapura</t>
  </si>
  <si>
    <t xml:space="preserve">BLR-Narayanapura</t>
  </si>
  <si>
    <t xml:space="preserve">BLR-Challakere</t>
  </si>
  <si>
    <t xml:space="preserve">BLR-Banjara Layout</t>
  </si>
  <si>
    <t xml:space="preserve">BLR-Vijay Nagar Network</t>
  </si>
  <si>
    <t xml:space="preserve">Due to CCA delta &amp; Peak CCA not abelt at add exxcess </t>
  </si>
  <si>
    <t xml:space="preserve">Complete losses will be recovered (50K)</t>
  </si>
  <si>
    <t xml:space="preserve">BLR-Malleshpalya</t>
  </si>
  <si>
    <t xml:space="preserve">BLR-Doddakannelli</t>
  </si>
  <si>
    <t xml:space="preserve">BLR-Murugeshpalya</t>
  </si>
  <si>
    <t xml:space="preserve">BLR-Kudlu</t>
  </si>
  <si>
    <t xml:space="preserve">BLR-Bommanahalli</t>
  </si>
  <si>
    <t xml:space="preserve">BLR-Electronic city network</t>
  </si>
  <si>
    <t xml:space="preserve">BLR-Sattava East</t>
  </si>
  <si>
    <t xml:space="preserve">BLR-Kadarenahalli</t>
  </si>
  <si>
    <t xml:space="preserve">BLR-Marathahalli-3</t>
  </si>
  <si>
    <t xml:space="preserve">BLR-Jakkur Network</t>
  </si>
  <si>
    <t xml:space="preserve">BLR-Thyagaraja Nagar</t>
  </si>
  <si>
    <t xml:space="preserve">Salary Hold Request – Theft Investigation and Recovery // BLR-Thyagaraja Nagar //  &amp;  Stock Adjustment Request – Theft Case // BLR-Thyagaraja Nagar /</t>
  </si>
  <si>
    <t xml:space="preserve">18000+30000=48000</t>
  </si>
  <si>
    <t xml:space="preserve">Store Mass theft involvement. SLP investigation done. IR Pending</t>
  </si>
  <si>
    <t xml:space="preserve">BLR-VIJAY NAGAR</t>
  </si>
  <si>
    <t xml:space="preserve">BLR-Nikoo Home New</t>
  </si>
  <si>
    <t xml:space="preserve">BLR-Kogilu Road</t>
  </si>
  <si>
    <t xml:space="preserve">BLR-INDIRANAGAR NEW</t>
  </si>
  <si>
    <t xml:space="preserve">BLR-CV RAMAN NAGAR NEW</t>
  </si>
  <si>
    <t xml:space="preserve">BLR-Jakkur New</t>
  </si>
  <si>
    <t xml:space="preserve">BLR-Kannamangala</t>
  </si>
  <si>
    <t xml:space="preserve">BLR-HSR-2</t>
  </si>
  <si>
    <t xml:space="preserve">BLR-Kothnur New</t>
  </si>
  <si>
    <t xml:space="preserve">BLR-Marathalli SS</t>
  </si>
  <si>
    <t xml:space="preserve">BLR-Dasarahalli</t>
  </si>
  <si>
    <t xml:space="preserve">BLR-Manjunatha layout</t>
  </si>
  <si>
    <t xml:space="preserve">BLR-BHADRAPPA LAYOUT NETWORK</t>
  </si>
  <si>
    <t xml:space="preserve">BLR-JP Nagar New</t>
  </si>
  <si>
    <t xml:space="preserve">BLR-Nehru Nagar</t>
  </si>
  <si>
    <t xml:space="preserve">BLR-BELLANDUR-4</t>
  </si>
  <si>
    <t xml:space="preserve">BLR-Kamakshipalya</t>
  </si>
  <si>
    <t xml:space="preserve">BLR-RAMAMURTHY NAGAR NEW</t>
  </si>
  <si>
    <t xml:space="preserve">BLR-Bellandur 6</t>
  </si>
  <si>
    <t xml:space="preserve">BLR-Sanjaynagar</t>
  </si>
  <si>
    <t xml:space="preserve">BLR-Richmond Town Network</t>
  </si>
  <si>
    <t xml:space="preserve">BLR-Hope Farm New</t>
  </si>
  <si>
    <t xml:space="preserve">BLR-Bagalakunte</t>
  </si>
  <si>
    <t xml:space="preserve">BLR-Dooravani Nagar SS</t>
  </si>
  <si>
    <t xml:space="preserve">Hosur</t>
  </si>
  <si>
    <t xml:space="preserve">HOS-Hosur</t>
  </si>
  <si>
    <t xml:space="preserve">BLR-Garudachar Palya</t>
  </si>
  <si>
    <t xml:space="preserve">BLR-Sarjapur New</t>
  </si>
  <si>
    <t xml:space="preserve">BLR-BASAVANAPURA</t>
  </si>
  <si>
    <t xml:space="preserve">BLR-CV Raman Nagar Network-2</t>
  </si>
  <si>
    <t xml:space="preserve">BLR-Seegehalli</t>
  </si>
  <si>
    <t xml:space="preserve">BLR-HBR Layout</t>
  </si>
  <si>
    <t xml:space="preserve">BLR-Hennur New</t>
  </si>
  <si>
    <t xml:space="preserve">BLR-HEBBAL NEW</t>
  </si>
  <si>
    <t xml:space="preserve">BLR-Narayanapura Network</t>
  </si>
  <si>
    <t xml:space="preserve">BLR-Arekere</t>
  </si>
  <si>
    <t xml:space="preserve">BLR-Devanahalli</t>
  </si>
  <si>
    <t xml:space="preserve">BLR-Jayanagar 9th block</t>
  </si>
  <si>
    <t xml:space="preserve">CC &amp; Squad deployed for Plangarom setup and W2W </t>
  </si>
  <si>
    <t xml:space="preserve">BLR-RWF Yelahanka</t>
  </si>
  <si>
    <t xml:space="preserve">BLR-Brookfield Network-2</t>
  </si>
  <si>
    <t xml:space="preserve">Hubballi</t>
  </si>
  <si>
    <t xml:space="preserve">HBL-Keshwapura</t>
  </si>
  <si>
    <t xml:space="preserve">BLR-Brookfield Network</t>
  </si>
  <si>
    <t xml:space="preserve">BLR-Bellandur-3</t>
  </si>
  <si>
    <t xml:space="preserve">BLR-BASAVANAPURA SS</t>
  </si>
  <si>
    <t xml:space="preserve">Kochi</t>
  </si>
  <si>
    <t xml:space="preserve">KOC-Infopark</t>
  </si>
  <si>
    <t xml:space="preserve">KOC-Kalamassery SS</t>
  </si>
  <si>
    <t xml:space="preserve">BLR-JC Nagar</t>
  </si>
  <si>
    <t xml:space="preserve">BLR-Shivaji nagar New</t>
  </si>
  <si>
    <t xml:space="preserve">BLR-Nehru Nagar SS</t>
  </si>
  <si>
    <t xml:space="preserve">BLR-Nikoo home SS</t>
  </si>
  <si>
    <t xml:space="preserve">BLR-Avalahalli Main</t>
  </si>
  <si>
    <t xml:space="preserve">BLR-Peenya New</t>
  </si>
  <si>
    <t xml:space="preserve">BLR-JAYANAGAR New</t>
  </si>
  <si>
    <t xml:space="preserve">BLR-Sompura</t>
  </si>
  <si>
    <t xml:space="preserve">BLR-Banashankari New</t>
  </si>
  <si>
    <t xml:space="preserve">BLR-Bagalur</t>
  </si>
  <si>
    <t xml:space="preserve">BLR-Singasandra SS</t>
  </si>
  <si>
    <t xml:space="preserve">BLR-Singapura</t>
  </si>
  <si>
    <t xml:space="preserve">KOC-Edappally</t>
  </si>
  <si>
    <t xml:space="preserve">BLR-Marathahalli New</t>
  </si>
  <si>
    <t xml:space="preserve">BLR-BTM Layout Network-3</t>
  </si>
  <si>
    <t xml:space="preserve">BLR-Mico layout network-2</t>
  </si>
  <si>
    <t xml:space="preserve">Belgavi</t>
  </si>
  <si>
    <t xml:space="preserve">BEL-Khanapur Road</t>
  </si>
  <si>
    <t xml:space="preserve">BLR-Hennur Main</t>
  </si>
  <si>
    <t xml:space="preserve">BLR-Chikkanagamangala</t>
  </si>
  <si>
    <t xml:space="preserve">BLR-ITPL Layout</t>
  </si>
  <si>
    <t xml:space="preserve">BLR-Doddakannelli SS</t>
  </si>
  <si>
    <t xml:space="preserve">KOC-Kalamassery</t>
  </si>
  <si>
    <t xml:space="preserve">Mysuru</t>
  </si>
  <si>
    <t xml:space="preserve">MYQ-Chamundi Vihar</t>
  </si>
  <si>
    <t xml:space="preserve">BLR-Kasturinagar New</t>
  </si>
  <si>
    <t xml:space="preserve">BLR-Chandapura</t>
  </si>
  <si>
    <t xml:space="preserve">BLR-Electronic City New</t>
  </si>
  <si>
    <t xml:space="preserve">BLR-Marathahalli-4</t>
  </si>
  <si>
    <t xml:space="preserve">BLR-Bannerghatta SS</t>
  </si>
  <si>
    <t xml:space="preserve">BLR-Tippenahalli</t>
  </si>
  <si>
    <t xml:space="preserve">BLR-Budigere Cross</t>
  </si>
  <si>
    <t xml:space="preserve">BLR-RK Hegde Nagar</t>
  </si>
  <si>
    <t xml:space="preserve">BLR-RAGHAVENDRA LAYOUT</t>
  </si>
  <si>
    <t xml:space="preserve">BLR-Hegganahalli</t>
  </si>
  <si>
    <t xml:space="preserve">BLR-Doddathoguru</t>
  </si>
  <si>
    <t xml:space="preserve">BLR-Kengeri</t>
  </si>
  <si>
    <t xml:space="preserve">HBL-Vidhya Nagar</t>
  </si>
  <si>
    <t xml:space="preserve">Coimbatore</t>
  </si>
  <si>
    <t xml:space="preserve">COI-Sai baba colony</t>
  </si>
  <si>
    <t xml:space="preserve">BLR-Yelenahalli</t>
  </si>
  <si>
    <t xml:space="preserve">BLR-Chamrajpet</t>
  </si>
  <si>
    <t xml:space="preserve">BLR-BELLANDUR - 2</t>
  </si>
  <si>
    <t xml:space="preserve">BLR-BANNERGHATTA</t>
  </si>
  <si>
    <t xml:space="preserve">BLR-Pipeline road new</t>
  </si>
  <si>
    <t xml:space="preserve">BLR-Doddanekundi</t>
  </si>
  <si>
    <t xml:space="preserve">KOC-Thengod</t>
  </si>
  <si>
    <t xml:space="preserve">BLR-Cholayanakanalli</t>
  </si>
  <si>
    <t xml:space="preserve">COI-Sundarapuram</t>
  </si>
  <si>
    <t xml:space="preserve">BLR-Bellandur new</t>
  </si>
  <si>
    <t xml:space="preserve">BLR-Channasandra</t>
  </si>
  <si>
    <t xml:space="preserve">KOC-PALLURTHY</t>
  </si>
  <si>
    <t xml:space="preserve">MYQ-Hudco</t>
  </si>
  <si>
    <t xml:space="preserve">BLR-Anjanapura</t>
  </si>
  <si>
    <t xml:space="preserve">BLR-Bellandur-5</t>
  </si>
  <si>
    <t xml:space="preserve">BLR-RICHMOND TOWN</t>
  </si>
  <si>
    <t xml:space="preserve">BLR-Marathahalli 2</t>
  </si>
  <si>
    <t xml:space="preserve">BLR-Peenya Network</t>
  </si>
  <si>
    <t xml:space="preserve">Tumkuru</t>
  </si>
  <si>
    <t xml:space="preserve">TUM-SS Puram</t>
  </si>
  <si>
    <t xml:space="preserve">BLR-Ullal</t>
  </si>
  <si>
    <t xml:space="preserve">BLR-Sarjapur-2</t>
  </si>
  <si>
    <t xml:space="preserve">BLR-HSR SS</t>
  </si>
  <si>
    <t xml:space="preserve">COI-Parashakti nagar</t>
  </si>
  <si>
    <t xml:space="preserve">BLR-Silver County</t>
  </si>
  <si>
    <t xml:space="preserve">BLR-Bellandur SS</t>
  </si>
  <si>
    <t xml:space="preserve">KOC-Fort</t>
  </si>
  <si>
    <t xml:space="preserve">BLR-Golahalli</t>
  </si>
  <si>
    <t xml:space="preserve">BLR-HeadOffice-Cafe</t>
  </si>
  <si>
    <t xml:space="preserve">BLR-Silver County  SS</t>
  </si>
  <si>
    <t xml:space="preserve">BLR-Electronic City SS</t>
  </si>
  <si>
    <t xml:space="preserve">MYQ-Bogadi</t>
  </si>
  <si>
    <t xml:space="preserve">MYQ-Kuvempu Nagar</t>
  </si>
  <si>
    <t xml:space="preserve">BLR-Nagondanahalli</t>
  </si>
  <si>
    <t xml:space="preserve">BLR-BTM LAYOUT NEW</t>
  </si>
  <si>
    <t xml:space="preserve">BLR-BTM-2</t>
  </si>
  <si>
    <t xml:space="preserve">BLR-Vidyaranyapura</t>
  </si>
  <si>
    <t xml:space="preserve">BLR-Vidyaranyapura SS</t>
  </si>
  <si>
    <t xml:space="preserve">BLR-Koramangala Network</t>
  </si>
  <si>
    <t xml:space="preserve">BLR-Pipeline Road</t>
  </si>
  <si>
    <t xml:space="preserve">BLR-Nelmagala Town</t>
  </si>
  <si>
    <t xml:space="preserve">BEL-Sector 12</t>
  </si>
  <si>
    <t xml:space="preserve">BLR-Kasavanahalli</t>
  </si>
  <si>
    <t xml:space="preserve">BLR-Carmelaram</t>
  </si>
  <si>
    <t xml:space="preserve">Kozhikode</t>
  </si>
  <si>
    <t xml:space="preserve">KZD-Nadakkave</t>
  </si>
  <si>
    <t xml:space="preserve">BLR-Devasandra Extension</t>
  </si>
  <si>
    <t xml:space="preserve">BLR-Bommasandra</t>
  </si>
  <si>
    <t xml:space="preserve">BLR-RR Nagar SS</t>
  </si>
  <si>
    <t xml:space="preserve">BLR-Teachers colony</t>
  </si>
  <si>
    <t xml:space="preserve">BLR-Hope Farm SS</t>
  </si>
  <si>
    <t xml:space="preserve">BLR-Sattava East SS</t>
  </si>
  <si>
    <t xml:space="preserve">BLR-Doomasandra</t>
  </si>
  <si>
    <t xml:space="preserve">COI-R S Puram</t>
  </si>
  <si>
    <t xml:space="preserve">BLR-Neo Town</t>
  </si>
  <si>
    <t xml:space="preserve">Davanagere</t>
  </si>
  <si>
    <t xml:space="preserve">DEV-MCC</t>
  </si>
  <si>
    <t xml:space="preserve">BLR-RR Nagar Network</t>
  </si>
  <si>
    <t xml:space="preserve">BLR-Yelahanka new town New</t>
  </si>
  <si>
    <t xml:space="preserve">BLR-BTM-3</t>
  </si>
  <si>
    <t xml:space="preserve">COI-Vadavalli 1</t>
  </si>
  <si>
    <t xml:space="preserve">DEV-Jayanagara</t>
  </si>
  <si>
    <t xml:space="preserve">BLR-Yallapa Garden</t>
  </si>
  <si>
    <t xml:space="preserve">BLR-Banashankari Network</t>
  </si>
  <si>
    <t xml:space="preserve">BLR- Brookefield SS</t>
  </si>
  <si>
    <t xml:space="preserve">BLR-Eldorado</t>
  </si>
  <si>
    <t xml:space="preserve">BLR-Ramamurthy Nagar Network</t>
  </si>
  <si>
    <t xml:space="preserve">BLR-Nagdevanahalli</t>
  </si>
  <si>
    <t xml:space="preserve">BLR-Yelahanka Network</t>
  </si>
  <si>
    <t xml:space="preserve">KOC-Thrippunithura</t>
  </si>
  <si>
    <t xml:space="preserve">BLR-Basavanapura Network</t>
  </si>
  <si>
    <t xml:space="preserve">BLR-CV Raman Nagar SS</t>
  </si>
  <si>
    <t xml:space="preserve">KOC-Vallathol Padi</t>
  </si>
  <si>
    <t xml:space="preserve">BLR-Nagavara</t>
  </si>
  <si>
    <t xml:space="preserve">Palakkad</t>
  </si>
  <si>
    <t xml:space="preserve">PAL-Pallipuram</t>
  </si>
  <si>
    <t xml:space="preserve">BLR-Rajarajeshwari Nagar</t>
  </si>
  <si>
    <t xml:space="preserve">MYQ-Mahadevpura</t>
  </si>
  <si>
    <t xml:space="preserve">BLR-Bannerghatta Network</t>
  </si>
  <si>
    <t xml:space="preserve">BLR-Soukya</t>
  </si>
  <si>
    <t xml:space="preserve">MYQ-Vani villas</t>
  </si>
  <si>
    <t xml:space="preserve">BLR-Kalyan Nagar Network</t>
  </si>
  <si>
    <t xml:space="preserve">COI-Peelamedu</t>
  </si>
  <si>
    <t xml:space="preserve">BLR-Kumaraswamy Layout</t>
  </si>
  <si>
    <t xml:space="preserve">KOC-Kaloor</t>
  </si>
  <si>
    <t xml:space="preserve">BLR-KALYAN NAGAR NEW</t>
  </si>
  <si>
    <t xml:space="preserve">BLR-SINGASANDRA NEW</t>
  </si>
  <si>
    <t xml:space="preserve">BLR-Magadi Road</t>
  </si>
  <si>
    <t xml:space="preserve">BLR-Electronic City Network-2</t>
  </si>
  <si>
    <t xml:space="preserve">PAL-Kalpathy</t>
  </si>
  <si>
    <t xml:space="preserve">HBL-Saptapur</t>
  </si>
  <si>
    <t xml:space="preserve">BLR-Margosa road</t>
  </si>
  <si>
    <t xml:space="preserve">BLR-YESHWANTPUR</t>
  </si>
  <si>
    <t xml:space="preserve">BLR- Sonnenahalli New</t>
  </si>
  <si>
    <t xml:space="preserve">BLR-Bidaraguppe</t>
  </si>
  <si>
    <t xml:space="preserve">COI-Nehru Nagar</t>
  </si>
  <si>
    <t xml:space="preserve">BLR-JP Nagar Network</t>
  </si>
  <si>
    <t xml:space="preserve">MYQ-Rajendra Nagar</t>
  </si>
  <si>
    <t xml:space="preserve">BLR-Belathur</t>
  </si>
  <si>
    <t xml:space="preserve">PAL-TKV Nagar</t>
  </si>
  <si>
    <t xml:space="preserve">BLR-Kannika Nagar</t>
  </si>
  <si>
    <t xml:space="preserve">BLR-TC Palaya</t>
  </si>
  <si>
    <t xml:space="preserve">BLR-Junnasandra</t>
  </si>
  <si>
    <t xml:space="preserve">COI-Race Course</t>
  </si>
  <si>
    <t xml:space="preserve">BLR-Malleshwaram new</t>
  </si>
  <si>
    <t xml:space="preserve">BLR-Kadarenahalli SS</t>
  </si>
  <si>
    <t xml:space="preserve">BLR-Kadugodi</t>
  </si>
  <si>
    <t xml:space="preserve">BLR-RAGHAVENDRA LAYOUT NETWORK 2</t>
  </si>
  <si>
    <t xml:space="preserve">KOC-Kakkanad</t>
  </si>
  <si>
    <t xml:space="preserve">BLR-Chickpet New</t>
  </si>
  <si>
    <t xml:space="preserve">KOC-Aluva</t>
  </si>
  <si>
    <t xml:space="preserve">HBL-Gokul Road</t>
  </si>
  <si>
    <t xml:space="preserve">BLR-TMC Layout</t>
  </si>
  <si>
    <t xml:space="preserve">BLR-CV Raman Nagar Network</t>
  </si>
  <si>
    <t xml:space="preserve">COI-Ramnathapuram</t>
  </si>
  <si>
    <t xml:space="preserve">BLR-HSR-Flower-Shop-1</t>
  </si>
  <si>
    <t xml:space="preserve">KOC-Friendship nagar</t>
  </si>
  <si>
    <t xml:space="preserve">BLR-JP Nagar SS</t>
  </si>
  <si>
    <t xml:space="preserve">BLR-Abbigere</t>
  </si>
  <si>
    <t xml:space="preserve">BLR-GUNJUR Network</t>
  </si>
  <si>
    <t xml:space="preserve">BLR-New Gurappanya Palya</t>
  </si>
  <si>
    <t xml:space="preserve">BLR-Silicon Town</t>
  </si>
  <si>
    <t xml:space="preserve">BLR-Varthur</t>
  </si>
  <si>
    <t xml:space="preserve">BLR-Peenya SS</t>
  </si>
  <si>
    <t xml:space="preserve">BLR-Bannerghatta Network 2</t>
  </si>
  <si>
    <t xml:space="preserve">BLR-Iggalur</t>
  </si>
  <si>
    <t xml:space="preserve">MYQ-Vijayanagar</t>
  </si>
  <si>
    <t xml:space="preserve">BLR-Vijay Nagar SS</t>
  </si>
  <si>
    <t xml:space="preserve">BLR-Mico Layout Network</t>
  </si>
  <si>
    <t xml:space="preserve">BLR-Malagala</t>
  </si>
  <si>
    <t xml:space="preserve">BLR-Chikkajala</t>
  </si>
  <si>
    <t xml:space="preserve">BLR-Kambipura</t>
  </si>
  <si>
    <t xml:space="preserve">BLR-JP Nagar Network-2</t>
  </si>
  <si>
    <t xml:space="preserve">MYQ-Chamrajpura</t>
  </si>
  <si>
    <t xml:space="preserve">BLR-Whitefield New</t>
  </si>
  <si>
    <t xml:space="preserve">BLR-BTM-2 New</t>
  </si>
  <si>
    <t xml:space="preserve">BLR-BEML Layout</t>
  </si>
  <si>
    <t xml:space="preserve">BLR-Sunrise Layout</t>
  </si>
  <si>
    <t xml:space="preserve">BLR-27th Main Road</t>
  </si>
  <si>
    <t xml:space="preserve">BLR-Goraguntepalya</t>
  </si>
  <si>
    <t xml:space="preserve">BLR-Singasandra Network</t>
  </si>
  <si>
    <t xml:space="preserve">BLR-Hadosiddapura</t>
  </si>
  <si>
    <t xml:space="preserve">BLR-Mathikere New</t>
  </si>
  <si>
    <t xml:space="preserve">BLR-Whitefield Network-2</t>
  </si>
  <si>
    <t xml:space="preserve">COI-Singanallur</t>
  </si>
  <si>
    <t xml:space="preserve">BLR - Bhadrappa Layout</t>
  </si>
  <si>
    <t xml:space="preserve">BLR-Gunjur New</t>
  </si>
  <si>
    <t xml:space="preserve">BLR-Michael Palaya</t>
  </si>
  <si>
    <t xml:space="preserve">BLR-Agrahara Road</t>
  </si>
  <si>
    <t xml:space="preserve">BLR-Aswath Nagar</t>
  </si>
  <si>
    <t xml:space="preserve">BLR-RAGHAVENDRA LAYOUT NETWORK</t>
  </si>
  <si>
    <t xml:space="preserve">BLR-Choodasandra</t>
  </si>
  <si>
    <t xml:space="preserve">BLR-Attibele</t>
  </si>
  <si>
    <t xml:space="preserve">BLR-Balagere SS</t>
  </si>
  <si>
    <t xml:space="preserve">store_name</t>
  </si>
  <si>
    <t xml:space="preserve">sub_store_type</t>
  </si>
  <si>
    <t xml:space="preserve">planogram_enabled_flag</t>
  </si>
  <si>
    <t xml:space="preserve">city_name</t>
  </si>
  <si>
    <t xml:space="preserve">Total Bins</t>
  </si>
  <si>
    <t xml:space="preserve">Target CC MTD</t>
  </si>
  <si>
    <t xml:space="preserve">CC MTD %</t>
  </si>
  <si>
    <t xml:space="preserve">BA MTD %</t>
  </si>
  <si>
    <t xml:space="preserve">IA MTD %</t>
  </si>
  <si>
    <t xml:space="preserve">CC ACC %</t>
  </si>
  <si>
    <t xml:space="preserve">CCA </t>
  </si>
  <si>
    <t xml:space="preserve">RCA &amp; POA</t>
  </si>
  <si>
    <t xml:space="preserve">ETA</t>
  </si>
  <si>
    <t xml:space="preserve">Yes</t>
  </si>
  <si>
    <t xml:space="preserve">BLR-BROOKEFIELD</t>
  </si>
  <si>
    <t xml:space="preserve">No</t>
  </si>
  <si>
    <t xml:space="preserve">BLR-Silver County SS</t>
  </si>
  <si>
    <t xml:space="preserve">Store Names</t>
  </si>
  <si>
    <t xml:space="preserve">CLM Updated</t>
  </si>
  <si>
    <t xml:space="preserve">New IM Mapping</t>
  </si>
  <si>
    <t xml:space="preserve">Saddam Hussain</t>
  </si>
  <si>
    <t xml:space="preserve">Un Mapped</t>
  </si>
  <si>
    <t xml:space="preserve">Sundaresh S</t>
  </si>
  <si>
    <t xml:space="preserve">Rizwan Ahmed</t>
  </si>
  <si>
    <t xml:space="preserve">Girish N</t>
  </si>
  <si>
    <t xml:space="preserve">Manjunatha V</t>
  </si>
  <si>
    <t xml:space="preserve">Keshav G</t>
  </si>
  <si>
    <t xml:space="preserve">BLR-GUNJUR</t>
  </si>
  <si>
    <t xml:space="preserve">Akshay P</t>
  </si>
  <si>
    <t xml:space="preserve">Srittam Dhal</t>
  </si>
  <si>
    <t xml:space="preserve">Manoj Kj</t>
  </si>
  <si>
    <t xml:space="preserve">Arun Raj</t>
  </si>
  <si>
    <t xml:space="preserve">Simon Manoharan</t>
  </si>
  <si>
    <t xml:space="preserve">Basil Scariya</t>
  </si>
  <si>
    <t xml:space="preserve">Prakash BS</t>
  </si>
  <si>
    <t xml:space="preserve">Raghavendra Vernekar</t>
  </si>
  <si>
    <t xml:space="preserve">BLR-KOTHNUR New</t>
  </si>
  <si>
    <t xml:space="preserve">Adhavan Subramani</t>
  </si>
  <si>
    <t xml:space="preserve">Mohammed Akbar</t>
  </si>
  <si>
    <t xml:space="preserve">Balaji G</t>
  </si>
  <si>
    <t xml:space="preserve">BLR-SINGASANDRA</t>
  </si>
  <si>
    <t xml:space="preserve">Mohaideen DH</t>
  </si>
  <si>
    <t xml:space="preserve">MH</t>
  </si>
  <si>
    <t xml:space="preserve">Bangareppa CS</t>
  </si>
  <si>
    <t xml:space="preserve">Kishor K</t>
  </si>
  <si>
    <t xml:space="preserve">Narasimhamurthy R</t>
  </si>
  <si>
    <t xml:space="preserve">Ravishankar gowda</t>
  </si>
  <si>
    <t xml:space="preserve">Majid Kakatikar</t>
  </si>
  <si>
    <t xml:space="preserve">Richard Harris</t>
  </si>
  <si>
    <t xml:space="preserve">Kantha Kumar</t>
  </si>
  <si>
    <t xml:space="preserve">Ashwath S</t>
  </si>
  <si>
    <t xml:space="preserve">Vijay M</t>
  </si>
  <si>
    <t xml:space="preserve">BLR-SHIVAJI NAGAR New</t>
  </si>
  <si>
    <t xml:space="preserve">BLR-Margosa Road</t>
  </si>
  <si>
    <t xml:space="preserve">Silambarasan E</t>
  </si>
  <si>
    <t xml:space="preserve">Arivind S</t>
  </si>
  <si>
    <t xml:space="preserve">Vishnu V</t>
  </si>
  <si>
    <t xml:space="preserve">Suhas N</t>
  </si>
  <si>
    <t xml:space="preserve">Aravind S</t>
  </si>
  <si>
    <t xml:space="preserve">John Britto</t>
  </si>
  <si>
    <t xml:space="preserve">Santhosha M</t>
  </si>
  <si>
    <t xml:space="preserve">BLR-BANASHANKARI New</t>
  </si>
  <si>
    <t xml:space="preserve">TIR-KPN Colony</t>
  </si>
  <si>
    <t xml:space="preserve">TIR-Thiru VK Nagar Road</t>
  </si>
  <si>
    <t xml:space="preserve">Row Labels</t>
  </si>
  <si>
    <t xml:space="preserve">DAMAGEBIN</t>
  </si>
  <si>
    <t xml:space="preserve">EXPIRYBIN</t>
  </si>
  <si>
    <t xml:space="preserve">QUALITYBIN</t>
  </si>
  <si>
    <t xml:space="preserve">REINVENTORY-DAMAGEBIN</t>
  </si>
  <si>
    <t xml:space="preserve">REINVENTORY-QUALITYBIN</t>
  </si>
  <si>
    <t xml:space="preserve">SCRAPBIN</t>
  </si>
  <si>
    <t xml:space="preserve">Grand Total</t>
  </si>
  <si>
    <t xml:space="preserve">Created_last_24_hours</t>
  </si>
  <si>
    <t xml:space="preserve">c) 48-72 hr</t>
  </si>
  <si>
    <t xml:space="preserve">d) 72-96 hr</t>
  </si>
  <si>
    <t xml:space="preserve">e) &gt;96 hr</t>
  </si>
  <si>
    <t xml:space="preserve">24-48 hrs</t>
  </si>
  <si>
    <t xml:space="preserve">48-72 hrs</t>
  </si>
  <si>
    <t xml:space="preserve">72-96 hrs</t>
  </si>
  <si>
    <t xml:space="preserve">&gt;96 hrs</t>
  </si>
  <si>
    <t xml:space="preserve">A2P</t>
  </si>
  <si>
    <t xml:space="preserve">P2D</t>
  </si>
  <si>
    <t xml:space="preserve">Store</t>
  </si>
  <si>
    <t xml:space="preserve">Total PP</t>
  </si>
  <si>
    <t xml:space="preserve">0-8 Hrs</t>
  </si>
  <si>
    <t xml:space="preserve">8-16 Hrs</t>
  </si>
  <si>
    <t xml:space="preserve">16-24 Hrs</t>
  </si>
  <si>
    <t xml:space="preserve">24-36 Hrs</t>
  </si>
  <si>
    <t xml:space="preserve">36- 48 Hrs</t>
  </si>
  <si>
    <t xml:space="preserve">48+ Hrs</t>
  </si>
  <si>
    <t xml:space="preserve">Critical PP</t>
  </si>
  <si>
    <t xml:space="preserve">Issue Bucket</t>
  </si>
  <si>
    <t xml:space="preserve">Remarks</t>
  </si>
  <si>
    <t xml:space="preserve">MP Deployed and ETA</t>
  </si>
  <si>
    <t xml:space="preserve">Shrinkage Total Inhouse</t>
  </si>
  <si>
    <t xml:space="preserve">Inv Hygiene CC MTD %</t>
  </si>
  <si>
    <t xml:space="preserve">Bad Bins Grand Total</t>
  </si>
  <si>
    <t xml:space="preserve">RSTO &gt;48hrs Grand Total Qty</t>
  </si>
  <si>
    <t xml:space="preserve">Recirculation &gt;24hrs Grand Total</t>
  </si>
  <si>
    <t xml:space="preserve">Pending Putaway Total PP</t>
  </si>
  <si>
    <t xml:space="preserve">GRAND TOTAL</t>
  </si>
  <si>
    <t xml:space="preserve">Aisle</t>
  </si>
  <si>
    <t xml:space="preserve">Net Loss Value</t>
  </si>
  <si>
    <t xml:space="preserve">Rank</t>
  </si>
  <si>
    <t xml:space="preserve">Key</t>
  </si>
  <si>
    <t xml:space="preserve">Source: sqllab_untitled_query_136 (08-Oct-2026), net_loss_val summed by store + aisle across all days/zones; only aisles with net loss &gt; 0.</t>
  </si>
  <si>
    <t xml:space="preserve">O</t>
  </si>
  <si>
    <t xml:space="preserve">A</t>
  </si>
  <si>
    <t xml:space="preserve">J</t>
  </si>
  <si>
    <t xml:space="preserve">D</t>
  </si>
  <si>
    <t xml:space="preserve">Q</t>
  </si>
  <si>
    <t xml:space="preserve">H</t>
  </si>
  <si>
    <t xml:space="preserve">C</t>
  </si>
  <si>
    <t xml:space="preserve">P</t>
  </si>
  <si>
    <t xml:space="preserve">E</t>
  </si>
  <si>
    <t xml:space="preserve">N</t>
  </si>
  <si>
    <t xml:space="preserve">B</t>
  </si>
  <si>
    <t xml:space="preserve">I</t>
  </si>
  <si>
    <t xml:space="preserve">M</t>
  </si>
  <si>
    <t xml:space="preserve">K</t>
  </si>
  <si>
    <t xml:space="preserve">S</t>
  </si>
  <si>
    <t xml:space="preserve">UU</t>
  </si>
  <si>
    <t xml:space="preserve">1</t>
  </si>
  <si>
    <t xml:space="preserve">F</t>
  </si>
  <si>
    <t xml:space="preserve">MC</t>
  </si>
  <si>
    <t xml:space="preserve">L</t>
  </si>
  <si>
    <t xml:space="preserve">W</t>
  </si>
  <si>
    <t xml:space="preserve">P09</t>
  </si>
  <si>
    <t xml:space="preserve">BAT</t>
  </si>
  <si>
    <t xml:space="preserve">P15</t>
  </si>
  <si>
    <t xml:space="preserve">G</t>
  </si>
  <si>
    <t xml:space="preserve">ZZ</t>
  </si>
  <si>
    <t xml:space="preserve">BASV</t>
  </si>
  <si>
    <t xml:space="preserve">ART</t>
  </si>
  <si>
    <t xml:space="preserve">R</t>
  </si>
  <si>
    <t xml:space="preserve">Unknown</t>
  </si>
  <si>
    <t xml:space="preserve">T</t>
  </si>
  <si>
    <t xml:space="preserve">Y</t>
  </si>
  <si>
    <t xml:space="preserve">VF</t>
  </si>
  <si>
    <t xml:space="preserve">CD</t>
  </si>
  <si>
    <t xml:space="preserve">Z</t>
  </si>
  <si>
    <t xml:space="preserve">AC1</t>
  </si>
  <si>
    <t xml:space="preserve">V</t>
  </si>
  <si>
    <t xml:space="preserve">P07</t>
  </si>
  <si>
    <t xml:space="preserve">U</t>
  </si>
  <si>
    <t xml:space="preserve">HV</t>
  </si>
  <si>
    <t xml:space="preserve">AC2</t>
  </si>
  <si>
    <t xml:space="preserve">SS</t>
  </si>
  <si>
    <t xml:space="preserve">AA</t>
  </si>
  <si>
    <t xml:space="preserve">AI</t>
  </si>
  <si>
    <t xml:space="preserve">SORT</t>
  </si>
  <si>
    <t xml:space="preserve">X</t>
  </si>
  <si>
    <t xml:space="preserve">AD</t>
  </si>
  <si>
    <t xml:space="preserve">AB</t>
  </si>
  <si>
    <t xml:space="preserve">AE</t>
  </si>
  <si>
    <t xml:space="preserve">Cafe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</si>
</sst>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"/>
    <numFmt numFmtId="168" formatCode="General"/>
    <numFmt numFmtId="169" formatCode="#,##0;[RED]\(#,##0\);\-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Poppins"/>
      <family val="0"/>
      <charset val="1"/>
    </font>
    <font>
      <b val="true"/>
      <sz val="9"/>
      <color rgb="FFFFFFFF"/>
      <name val="Poppins"/>
      <family val="0"/>
      <charset val="1"/>
    </font>
    <font>
      <sz val="11"/>
      <color theme="1"/>
      <name val="Poppins"/>
      <family val="0"/>
      <charset val="1"/>
    </font>
    <font>
      <sz val="9"/>
      <color theme="1"/>
      <name val="Poppins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Poppins"/>
      <family val="0"/>
      <charset val="1"/>
    </font>
    <font>
      <sz val="11"/>
      <color rgb="FF000000"/>
      <name val="Poppins"/>
      <family val="0"/>
      <charset val="1"/>
    </font>
    <font>
      <b val="true"/>
      <sz val="9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ptos Narrow"/>
      <family val="0"/>
      <charset val="1"/>
    </font>
    <font>
      <sz val="11"/>
      <color theme="1"/>
      <name val="Calibri"/>
      <family val="0"/>
      <charset val="1"/>
    </font>
    <font>
      <b val="true"/>
      <sz val="10"/>
      <color theme="1"/>
      <name val="Poppins"/>
      <family val="0"/>
      <charset val="1"/>
    </font>
    <font>
      <sz val="10"/>
      <color theme="1"/>
      <name val="Poppins"/>
      <family val="0"/>
      <charset val="1"/>
    </font>
    <font>
      <b val="true"/>
      <sz val="10"/>
      <color rgb="FFFFFFFF"/>
      <name val="Poppins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9FC5E8"/>
        <bgColor rgb="FF95B3D7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741B47"/>
        <bgColor rgb="FF800080"/>
      </patternFill>
    </fill>
    <fill>
      <patternFill patternType="solid">
        <fgColor rgb="FFFFF2CC"/>
        <bgColor rgb="FFFFFFFF"/>
      </patternFill>
    </fill>
    <fill>
      <patternFill patternType="solid">
        <fgColor rgb="FFC0E6F5"/>
        <bgColor rgb="FFD0E0E3"/>
      </patternFill>
    </fill>
    <fill>
      <patternFill patternType="solid">
        <fgColor rgb="FFF4CCCC"/>
        <bgColor rgb="FFEAD1DC"/>
      </patternFill>
    </fill>
    <fill>
      <patternFill patternType="solid">
        <fgColor rgb="FFD0E0E3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0E0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95B3D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7E1CD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5B3D7"/>
      <rgbColor rgb="FF993366"/>
      <rgbColor rgb="FFFFF2CC"/>
      <rgbColor rgb="FFC0E6F5"/>
      <rgbColor rgb="FF741B47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0E0E3"/>
      <rgbColor rgb="FFEAD1DC"/>
      <rgbColor rgb="FF9FC5E8"/>
      <rgbColor rgb="FFFF99CC"/>
      <rgbColor rgb="FFB7E1CD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2" activeCellId="0" sqref="F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0.75"/>
    <col collapsed="false" customWidth="true" hidden="false" outlineLevel="0" max="3" min="3" style="0" width="30"/>
    <col collapsed="false" customWidth="true" hidden="false" outlineLevel="0" max="4" min="4" style="0" width="18.38"/>
    <col collapsed="false" customWidth="true" hidden="false" outlineLevel="0" max="5" min="5" style="0" width="15"/>
    <col collapsed="false" customWidth="true" hidden="false" outlineLevel="0" max="6" min="6" style="0" width="11.75"/>
    <col collapsed="false" customWidth="true" hidden="false" outlineLevel="0" max="7" min="7" style="0" width="8.38"/>
    <col collapsed="false" customWidth="true" hidden="false" outlineLevel="0" max="8" min="8" style="0" width="12.25"/>
    <col collapsed="false" customWidth="true" hidden="false" outlineLevel="0" max="9" min="9" style="0" width="13.5"/>
    <col collapsed="false" customWidth="true" hidden="false" outlineLevel="0" max="10" min="10" style="0" width="12.88"/>
    <col collapsed="false" customWidth="true" hidden="false" outlineLevel="0" max="11" min="11" style="0" width="8.63"/>
    <col collapsed="false" customWidth="true" hidden="false" outlineLevel="0" max="12" min="12" style="0" width="20.38"/>
    <col collapsed="false" customWidth="true" hidden="false" outlineLevel="0" max="13" min="13" style="0" width="21.25"/>
    <col collapsed="false" customWidth="true" hidden="false" outlineLevel="0" max="14" min="14" style="0" width="22.5"/>
    <col collapsed="false" customWidth="true" hidden="false" outlineLevel="0" max="15" min="15" style="0" width="11.38"/>
    <col collapsed="false" customWidth="true" hidden="false" outlineLevel="0" max="16" min="16" style="0" width="26.5"/>
    <col collapsed="false" customWidth="true" hidden="false" outlineLevel="0" max="17" min="17" style="0" width="25.51"/>
    <col collapsed="false" customWidth="true" hidden="false" outlineLevel="0" max="19" min="18" style="0" width="46.13"/>
    <col collapsed="false" customWidth="true" hidden="false" outlineLevel="0" max="21" min="20" style="0" width="1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7"/>
      <c r="W1" s="7"/>
      <c r="X1" s="7"/>
      <c r="Y1" s="7"/>
      <c r="Z1" s="7"/>
    </row>
    <row r="2" customFormat="false" ht="15.75" hidden="false" customHeight="true" outlineLevel="0" collapsed="false">
      <c r="A2" s="8" t="s">
        <v>21</v>
      </c>
      <c r="B2" s="9" t="s">
        <v>22</v>
      </c>
      <c r="C2" s="8" t="s">
        <v>23</v>
      </c>
      <c r="D2" s="9" t="str">
        <f aca="false" t="array" ref="D2:D2">IF(C2="","",IFERROR(INDEX('CLM &amp; IM Mapping'!$B$2:$B$270,MATCH(TRIM(C2),'CLM &amp; IM Mapping'!$A$2:$A$270,0)),"Not Mapped"))</f>
        <v>Arun Raj</v>
      </c>
      <c r="E2" s="9" t="str">
        <f aca="false" t="array" ref="E2:E2">IF(C2="","",IFERROR(INDEX('CLM &amp; IM Mapping'!$C$2:$C$270,MATCH(TRIM(C2),'CLM &amp; IM Mapping'!$A$2:$A$270,0)),"Not Mapped"))</f>
        <v>Simon Manoharan</v>
      </c>
      <c r="F2" s="9" t="s">
        <v>24</v>
      </c>
      <c r="G2" s="10" t="n">
        <v>69321</v>
      </c>
      <c r="H2" s="10" t="n">
        <v>75628</v>
      </c>
      <c r="I2" s="10" t="n">
        <v>0</v>
      </c>
      <c r="J2" s="10" t="n">
        <v>246</v>
      </c>
      <c r="K2" s="10" t="n">
        <v>1427</v>
      </c>
      <c r="L2" s="10" t="n">
        <v>0</v>
      </c>
      <c r="M2" s="10" t="n">
        <v>0</v>
      </c>
      <c r="N2" s="10" t="n">
        <v>9015</v>
      </c>
      <c r="O2" s="10" t="n">
        <v>155636</v>
      </c>
      <c r="P2" s="11"/>
      <c r="Q2" s="11"/>
      <c r="R2" s="11"/>
      <c r="S2" s="11"/>
      <c r="T2" s="12" t="str">
        <f aca="false">IF($C2="","",IFERROR(INDEX('Aisle Loss Data'!$B$2:$B$1931,MATCH(TRIM($C2)&amp;"|1",'Aisle Loss Data'!$E$2:$E$1931,0)),"No Loss")&amp;IFERROR(","&amp;INDEX('Aisle Loss Data'!$B$2:$B$1931,MATCH(TRIM($C2)&amp;"|2",'Aisle Loss Data'!$E$2:$E$1931,0)),""))</f>
        <v>P,J</v>
      </c>
      <c r="U2" s="13" t="n">
        <f aca="false">IF($C2="","",IFERROR(INDEX('Aisle Loss Data'!$C$2:$C$1931,MATCH(TRIM($C2)&amp;"|1",'Aisle Loss Data'!$E$2:$E$1931,0)),0)+IFERROR(INDEX('Aisle Loss Data'!$C$2:$C$1931,MATCH(TRIM($C2)&amp;"|2",'Aisle Loss Data'!$E$2:$E$1931,0)),0))</f>
        <v>36993.74</v>
      </c>
      <c r="V2" s="7"/>
      <c r="W2" s="7"/>
      <c r="X2" s="7"/>
      <c r="Y2" s="7"/>
      <c r="Z2" s="7"/>
    </row>
    <row r="3" customFormat="false" ht="15.75" hidden="false" customHeight="true" outlineLevel="0" collapsed="false">
      <c r="A3" s="8" t="s">
        <v>21</v>
      </c>
      <c r="B3" s="9" t="s">
        <v>22</v>
      </c>
      <c r="C3" s="8" t="s">
        <v>25</v>
      </c>
      <c r="D3" s="9" t="str">
        <f aca="false" t="array" ref="D3:D3">IF(C3="","",IFERROR(INDEX('CLM &amp; IM Mapping'!$B$2:$B$270,MATCH(TRIM(C3),'CLM &amp; IM Mapping'!$A$2:$A$270,0)),"Not Mapped"))</f>
        <v>Arun Raj</v>
      </c>
      <c r="E3" s="9" t="str">
        <f aca="false" t="array" ref="E3:E3">IF(C3="","",IFERROR(INDEX('CLM &amp; IM Mapping'!$C$2:$C$270,MATCH(TRIM(C3),'CLM &amp; IM Mapping'!$A$2:$A$270,0)),"Not Mapped"))</f>
        <v>Simon Manoharan</v>
      </c>
      <c r="F3" s="9" t="s">
        <v>24</v>
      </c>
      <c r="G3" s="10" t="n">
        <v>18075</v>
      </c>
      <c r="H3" s="10" t="n">
        <v>115931</v>
      </c>
      <c r="I3" s="10" t="n">
        <v>-13909</v>
      </c>
      <c r="J3" s="10" t="n">
        <v>463</v>
      </c>
      <c r="K3" s="10" t="n">
        <v>14666</v>
      </c>
      <c r="L3" s="10" t="n">
        <v>0</v>
      </c>
      <c r="M3" s="10" t="n">
        <v>0</v>
      </c>
      <c r="N3" s="10" t="n">
        <v>0</v>
      </c>
      <c r="O3" s="10" t="n">
        <v>135225</v>
      </c>
      <c r="P3" s="11"/>
      <c r="Q3" s="11"/>
      <c r="R3" s="11"/>
      <c r="S3" s="11"/>
      <c r="T3" s="12" t="str">
        <f aca="false">IF($C3="","",IFERROR(INDEX('Aisle Loss Data'!$B$2:$B$1931,MATCH(TRIM($C3)&amp;"|1",'Aisle Loss Data'!$E$2:$E$1931,0)),"No Loss")&amp;IFERROR(","&amp;INDEX('Aisle Loss Data'!$B$2:$B$1931,MATCH(TRIM($C3)&amp;"|2",'Aisle Loss Data'!$E$2:$E$1931,0)),""))</f>
        <v>I,A</v>
      </c>
      <c r="U3" s="13" t="n">
        <f aca="false">IF($C3="","",IFERROR(INDEX('Aisle Loss Data'!$C$2:$C$1931,MATCH(TRIM($C3)&amp;"|1",'Aisle Loss Data'!$E$2:$E$1931,0)),0)+IFERROR(INDEX('Aisle Loss Data'!$C$2:$C$1931,MATCH(TRIM($C3)&amp;"|2",'Aisle Loss Data'!$E$2:$E$1931,0)),0))</f>
        <v>48267.52</v>
      </c>
      <c r="V3" s="7"/>
      <c r="W3" s="7"/>
      <c r="X3" s="7"/>
      <c r="Y3" s="7"/>
      <c r="Z3" s="7"/>
    </row>
    <row r="4" customFormat="false" ht="15.75" hidden="false" customHeight="true" outlineLevel="0" collapsed="false">
      <c r="A4" s="8" t="s">
        <v>21</v>
      </c>
      <c r="B4" s="9" t="s">
        <v>22</v>
      </c>
      <c r="C4" s="8" t="s">
        <v>26</v>
      </c>
      <c r="D4" s="9" t="str">
        <f aca="false" t="array" ref="D4:D4">IF(C4="","",IFERROR(INDEX('CLM &amp; IM Mapping'!$B$2:$B$270,MATCH(TRIM(C4),'CLM &amp; IM Mapping'!$A$2:$A$270,0)),"Not Mapped"))</f>
        <v>Manoj Kj</v>
      </c>
      <c r="E4" s="9" t="str">
        <f aca="false" t="array" ref="E4:E4">IF(C4="","",IFERROR(INDEX('CLM &amp; IM Mapping'!$C$2:$C$270,MATCH(TRIM(C4),'CLM &amp; IM Mapping'!$A$2:$A$270,0)),"Not Mapped"))</f>
        <v>Srittam Dhal</v>
      </c>
      <c r="F4" s="9" t="s">
        <v>27</v>
      </c>
      <c r="G4" s="10" t="n">
        <v>-82711</v>
      </c>
      <c r="H4" s="10" t="n">
        <v>0</v>
      </c>
      <c r="I4" s="10" t="n">
        <v>0</v>
      </c>
      <c r="J4" s="10" t="n">
        <v>191944</v>
      </c>
      <c r="K4" s="10" t="n">
        <v>0</v>
      </c>
      <c r="L4" s="10" t="n">
        <v>0</v>
      </c>
      <c r="M4" s="10" t="n">
        <v>0</v>
      </c>
      <c r="N4" s="10" t="n">
        <v>1470</v>
      </c>
      <c r="O4" s="10" t="n">
        <v>110703</v>
      </c>
      <c r="P4" s="11"/>
      <c r="Q4" s="11"/>
      <c r="R4" s="11"/>
      <c r="S4" s="11"/>
      <c r="T4" s="12" t="str">
        <f aca="false">IF($C4="","",IFERROR(INDEX('Aisle Loss Data'!$B$2:$B$1931,MATCH(TRIM($C4)&amp;"|1",'Aisle Loss Data'!$E$2:$E$1931,0)),"No Loss")&amp;IFERROR(","&amp;INDEX('Aisle Loss Data'!$B$2:$B$1931,MATCH(TRIM($C4)&amp;"|2",'Aisle Loss Data'!$E$2:$E$1931,0)),""))</f>
        <v>K</v>
      </c>
      <c r="U4" s="13" t="n">
        <f aca="false">IF($C4="","",IFERROR(INDEX('Aisle Loss Data'!$C$2:$C$1931,MATCH(TRIM($C4)&amp;"|1",'Aisle Loss Data'!$E$2:$E$1931,0)),0)+IFERROR(INDEX('Aisle Loss Data'!$C$2:$C$1931,MATCH(TRIM($C4)&amp;"|2",'Aisle Loss Data'!$E$2:$E$1931,0)),0))</f>
        <v>35.09</v>
      </c>
      <c r="V4" s="7"/>
      <c r="W4" s="7"/>
      <c r="X4" s="7"/>
      <c r="Y4" s="7"/>
      <c r="Z4" s="7"/>
    </row>
    <row r="5" customFormat="false" ht="15.75" hidden="false" customHeight="true" outlineLevel="0" collapsed="false">
      <c r="A5" s="8" t="s">
        <v>21</v>
      </c>
      <c r="B5" s="9" t="s">
        <v>22</v>
      </c>
      <c r="C5" s="8" t="s">
        <v>28</v>
      </c>
      <c r="D5" s="9" t="str">
        <f aca="false" t="array" ref="D5:D5">IF(C5="","",IFERROR(INDEX('CLM &amp; IM Mapping'!$B$2:$B$270,MATCH(TRIM(C5),'CLM &amp; IM Mapping'!$A$2:$A$270,0)),"Not Mapped"))</f>
        <v>Vijay M</v>
      </c>
      <c r="E5" s="9" t="str">
        <f aca="false" t="array" ref="E5:E5">IF(C5="","",IFERROR(INDEX('CLM &amp; IM Mapping'!$C$2:$C$270,MATCH(TRIM(C5),'CLM &amp; IM Mapping'!$A$2:$A$270,0)),"Not Mapped"))</f>
        <v>Kantha Kumar</v>
      </c>
      <c r="F5" s="9" t="s">
        <v>27</v>
      </c>
      <c r="G5" s="10" t="n">
        <v>39978</v>
      </c>
      <c r="H5" s="10" t="n">
        <v>61074</v>
      </c>
      <c r="I5" s="10" t="n">
        <v>219</v>
      </c>
      <c r="J5" s="10" t="n">
        <v>451</v>
      </c>
      <c r="K5" s="10" t="n">
        <v>1542</v>
      </c>
      <c r="L5" s="10" t="n">
        <v>0</v>
      </c>
      <c r="M5" s="10" t="n">
        <v>1737</v>
      </c>
      <c r="N5" s="10" t="n">
        <v>0</v>
      </c>
      <c r="O5" s="10" t="n">
        <v>105001</v>
      </c>
      <c r="P5" s="11" t="s">
        <v>29</v>
      </c>
      <c r="Q5" s="11"/>
      <c r="R5" s="11"/>
      <c r="S5" s="11"/>
      <c r="T5" s="12" t="str">
        <f aca="false">IF($C5="","",IFERROR(INDEX('Aisle Loss Data'!$B$2:$B$1931,MATCH(TRIM($C5)&amp;"|1",'Aisle Loss Data'!$E$2:$E$1931,0)),"No Loss")&amp;IFERROR(","&amp;INDEX('Aisle Loss Data'!$B$2:$B$1931,MATCH(TRIM($C5)&amp;"|2",'Aisle Loss Data'!$E$2:$E$1931,0)),""))</f>
        <v>A,B</v>
      </c>
      <c r="U5" s="13" t="n">
        <f aca="false">IF($C5="","",IFERROR(INDEX('Aisle Loss Data'!$C$2:$C$1931,MATCH(TRIM($C5)&amp;"|1",'Aisle Loss Data'!$E$2:$E$1931,0)),0)+IFERROR(INDEX('Aisle Loss Data'!$C$2:$C$1931,MATCH(TRIM($C5)&amp;"|2",'Aisle Loss Data'!$E$2:$E$1931,0)),0))</f>
        <v>45815.7</v>
      </c>
      <c r="V5" s="7"/>
      <c r="W5" s="7"/>
      <c r="X5" s="7"/>
      <c r="Y5" s="7"/>
      <c r="Z5" s="7"/>
    </row>
    <row r="6" customFormat="false" ht="15.75" hidden="false" customHeight="true" outlineLevel="0" collapsed="false">
      <c r="A6" s="8" t="s">
        <v>21</v>
      </c>
      <c r="B6" s="9" t="s">
        <v>22</v>
      </c>
      <c r="C6" s="8" t="s">
        <v>30</v>
      </c>
      <c r="D6" s="9" t="str">
        <f aca="false" t="array" ref="D6:D6">IF(C6="","",IFERROR(INDEX('CLM &amp; IM Mapping'!$B$2:$B$270,MATCH(TRIM(C6),'CLM &amp; IM Mapping'!$A$2:$A$270,0)),"Not Mapped"))</f>
        <v>Rizwan Ahmed</v>
      </c>
      <c r="E6" s="9" t="str">
        <f aca="false" t="array" ref="E6:E6">IF(C6="","",IFERROR(INDEX('CLM &amp; IM Mapping'!$C$2:$C$270,MATCH(TRIM(C6),'CLM &amp; IM Mapping'!$A$2:$A$270,0)),"Not Mapped"))</f>
        <v>Un Mapped</v>
      </c>
      <c r="F6" s="9" t="s">
        <v>27</v>
      </c>
      <c r="G6" s="10" t="n">
        <v>22334</v>
      </c>
      <c r="H6" s="10" t="n">
        <v>66087</v>
      </c>
      <c r="I6" s="10" t="n">
        <v>0</v>
      </c>
      <c r="J6" s="10" t="n">
        <v>731</v>
      </c>
      <c r="K6" s="10" t="n">
        <v>763</v>
      </c>
      <c r="L6" s="10" t="n">
        <v>0</v>
      </c>
      <c r="M6" s="10" t="n">
        <v>4541</v>
      </c>
      <c r="N6" s="10" t="n">
        <v>0</v>
      </c>
      <c r="O6" s="10" t="n">
        <v>94456</v>
      </c>
      <c r="P6" s="11"/>
      <c r="Q6" s="11"/>
      <c r="R6" s="11"/>
      <c r="S6" s="11"/>
      <c r="T6" s="12" t="str">
        <f aca="false">IF($C6="","",IFERROR(INDEX('Aisle Loss Data'!$B$2:$B$1931,MATCH(TRIM($C6)&amp;"|1",'Aisle Loss Data'!$E$2:$E$1931,0)),"No Loss")&amp;IFERROR(","&amp;INDEX('Aisle Loss Data'!$B$2:$B$1931,MATCH(TRIM($C6)&amp;"|2",'Aisle Loss Data'!$E$2:$E$1931,0)),""))</f>
        <v>A,E</v>
      </c>
      <c r="U6" s="13" t="n">
        <f aca="false">IF($C6="","",IFERROR(INDEX('Aisle Loss Data'!$C$2:$C$1931,MATCH(TRIM($C6)&amp;"|1",'Aisle Loss Data'!$E$2:$E$1931,0)),0)+IFERROR(INDEX('Aisle Loss Data'!$C$2:$C$1931,MATCH(TRIM($C6)&amp;"|2",'Aisle Loss Data'!$E$2:$E$1931,0)),0))</f>
        <v>61440.43</v>
      </c>
      <c r="V6" s="7"/>
      <c r="W6" s="7"/>
      <c r="X6" s="7"/>
      <c r="Y6" s="7"/>
      <c r="Z6" s="7"/>
    </row>
    <row r="7" customFormat="false" ht="15.75" hidden="false" customHeight="true" outlineLevel="0" collapsed="false">
      <c r="A7" s="8" t="s">
        <v>21</v>
      </c>
      <c r="B7" s="9" t="s">
        <v>22</v>
      </c>
      <c r="C7" s="8" t="s">
        <v>31</v>
      </c>
      <c r="D7" s="9" t="str">
        <f aca="false" t="array" ref="D7:D7">IF(C7="","",IFERROR(INDEX('CLM &amp; IM Mapping'!$B$2:$B$270,MATCH(TRIM(C7),'CLM &amp; IM Mapping'!$A$2:$A$270,0)),"Not Mapped"))</f>
        <v>Rizwan Ahmed</v>
      </c>
      <c r="E7" s="9" t="str">
        <f aca="false" t="array" ref="E7:E7">IF(C7="","",IFERROR(INDEX('CLM &amp; IM Mapping'!$C$2:$C$270,MATCH(TRIM(C7),'CLM &amp; IM Mapping'!$A$2:$A$270,0)),"Not Mapped"))</f>
        <v>Un Mapped</v>
      </c>
      <c r="F7" s="9" t="s">
        <v>27</v>
      </c>
      <c r="G7" s="10" t="n">
        <v>71595</v>
      </c>
      <c r="H7" s="10" t="n">
        <v>9181</v>
      </c>
      <c r="I7" s="10" t="n">
        <v>0</v>
      </c>
      <c r="J7" s="10" t="n">
        <v>360</v>
      </c>
      <c r="K7" s="10" t="n">
        <v>87</v>
      </c>
      <c r="L7" s="10" t="n">
        <v>0</v>
      </c>
      <c r="M7" s="10" t="n">
        <v>1957</v>
      </c>
      <c r="N7" s="10" t="n">
        <v>0</v>
      </c>
      <c r="O7" s="10" t="n">
        <v>83180</v>
      </c>
      <c r="P7" s="11"/>
      <c r="Q7" s="11"/>
      <c r="R7" s="11"/>
      <c r="S7" s="11"/>
      <c r="T7" s="12" t="str">
        <f aca="false">IF($C7="","",IFERROR(INDEX('Aisle Loss Data'!$B$2:$B$1931,MATCH(TRIM($C7)&amp;"|1",'Aisle Loss Data'!$E$2:$E$1931,0)),"No Loss")&amp;IFERROR(","&amp;INDEX('Aisle Loss Data'!$B$2:$B$1931,MATCH(TRIM($C7)&amp;"|2",'Aisle Loss Data'!$E$2:$E$1931,0)),""))</f>
        <v>I,C</v>
      </c>
      <c r="U7" s="13" t="n">
        <f aca="false">IF($C7="","",IFERROR(INDEX('Aisle Loss Data'!$C$2:$C$1931,MATCH(TRIM($C7)&amp;"|1",'Aisle Loss Data'!$E$2:$E$1931,0)),0)+IFERROR(INDEX('Aisle Loss Data'!$C$2:$C$1931,MATCH(TRIM($C7)&amp;"|2",'Aisle Loss Data'!$E$2:$E$1931,0)),0))</f>
        <v>16676.04</v>
      </c>
      <c r="V7" s="7"/>
      <c r="W7" s="7"/>
      <c r="X7" s="7"/>
      <c r="Y7" s="7"/>
      <c r="Z7" s="7"/>
    </row>
    <row r="8" customFormat="false" ht="15.75" hidden="false" customHeight="true" outlineLevel="0" collapsed="false">
      <c r="A8" s="8" t="s">
        <v>21</v>
      </c>
      <c r="B8" s="9" t="s">
        <v>22</v>
      </c>
      <c r="C8" s="8" t="s">
        <v>32</v>
      </c>
      <c r="D8" s="9" t="str">
        <f aca="false" t="array" ref="D8:D8">IF(C8="","",IFERROR(INDEX('CLM &amp; IM Mapping'!$B$2:$B$270,MATCH(TRIM(C8),'CLM &amp; IM Mapping'!$A$2:$A$270,0)),"Not Mapped"))</f>
        <v>Saddam Hussain</v>
      </c>
      <c r="E8" s="9" t="str">
        <f aca="false" t="array" ref="E8:E8">IF(C8="","",IFERROR(INDEX('CLM &amp; IM Mapping'!$C$2:$C$270,MATCH(TRIM(C8),'CLM &amp; IM Mapping'!$A$2:$A$270,0)),"Not Mapped"))</f>
        <v>Un Mapped</v>
      </c>
      <c r="F8" s="9" t="s">
        <v>27</v>
      </c>
      <c r="G8" s="10" t="n">
        <v>15940</v>
      </c>
      <c r="H8" s="10" t="n">
        <v>42998</v>
      </c>
      <c r="I8" s="10" t="n">
        <v>1688</v>
      </c>
      <c r="J8" s="10" t="n">
        <v>2605</v>
      </c>
      <c r="K8" s="10" t="n">
        <v>3932</v>
      </c>
      <c r="L8" s="10" t="n">
        <v>0</v>
      </c>
      <c r="M8" s="10" t="n">
        <v>680</v>
      </c>
      <c r="N8" s="10" t="n">
        <v>0</v>
      </c>
      <c r="O8" s="10" t="n">
        <v>67844</v>
      </c>
      <c r="P8" s="11"/>
      <c r="Q8" s="11"/>
      <c r="R8" s="11"/>
      <c r="S8" s="11"/>
      <c r="T8" s="12" t="str">
        <f aca="false">IF($C8="","",IFERROR(INDEX('Aisle Loss Data'!$B$2:$B$1931,MATCH(TRIM($C8)&amp;"|1",'Aisle Loss Data'!$E$2:$E$1931,0)),"No Loss")&amp;IFERROR(","&amp;INDEX('Aisle Loss Data'!$B$2:$B$1931,MATCH(TRIM($C8)&amp;"|2",'Aisle Loss Data'!$E$2:$E$1931,0)),""))</f>
        <v>A,I</v>
      </c>
      <c r="U8" s="13" t="n">
        <f aca="false">IF($C8="","",IFERROR(INDEX('Aisle Loss Data'!$C$2:$C$1931,MATCH(TRIM($C8)&amp;"|1",'Aisle Loss Data'!$E$2:$E$1931,0)),0)+IFERROR(INDEX('Aisle Loss Data'!$C$2:$C$1931,MATCH(TRIM($C8)&amp;"|2",'Aisle Loss Data'!$E$2:$E$1931,0)),0))</f>
        <v>41543.29</v>
      </c>
      <c r="V8" s="7"/>
      <c r="W8" s="7"/>
      <c r="X8" s="7"/>
      <c r="Y8" s="7"/>
      <c r="Z8" s="7"/>
    </row>
    <row r="9" customFormat="false" ht="15.75" hidden="false" customHeight="true" outlineLevel="0" collapsed="false">
      <c r="A9" s="8" t="s">
        <v>21</v>
      </c>
      <c r="B9" s="9" t="s">
        <v>22</v>
      </c>
      <c r="C9" s="8" t="s">
        <v>33</v>
      </c>
      <c r="D9" s="9" t="str">
        <f aca="false" t="array" ref="D9:D9">IF(C9="","",IFERROR(INDEX('CLM &amp; IM Mapping'!$B$2:$B$270,MATCH(TRIM(C9),'CLM &amp; IM Mapping'!$A$2:$A$270,0)),"Not Mapped"))</f>
        <v>Arun Raj</v>
      </c>
      <c r="E9" s="9" t="str">
        <f aca="false" t="array" ref="E9:E9">IF(C9="","",IFERROR(INDEX('CLM &amp; IM Mapping'!$C$2:$C$270,MATCH(TRIM(C9),'CLM &amp; IM Mapping'!$A$2:$A$270,0)),"Not Mapped"))</f>
        <v>Simon Manoharan</v>
      </c>
      <c r="F9" s="9" t="s">
        <v>24</v>
      </c>
      <c r="G9" s="10" t="n">
        <v>19452</v>
      </c>
      <c r="H9" s="10" t="n">
        <v>38867</v>
      </c>
      <c r="I9" s="10" t="n">
        <v>0</v>
      </c>
      <c r="J9" s="10" t="n">
        <v>0</v>
      </c>
      <c r="K9" s="10" t="n">
        <v>530</v>
      </c>
      <c r="L9" s="10" t="n">
        <v>0</v>
      </c>
      <c r="M9" s="10" t="n">
        <v>37</v>
      </c>
      <c r="N9" s="10" t="n">
        <v>0</v>
      </c>
      <c r="O9" s="10" t="n">
        <v>58886</v>
      </c>
      <c r="P9" s="11"/>
      <c r="Q9" s="11"/>
      <c r="R9" s="11"/>
      <c r="S9" s="11"/>
      <c r="T9" s="12" t="str">
        <f aca="false">IF($C9="","",IFERROR(INDEX('Aisle Loss Data'!$B$2:$B$1931,MATCH(TRIM($C9)&amp;"|1",'Aisle Loss Data'!$E$2:$E$1931,0)),"No Loss")&amp;IFERROR(","&amp;INDEX('Aisle Loss Data'!$B$2:$B$1931,MATCH(TRIM($C9)&amp;"|2",'Aisle Loss Data'!$E$2:$E$1931,0)),""))</f>
        <v>I,G</v>
      </c>
      <c r="U9" s="13" t="n">
        <f aca="false">IF($C9="","",IFERROR(INDEX('Aisle Loss Data'!$C$2:$C$1931,MATCH(TRIM($C9)&amp;"|1",'Aisle Loss Data'!$E$2:$E$1931,0)),0)+IFERROR(INDEX('Aisle Loss Data'!$C$2:$C$1931,MATCH(TRIM($C9)&amp;"|2",'Aisle Loss Data'!$E$2:$E$1931,0)),0))</f>
        <v>18584.25</v>
      </c>
      <c r="V9" s="7"/>
      <c r="W9" s="7"/>
      <c r="X9" s="7"/>
      <c r="Y9" s="7"/>
      <c r="Z9" s="7"/>
    </row>
    <row r="10" customFormat="false" ht="15.75" hidden="false" customHeight="true" outlineLevel="0" collapsed="false">
      <c r="A10" s="8" t="s">
        <v>21</v>
      </c>
      <c r="B10" s="9" t="s">
        <v>22</v>
      </c>
      <c r="C10" s="8" t="s">
        <v>34</v>
      </c>
      <c r="D10" s="9" t="str">
        <f aca="false" t="array" ref="D10:D10">IF(C10="","",IFERROR(INDEX('CLM &amp; IM Mapping'!$B$2:$B$270,MATCH(TRIM(C10),'CLM &amp; IM Mapping'!$A$2:$A$270,0)),"Not Mapped"))</f>
        <v>Richard Harris</v>
      </c>
      <c r="E10" s="9" t="str">
        <f aca="false" t="array" ref="E10:E10">IF(C10="","",IFERROR(INDEX('CLM &amp; IM Mapping'!$C$2:$C$270,MATCH(TRIM(C10),'CLM &amp; IM Mapping'!$A$2:$A$270,0)),"Not Mapped"))</f>
        <v>Kantha Kumar</v>
      </c>
      <c r="F10" s="9" t="s">
        <v>27</v>
      </c>
      <c r="G10" s="10" t="n">
        <v>41355</v>
      </c>
      <c r="H10" s="10" t="n">
        <v>12847</v>
      </c>
      <c r="I10" s="10" t="n">
        <v>226</v>
      </c>
      <c r="J10" s="10" t="n">
        <v>2374</v>
      </c>
      <c r="K10" s="10" t="n">
        <v>948</v>
      </c>
      <c r="L10" s="10" t="n">
        <v>0</v>
      </c>
      <c r="M10" s="10" t="n">
        <v>0</v>
      </c>
      <c r="N10" s="10" t="n">
        <v>0</v>
      </c>
      <c r="O10" s="10" t="n">
        <v>57750</v>
      </c>
      <c r="P10" s="11"/>
      <c r="Q10" s="11"/>
      <c r="R10" s="11"/>
      <c r="S10" s="11"/>
      <c r="T10" s="12" t="str">
        <f aca="false">IF($C10="","",IFERROR(INDEX('Aisle Loss Data'!$B$2:$B$1931,MATCH(TRIM($C10)&amp;"|1",'Aisle Loss Data'!$E$2:$E$1931,0)),"No Loss")&amp;IFERROR(","&amp;INDEX('Aisle Loss Data'!$B$2:$B$1931,MATCH(TRIM($C10)&amp;"|2",'Aisle Loss Data'!$E$2:$E$1931,0)),""))</f>
        <v>K,A</v>
      </c>
      <c r="U10" s="13" t="n">
        <f aca="false">IF($C10="","",IFERROR(INDEX('Aisle Loss Data'!$C$2:$C$1931,MATCH(TRIM($C10)&amp;"|1",'Aisle Loss Data'!$E$2:$E$1931,0)),0)+IFERROR(INDEX('Aisle Loss Data'!$C$2:$C$1931,MATCH(TRIM($C10)&amp;"|2",'Aisle Loss Data'!$E$2:$E$1931,0)),0))</f>
        <v>31906.19</v>
      </c>
      <c r="V10" s="7"/>
      <c r="W10" s="7"/>
      <c r="X10" s="7"/>
      <c r="Y10" s="7"/>
      <c r="Z10" s="7"/>
    </row>
    <row r="11" customFormat="false" ht="15.75" hidden="false" customHeight="true" outlineLevel="0" collapsed="false">
      <c r="A11" s="8" t="s">
        <v>21</v>
      </c>
      <c r="B11" s="9" t="s">
        <v>22</v>
      </c>
      <c r="C11" s="8" t="s">
        <v>35</v>
      </c>
      <c r="D11" s="9" t="str">
        <f aca="false" t="array" ref="D11:D11">IF(C11="","",IFERROR(INDEX('CLM &amp; IM Mapping'!$B$2:$B$270,MATCH(TRIM(C11),'CLM &amp; IM Mapping'!$A$2:$A$270,0)),"Not Mapped"))</f>
        <v>Keshav G</v>
      </c>
      <c r="E11" s="9" t="str">
        <f aca="false" t="array" ref="E11:E11">IF(C11="","",IFERROR(INDEX('CLM &amp; IM Mapping'!$C$2:$C$270,MATCH(TRIM(C11),'CLM &amp; IM Mapping'!$A$2:$A$270,0)),"Not Mapped"))</f>
        <v>Un Mapped</v>
      </c>
      <c r="F11" s="9" t="s">
        <v>27</v>
      </c>
      <c r="G11" s="10" t="n">
        <v>5817</v>
      </c>
      <c r="H11" s="10" t="n">
        <v>29841</v>
      </c>
      <c r="I11" s="10" t="n">
        <v>0</v>
      </c>
      <c r="J11" s="10" t="n">
        <v>1403</v>
      </c>
      <c r="K11" s="10" t="n">
        <v>3816</v>
      </c>
      <c r="L11" s="10" t="n">
        <v>0</v>
      </c>
      <c r="M11" s="10" t="n">
        <v>0</v>
      </c>
      <c r="N11" s="10" t="n">
        <v>13273</v>
      </c>
      <c r="O11" s="10" t="n">
        <v>54150</v>
      </c>
      <c r="P11" s="11"/>
      <c r="Q11" s="11"/>
      <c r="R11" s="11"/>
      <c r="S11" s="11"/>
      <c r="T11" s="12" t="str">
        <f aca="false">IF($C11="","",IFERROR(INDEX('Aisle Loss Data'!$B$2:$B$1931,MATCH(TRIM($C11)&amp;"|1",'Aisle Loss Data'!$E$2:$E$1931,0)),"No Loss")&amp;IFERROR(","&amp;INDEX('Aisle Loss Data'!$B$2:$B$1931,MATCH(TRIM($C11)&amp;"|2",'Aisle Loss Data'!$E$2:$E$1931,0)),""))</f>
        <v>J,A</v>
      </c>
      <c r="U11" s="13" t="n">
        <f aca="false">IF($C11="","",IFERROR(INDEX('Aisle Loss Data'!$C$2:$C$1931,MATCH(TRIM($C11)&amp;"|1",'Aisle Loss Data'!$E$2:$E$1931,0)),0)+IFERROR(INDEX('Aisle Loss Data'!$C$2:$C$1931,MATCH(TRIM($C11)&amp;"|2",'Aisle Loss Data'!$E$2:$E$1931,0)),0))</f>
        <v>23909.33</v>
      </c>
      <c r="V11" s="7"/>
      <c r="W11" s="7"/>
      <c r="X11" s="7"/>
      <c r="Y11" s="7"/>
      <c r="Z11" s="7"/>
    </row>
    <row r="12" customFormat="false" ht="15.75" hidden="false" customHeight="true" outlineLevel="0" collapsed="false">
      <c r="A12" s="8" t="s">
        <v>21</v>
      </c>
      <c r="B12" s="9" t="s">
        <v>22</v>
      </c>
      <c r="C12" s="8" t="s">
        <v>36</v>
      </c>
      <c r="D12" s="9" t="str">
        <f aca="false" t="array" ref="D12:D12">IF(C12="","",IFERROR(INDEX('CLM &amp; IM Mapping'!$B$2:$B$270,MATCH(TRIM(C12),'CLM &amp; IM Mapping'!$A$2:$A$270,0)),"Not Mapped"))</f>
        <v>Saddam Hussain</v>
      </c>
      <c r="E12" s="9" t="str">
        <f aca="false" t="array" ref="E12:E12">IF(C12="","",IFERROR(INDEX('CLM &amp; IM Mapping'!$C$2:$C$270,MATCH(TRIM(C12),'CLM &amp; IM Mapping'!$A$2:$A$270,0)),"Not Mapped"))</f>
        <v>Un Mapped</v>
      </c>
      <c r="F12" s="9" t="s">
        <v>27</v>
      </c>
      <c r="G12" s="10" t="n">
        <v>20452</v>
      </c>
      <c r="H12" s="10" t="n">
        <v>23732</v>
      </c>
      <c r="I12" s="10" t="n">
        <v>0</v>
      </c>
      <c r="J12" s="10" t="n">
        <v>7696</v>
      </c>
      <c r="K12" s="10" t="n">
        <v>584</v>
      </c>
      <c r="L12" s="10" t="n">
        <v>0</v>
      </c>
      <c r="M12" s="10" t="n">
        <v>1629</v>
      </c>
      <c r="N12" s="10" t="n">
        <v>0</v>
      </c>
      <c r="O12" s="10" t="n">
        <v>54093</v>
      </c>
      <c r="P12" s="11"/>
      <c r="Q12" s="11"/>
      <c r="R12" s="11"/>
      <c r="S12" s="11"/>
      <c r="T12" s="12" t="str">
        <f aca="false">IF($C12="","",IFERROR(INDEX('Aisle Loss Data'!$B$2:$B$1931,MATCH(TRIM($C12)&amp;"|1",'Aisle Loss Data'!$E$2:$E$1931,0)),"No Loss")&amp;IFERROR(","&amp;INDEX('Aisle Loss Data'!$B$2:$B$1931,MATCH(TRIM($C12)&amp;"|2",'Aisle Loss Data'!$E$2:$E$1931,0)),""))</f>
        <v>J,K</v>
      </c>
      <c r="U12" s="13" t="n">
        <f aca="false">IF($C12="","",IFERROR(INDEX('Aisle Loss Data'!$C$2:$C$1931,MATCH(TRIM($C12)&amp;"|1",'Aisle Loss Data'!$E$2:$E$1931,0)),0)+IFERROR(INDEX('Aisle Loss Data'!$C$2:$C$1931,MATCH(TRIM($C12)&amp;"|2",'Aisle Loss Data'!$E$2:$E$1931,0)),0))</f>
        <v>17533.08</v>
      </c>
      <c r="V12" s="7"/>
      <c r="W12" s="7"/>
      <c r="X12" s="7"/>
      <c r="Y12" s="7"/>
      <c r="Z12" s="7"/>
    </row>
    <row r="13" customFormat="false" ht="15.75" hidden="false" customHeight="true" outlineLevel="0" collapsed="false">
      <c r="A13" s="8" t="s">
        <v>21</v>
      </c>
      <c r="B13" s="9" t="s">
        <v>22</v>
      </c>
      <c r="C13" s="8" t="s">
        <v>37</v>
      </c>
      <c r="D13" s="9" t="str">
        <f aca="false" t="array" ref="D13:D13">IF(C13="","",IFERROR(INDEX('CLM &amp; IM Mapping'!$B$2:$B$270,MATCH(TRIM(C13),'CLM &amp; IM Mapping'!$A$2:$A$270,0)),"Not Mapped"))</f>
        <v>Basil Scariya</v>
      </c>
      <c r="E13" s="9" t="str">
        <f aca="false" t="array" ref="E13:E13">IF(C13="","",IFERROR(INDEX('CLM &amp; IM Mapping'!$C$2:$C$270,MATCH(TRIM(C13),'CLM &amp; IM Mapping'!$A$2:$A$270,0)),"Not Mapped"))</f>
        <v>Prakash BS</v>
      </c>
      <c r="F13" s="9" t="s">
        <v>27</v>
      </c>
      <c r="G13" s="10" t="n">
        <v>37013</v>
      </c>
      <c r="H13" s="10" t="n">
        <v>13720</v>
      </c>
      <c r="I13" s="10" t="n">
        <v>0</v>
      </c>
      <c r="J13" s="10" t="n">
        <v>0</v>
      </c>
      <c r="K13" s="10" t="n">
        <v>69</v>
      </c>
      <c r="L13" s="10" t="n">
        <v>0</v>
      </c>
      <c r="M13" s="10" t="n">
        <v>1350</v>
      </c>
      <c r="N13" s="10" t="n">
        <v>0</v>
      </c>
      <c r="O13" s="10" t="n">
        <v>52152</v>
      </c>
      <c r="P13" s="11"/>
      <c r="Q13" s="11"/>
      <c r="R13" s="11"/>
      <c r="S13" s="11"/>
      <c r="T13" s="12" t="str">
        <f aca="false">IF($C13="","",IFERROR(INDEX('Aisle Loss Data'!$B$2:$B$1931,MATCH(TRIM($C13)&amp;"|1",'Aisle Loss Data'!$E$2:$E$1931,0)),"No Loss")&amp;IFERROR(","&amp;INDEX('Aisle Loss Data'!$B$2:$B$1931,MATCH(TRIM($C13)&amp;"|2",'Aisle Loss Data'!$E$2:$E$1931,0)),""))</f>
        <v>D,C</v>
      </c>
      <c r="U13" s="13" t="n">
        <f aca="false">IF($C13="","",IFERROR(INDEX('Aisle Loss Data'!$C$2:$C$1931,MATCH(TRIM($C13)&amp;"|1",'Aisle Loss Data'!$E$2:$E$1931,0)),0)+IFERROR(INDEX('Aisle Loss Data'!$C$2:$C$1931,MATCH(TRIM($C13)&amp;"|2",'Aisle Loss Data'!$E$2:$E$1931,0)),0))</f>
        <v>36338.63</v>
      </c>
      <c r="V13" s="7"/>
      <c r="W13" s="7"/>
      <c r="X13" s="7"/>
      <c r="Y13" s="7"/>
      <c r="Z13" s="7"/>
    </row>
    <row r="14" customFormat="false" ht="15.75" hidden="false" customHeight="true" outlineLevel="0" collapsed="false">
      <c r="A14" s="8" t="s">
        <v>21</v>
      </c>
      <c r="B14" s="9" t="s">
        <v>22</v>
      </c>
      <c r="C14" s="8" t="s">
        <v>38</v>
      </c>
      <c r="D14" s="9" t="str">
        <f aca="false" t="array" ref="D14:D14">IF(C14="","",IFERROR(INDEX('CLM &amp; IM Mapping'!$B$2:$B$270,MATCH(TRIM(C14),'CLM &amp; IM Mapping'!$A$2:$A$270,0)),"Not Mapped"))</f>
        <v>Adhavan Subramani</v>
      </c>
      <c r="E14" s="9" t="str">
        <f aca="false" t="array" ref="E14:E14">IF(C14="","",IFERROR(INDEX('CLM &amp; IM Mapping'!$C$2:$C$270,MATCH(TRIM(C14),'CLM &amp; IM Mapping'!$A$2:$A$270,0)),"Not Mapped"))</f>
        <v>Mohammed Akbar</v>
      </c>
      <c r="F14" s="9" t="s">
        <v>27</v>
      </c>
      <c r="G14" s="10" t="n">
        <v>16761</v>
      </c>
      <c r="H14" s="10" t="n">
        <v>27598</v>
      </c>
      <c r="I14" s="10" t="n">
        <v>0</v>
      </c>
      <c r="J14" s="10" t="n">
        <v>5808</v>
      </c>
      <c r="K14" s="10" t="n">
        <v>1603</v>
      </c>
      <c r="L14" s="10" t="n">
        <v>0</v>
      </c>
      <c r="M14" s="10" t="n">
        <v>0</v>
      </c>
      <c r="N14" s="10" t="n">
        <v>0</v>
      </c>
      <c r="O14" s="10" t="n">
        <v>51771</v>
      </c>
      <c r="P14" s="11"/>
      <c r="Q14" s="11"/>
      <c r="R14" s="11"/>
      <c r="S14" s="11"/>
      <c r="T14" s="12" t="str">
        <f aca="false">IF($C14="","",IFERROR(INDEX('Aisle Loss Data'!$B$2:$B$1931,MATCH(TRIM($C14)&amp;"|1",'Aisle Loss Data'!$E$2:$E$1931,0)),"No Loss")&amp;IFERROR(","&amp;INDEX('Aisle Loss Data'!$B$2:$B$1931,MATCH(TRIM($C14)&amp;"|2",'Aisle Loss Data'!$E$2:$E$1931,0)),""))</f>
        <v>I,J</v>
      </c>
      <c r="U14" s="13" t="n">
        <f aca="false">IF($C14="","",IFERROR(INDEX('Aisle Loss Data'!$C$2:$C$1931,MATCH(TRIM($C14)&amp;"|1",'Aisle Loss Data'!$E$2:$E$1931,0)),0)+IFERROR(INDEX('Aisle Loss Data'!$C$2:$C$1931,MATCH(TRIM($C14)&amp;"|2",'Aisle Loss Data'!$E$2:$E$1931,0)),0))</f>
        <v>28905.72</v>
      </c>
      <c r="V14" s="7"/>
      <c r="W14" s="7"/>
      <c r="X14" s="7"/>
      <c r="Y14" s="7"/>
      <c r="Z14" s="7"/>
    </row>
    <row r="15" customFormat="false" ht="15.75" hidden="false" customHeight="true" outlineLevel="0" collapsed="false">
      <c r="A15" s="8" t="s">
        <v>21</v>
      </c>
      <c r="B15" s="9" t="s">
        <v>22</v>
      </c>
      <c r="C15" s="8" t="s">
        <v>39</v>
      </c>
      <c r="D15" s="9" t="str">
        <f aca="false" t="array" ref="D15:D15">IF(C15="","",IFERROR(INDEX('CLM &amp; IM Mapping'!$B$2:$B$270,MATCH(TRIM(C15),'CLM &amp; IM Mapping'!$A$2:$A$270,0)),"Not Mapped"))</f>
        <v>Girish N</v>
      </c>
      <c r="E15" s="9" t="str">
        <f aca="false" t="array" ref="E15:E15">IF(C15="","",IFERROR(INDEX('CLM &amp; IM Mapping'!$C$2:$C$270,MATCH(TRIM(C15),'CLM &amp; IM Mapping'!$A$2:$A$270,0)),"Not Mapped"))</f>
        <v>Un Mapped</v>
      </c>
      <c r="F15" s="9" t="s">
        <v>27</v>
      </c>
      <c r="G15" s="10" t="n">
        <v>34189</v>
      </c>
      <c r="H15" s="10" t="n">
        <v>13467</v>
      </c>
      <c r="I15" s="10" t="n">
        <v>1279</v>
      </c>
      <c r="J15" s="10" t="n">
        <v>0</v>
      </c>
      <c r="K15" s="10" t="n">
        <v>541</v>
      </c>
      <c r="L15" s="10" t="n">
        <v>0</v>
      </c>
      <c r="M15" s="10" t="n">
        <v>21</v>
      </c>
      <c r="N15" s="10" t="n">
        <v>0</v>
      </c>
      <c r="O15" s="10" t="n">
        <v>49497</v>
      </c>
      <c r="P15" s="11"/>
      <c r="Q15" s="11"/>
      <c r="R15" s="11"/>
      <c r="S15" s="11"/>
      <c r="T15" s="12" t="str">
        <f aca="false">IF($C15="","",IFERROR(INDEX('Aisle Loss Data'!$B$2:$B$1931,MATCH(TRIM($C15)&amp;"|1",'Aisle Loss Data'!$E$2:$E$1931,0)),"No Loss")&amp;IFERROR(","&amp;INDEX('Aisle Loss Data'!$B$2:$B$1931,MATCH(TRIM($C15)&amp;"|2",'Aisle Loss Data'!$E$2:$E$1931,0)),""))</f>
        <v>J,K</v>
      </c>
      <c r="U15" s="13" t="n">
        <f aca="false">IF($C15="","",IFERROR(INDEX('Aisle Loss Data'!$C$2:$C$1931,MATCH(TRIM($C15)&amp;"|1",'Aisle Loss Data'!$E$2:$E$1931,0)),0)+IFERROR(INDEX('Aisle Loss Data'!$C$2:$C$1931,MATCH(TRIM($C15)&amp;"|2",'Aisle Loss Data'!$E$2:$E$1931,0)),0))</f>
        <v>20481.68</v>
      </c>
      <c r="V15" s="7"/>
      <c r="W15" s="7"/>
      <c r="X15" s="7"/>
      <c r="Y15" s="7"/>
      <c r="Z15" s="7"/>
    </row>
    <row r="16" customFormat="false" ht="15.75" hidden="false" customHeight="true" outlineLevel="0" collapsed="false">
      <c r="A16" s="8" t="s">
        <v>21</v>
      </c>
      <c r="B16" s="9" t="s">
        <v>22</v>
      </c>
      <c r="C16" s="8" t="s">
        <v>40</v>
      </c>
      <c r="D16" s="9" t="str">
        <f aca="false" t="array" ref="D16:D16">IF(C16="","",IFERROR(INDEX('CLM &amp; IM Mapping'!$B$2:$B$270,MATCH(TRIM(C16),'CLM &amp; IM Mapping'!$A$2:$A$270,0)),"Not Mapped"))</f>
        <v>Rizwan Ahmed</v>
      </c>
      <c r="E16" s="9" t="str">
        <f aca="false" t="array" ref="E16:E16">IF(C16="","",IFERROR(INDEX('CLM &amp; IM Mapping'!$C$2:$C$270,MATCH(TRIM(C16),'CLM &amp; IM Mapping'!$A$2:$A$270,0)),"Not Mapped"))</f>
        <v>Un Mapped</v>
      </c>
      <c r="F16" s="9" t="s">
        <v>27</v>
      </c>
      <c r="G16" s="10" t="n">
        <v>31101</v>
      </c>
      <c r="H16" s="10" t="n">
        <v>16912</v>
      </c>
      <c r="I16" s="10" t="n">
        <v>235</v>
      </c>
      <c r="J16" s="10" t="n">
        <v>28</v>
      </c>
      <c r="K16" s="10" t="n">
        <v>595</v>
      </c>
      <c r="L16" s="10" t="n">
        <v>0</v>
      </c>
      <c r="M16" s="10" t="n">
        <v>0</v>
      </c>
      <c r="N16" s="10" t="n">
        <v>0</v>
      </c>
      <c r="O16" s="10" t="n">
        <v>48871</v>
      </c>
      <c r="P16" s="11"/>
      <c r="Q16" s="11"/>
      <c r="R16" s="11"/>
      <c r="S16" s="11"/>
      <c r="T16" s="12" t="str">
        <f aca="false">IF($C16="","",IFERROR(INDEX('Aisle Loss Data'!$B$2:$B$1931,MATCH(TRIM($C16)&amp;"|1",'Aisle Loss Data'!$E$2:$E$1931,0)),"No Loss")&amp;IFERROR(","&amp;INDEX('Aisle Loss Data'!$B$2:$B$1931,MATCH(TRIM($C16)&amp;"|2",'Aisle Loss Data'!$E$2:$E$1931,0)),""))</f>
        <v>L,P</v>
      </c>
      <c r="U16" s="13" t="n">
        <f aca="false">IF($C16="","",IFERROR(INDEX('Aisle Loss Data'!$C$2:$C$1931,MATCH(TRIM($C16)&amp;"|1",'Aisle Loss Data'!$E$2:$E$1931,0)),0)+IFERROR(INDEX('Aisle Loss Data'!$C$2:$C$1931,MATCH(TRIM($C16)&amp;"|2",'Aisle Loss Data'!$E$2:$E$1931,0)),0))</f>
        <v>11017.72</v>
      </c>
      <c r="V16" s="7"/>
      <c r="W16" s="7"/>
      <c r="X16" s="7"/>
      <c r="Y16" s="7"/>
      <c r="Z16" s="7"/>
    </row>
    <row r="17" customFormat="false" ht="15.75" hidden="false" customHeight="true" outlineLevel="0" collapsed="false">
      <c r="A17" s="8" t="s">
        <v>21</v>
      </c>
      <c r="B17" s="9" t="s">
        <v>22</v>
      </c>
      <c r="C17" s="8" t="s">
        <v>41</v>
      </c>
      <c r="D17" s="9" t="str">
        <f aca="false" t="array" ref="D17:D17">IF(C17="","",IFERROR(INDEX('CLM &amp; IM Mapping'!$B$2:$B$270,MATCH(TRIM(C17),'CLM &amp; IM Mapping'!$A$2:$A$270,0)),"Not Mapped"))</f>
        <v>Narasimhamurthy R</v>
      </c>
      <c r="E17" s="9" t="str">
        <f aca="false" t="array" ref="E17:E17">IF(C17="","",IFERROR(INDEX('CLM &amp; IM Mapping'!$C$2:$C$270,MATCH(TRIM(C17),'CLM &amp; IM Mapping'!$A$2:$A$270,0)),"Not Mapped"))</f>
        <v>Kishor K</v>
      </c>
      <c r="F17" s="9" t="s">
        <v>27</v>
      </c>
      <c r="G17" s="10" t="n">
        <v>26779</v>
      </c>
      <c r="H17" s="10" t="n">
        <v>20348</v>
      </c>
      <c r="I17" s="10" t="n">
        <v>0</v>
      </c>
      <c r="J17" s="10" t="n">
        <v>1436</v>
      </c>
      <c r="K17" s="10" t="n">
        <v>101</v>
      </c>
      <c r="L17" s="10" t="n">
        <v>0</v>
      </c>
      <c r="M17" s="10" t="n">
        <v>0</v>
      </c>
      <c r="N17" s="10" t="n">
        <v>0</v>
      </c>
      <c r="O17" s="10" t="n">
        <v>48665</v>
      </c>
      <c r="P17" s="11"/>
      <c r="Q17" s="11"/>
      <c r="R17" s="11" t="s">
        <v>42</v>
      </c>
      <c r="S17" s="11" t="s">
        <v>43</v>
      </c>
      <c r="T17" s="12" t="str">
        <f aca="false">IF($C17="","",IFERROR(INDEX('Aisle Loss Data'!$B$2:$B$1931,MATCH(TRIM($C17)&amp;"|1",'Aisle Loss Data'!$E$2:$E$1931,0)),"No Loss")&amp;IFERROR(","&amp;INDEX('Aisle Loss Data'!$B$2:$B$1931,MATCH(TRIM($C17)&amp;"|2",'Aisle Loss Data'!$E$2:$E$1931,0)),""))</f>
        <v>A,G</v>
      </c>
      <c r="U17" s="13" t="n">
        <f aca="false">IF($C17="","",IFERROR(INDEX('Aisle Loss Data'!$C$2:$C$1931,MATCH(TRIM($C17)&amp;"|1",'Aisle Loss Data'!$E$2:$E$1931,0)),0)+IFERROR(INDEX('Aisle Loss Data'!$C$2:$C$1931,MATCH(TRIM($C17)&amp;"|2",'Aisle Loss Data'!$E$2:$E$1931,0)),0))</f>
        <v>29309.65</v>
      </c>
      <c r="V17" s="7"/>
      <c r="W17" s="7"/>
      <c r="X17" s="7"/>
      <c r="Y17" s="7"/>
      <c r="Z17" s="7"/>
    </row>
    <row r="18" customFormat="false" ht="15.75" hidden="false" customHeight="true" outlineLevel="0" collapsed="false">
      <c r="A18" s="8" t="s">
        <v>21</v>
      </c>
      <c r="B18" s="9" t="s">
        <v>22</v>
      </c>
      <c r="C18" s="8" t="s">
        <v>44</v>
      </c>
      <c r="D18" s="9" t="str">
        <f aca="false" t="array" ref="D18:D18">IF(C18="","",IFERROR(INDEX('CLM &amp; IM Mapping'!$B$2:$B$270,MATCH(TRIM(C18),'CLM &amp; IM Mapping'!$A$2:$A$270,0)),"Not Mapped"))</f>
        <v>Silambarasan E</v>
      </c>
      <c r="E18" s="9" t="str">
        <f aca="false" t="array" ref="E18:E18">IF(C18="","",IFERROR(INDEX('CLM &amp; IM Mapping'!$C$2:$C$270,MATCH(TRIM(C18),'CLM &amp; IM Mapping'!$A$2:$A$270,0)),"Not Mapped"))</f>
        <v>Arivind S</v>
      </c>
      <c r="F18" s="9" t="s">
        <v>27</v>
      </c>
      <c r="G18" s="10" t="n">
        <v>44009</v>
      </c>
      <c r="H18" s="10" t="n">
        <v>4060</v>
      </c>
      <c r="I18" s="10" t="n">
        <v>0</v>
      </c>
      <c r="J18" s="10" t="n">
        <v>0</v>
      </c>
      <c r="K18" s="10" t="n">
        <v>190</v>
      </c>
      <c r="L18" s="10" t="n">
        <v>0</v>
      </c>
      <c r="M18" s="10" t="n">
        <v>0</v>
      </c>
      <c r="N18" s="10" t="n">
        <v>0</v>
      </c>
      <c r="O18" s="10" t="n">
        <v>48259</v>
      </c>
      <c r="P18" s="11"/>
      <c r="Q18" s="11"/>
      <c r="R18" s="11"/>
      <c r="S18" s="11"/>
      <c r="T18" s="12" t="str">
        <f aca="false">IF($C18="","",IFERROR(INDEX('Aisle Loss Data'!$B$2:$B$1931,MATCH(TRIM($C18)&amp;"|1",'Aisle Loss Data'!$E$2:$E$1931,0)),"No Loss")&amp;IFERROR(","&amp;INDEX('Aisle Loss Data'!$B$2:$B$1931,MATCH(TRIM($C18)&amp;"|2",'Aisle Loss Data'!$E$2:$E$1931,0)),""))</f>
        <v>L,M</v>
      </c>
      <c r="U18" s="13" t="n">
        <f aca="false">IF($C18="","",IFERROR(INDEX('Aisle Loss Data'!$C$2:$C$1931,MATCH(TRIM($C18)&amp;"|1",'Aisle Loss Data'!$E$2:$E$1931,0)),0)+IFERROR(INDEX('Aisle Loss Data'!$C$2:$C$1931,MATCH(TRIM($C18)&amp;"|2",'Aisle Loss Data'!$E$2:$E$1931,0)),0))</f>
        <v>15781.26</v>
      </c>
      <c r="V18" s="7"/>
      <c r="W18" s="7"/>
      <c r="X18" s="7"/>
      <c r="Y18" s="7"/>
      <c r="Z18" s="7"/>
    </row>
    <row r="19" customFormat="false" ht="15.75" hidden="false" customHeight="true" outlineLevel="0" collapsed="false">
      <c r="A19" s="8" t="s">
        <v>21</v>
      </c>
      <c r="B19" s="9" t="s">
        <v>22</v>
      </c>
      <c r="C19" s="9" t="s">
        <v>45</v>
      </c>
      <c r="D19" s="9" t="str">
        <f aca="false" t="array" ref="D19:D19">IF(C19="","",IFERROR(INDEX('CLM &amp; IM Mapping'!$B$2:$B$270,MATCH(TRIM(C19),'CLM &amp; IM Mapping'!$A$2:$A$270,0)),"Not Mapped"))</f>
        <v>Sundaresh S</v>
      </c>
      <c r="E19" s="9" t="str">
        <f aca="false" t="array" ref="E19:E19">IF(C19="","",IFERROR(INDEX('CLM &amp; IM Mapping'!$C$2:$C$270,MATCH(TRIM(C19),'CLM &amp; IM Mapping'!$A$2:$A$270,0)),"Not Mapped"))</f>
        <v>Un Mapped</v>
      </c>
      <c r="F19" s="9" t="s">
        <v>27</v>
      </c>
      <c r="G19" s="10" t="n">
        <v>15241</v>
      </c>
      <c r="H19" s="10" t="n">
        <v>17511</v>
      </c>
      <c r="I19" s="10" t="n">
        <v>0</v>
      </c>
      <c r="J19" s="10" t="n">
        <v>651</v>
      </c>
      <c r="K19" s="10" t="n">
        <v>1730</v>
      </c>
      <c r="L19" s="10" t="n">
        <v>0</v>
      </c>
      <c r="M19" s="10" t="n">
        <v>12084</v>
      </c>
      <c r="N19" s="10" t="n">
        <v>0</v>
      </c>
      <c r="O19" s="10" t="n">
        <v>47218</v>
      </c>
      <c r="P19" s="11"/>
      <c r="Q19" s="11"/>
      <c r="R19" s="11"/>
      <c r="S19" s="11"/>
      <c r="T19" s="12" t="str">
        <f aca="false">IF($C19="","",IFERROR(INDEX('Aisle Loss Data'!$B$2:$B$1931,MATCH(TRIM($C19)&amp;"|1",'Aisle Loss Data'!$E$2:$E$1931,0)),"No Loss")&amp;IFERROR(","&amp;INDEX('Aisle Loss Data'!$B$2:$B$1931,MATCH(TRIM($C19)&amp;"|2",'Aisle Loss Data'!$E$2:$E$1931,0)),""))</f>
        <v>E,C</v>
      </c>
      <c r="U19" s="13" t="n">
        <f aca="false">IF($C19="","",IFERROR(INDEX('Aisle Loss Data'!$C$2:$C$1931,MATCH(TRIM($C19)&amp;"|1",'Aisle Loss Data'!$E$2:$E$1931,0)),0)+IFERROR(INDEX('Aisle Loss Data'!$C$2:$C$1931,MATCH(TRIM($C19)&amp;"|2",'Aisle Loss Data'!$E$2:$E$1931,0)),0))</f>
        <v>21608.03</v>
      </c>
      <c r="V19" s="7"/>
      <c r="W19" s="7"/>
      <c r="X19" s="7"/>
      <c r="Y19" s="7"/>
      <c r="Z19" s="7"/>
    </row>
    <row r="20" customFormat="false" ht="15.75" hidden="false" customHeight="true" outlineLevel="0" collapsed="false">
      <c r="A20" s="8" t="s">
        <v>21</v>
      </c>
      <c r="B20" s="9" t="s">
        <v>22</v>
      </c>
      <c r="C20" s="8" t="s">
        <v>46</v>
      </c>
      <c r="D20" s="9" t="str">
        <f aca="false" t="array" ref="D20:D20">IF(C20="","",IFERROR(INDEX('CLM &amp; IM Mapping'!$B$2:$B$270,MATCH(TRIM(C20),'CLM &amp; IM Mapping'!$A$2:$A$270,0)),"Not Mapped"))</f>
        <v>Keshav G</v>
      </c>
      <c r="E20" s="9" t="str">
        <f aca="false" t="array" ref="E20:E20">IF(C20="","",IFERROR(INDEX('CLM &amp; IM Mapping'!$C$2:$C$270,MATCH(TRIM(C20),'CLM &amp; IM Mapping'!$A$2:$A$270,0)),"Not Mapped"))</f>
        <v>Mohammed Akbar</v>
      </c>
      <c r="F20" s="9" t="s">
        <v>27</v>
      </c>
      <c r="G20" s="10" t="n">
        <v>9409</v>
      </c>
      <c r="H20" s="10" t="n">
        <v>27235</v>
      </c>
      <c r="I20" s="10" t="n">
        <v>0</v>
      </c>
      <c r="J20" s="10" t="n">
        <v>235</v>
      </c>
      <c r="K20" s="10" t="n">
        <v>6731</v>
      </c>
      <c r="L20" s="10" t="n">
        <v>0</v>
      </c>
      <c r="M20" s="10" t="n">
        <v>3486</v>
      </c>
      <c r="N20" s="10" t="n">
        <v>0</v>
      </c>
      <c r="O20" s="10" t="n">
        <v>47094</v>
      </c>
      <c r="P20" s="11"/>
      <c r="Q20" s="11"/>
      <c r="R20" s="11"/>
      <c r="S20" s="11"/>
      <c r="T20" s="12" t="str">
        <f aca="false">IF($C20="","",IFERROR(INDEX('Aisle Loss Data'!$B$2:$B$1931,MATCH(TRIM($C20)&amp;"|1",'Aisle Loss Data'!$E$2:$E$1931,0)),"No Loss")&amp;IFERROR(","&amp;INDEX('Aisle Loss Data'!$B$2:$B$1931,MATCH(TRIM($C20)&amp;"|2",'Aisle Loss Data'!$E$2:$E$1931,0)),""))</f>
        <v>AI,G</v>
      </c>
      <c r="U20" s="13" t="n">
        <f aca="false">IF($C20="","",IFERROR(INDEX('Aisle Loss Data'!$C$2:$C$1931,MATCH(TRIM($C20)&amp;"|1",'Aisle Loss Data'!$E$2:$E$1931,0)),0)+IFERROR(INDEX('Aisle Loss Data'!$C$2:$C$1931,MATCH(TRIM($C20)&amp;"|2",'Aisle Loss Data'!$E$2:$E$1931,0)),0))</f>
        <v>25002.2</v>
      </c>
      <c r="V20" s="7"/>
      <c r="W20" s="7"/>
      <c r="X20" s="7"/>
      <c r="Y20" s="7"/>
      <c r="Z20" s="7"/>
    </row>
    <row r="21" customFormat="false" ht="15.75" hidden="false" customHeight="true" outlineLevel="0" collapsed="false">
      <c r="A21" s="8" t="s">
        <v>21</v>
      </c>
      <c r="B21" s="9" t="s">
        <v>22</v>
      </c>
      <c r="C21" s="8" t="s">
        <v>47</v>
      </c>
      <c r="D21" s="9" t="str">
        <f aca="false" t="array" ref="D21:D21">IF(C21="","",IFERROR(INDEX('CLM &amp; IM Mapping'!$B$2:$B$270,MATCH(TRIM(C21),'CLM &amp; IM Mapping'!$A$2:$A$270,0)),"Not Mapped"))</f>
        <v>Raghavendra Vernekar</v>
      </c>
      <c r="E21" s="9" t="str">
        <f aca="false" t="array" ref="E21:E21">IF(C21="","",IFERROR(INDEX('CLM &amp; IM Mapping'!$C$2:$C$270,MATCH(TRIM(C21),'CLM &amp; IM Mapping'!$A$2:$A$270,0)),"Not Mapped"))</f>
        <v>Prakash BS</v>
      </c>
      <c r="F21" s="9" t="s">
        <v>27</v>
      </c>
      <c r="G21" s="10" t="n">
        <v>27603</v>
      </c>
      <c r="H21" s="10" t="n">
        <v>14083</v>
      </c>
      <c r="I21" s="10" t="n">
        <v>0</v>
      </c>
      <c r="J21" s="10" t="n">
        <v>3884</v>
      </c>
      <c r="K21" s="10" t="n">
        <v>804</v>
      </c>
      <c r="L21" s="10" t="n">
        <v>0</v>
      </c>
      <c r="M21" s="10" t="n">
        <v>0</v>
      </c>
      <c r="N21" s="10" t="n">
        <v>0</v>
      </c>
      <c r="O21" s="10" t="n">
        <v>46374</v>
      </c>
      <c r="P21" s="11"/>
      <c r="Q21" s="11"/>
      <c r="R21" s="11"/>
      <c r="S21" s="11"/>
      <c r="T21" s="12" t="str">
        <f aca="false">IF($C21="","",IFERROR(INDEX('Aisle Loss Data'!$B$2:$B$1931,MATCH(TRIM($C21)&amp;"|1",'Aisle Loss Data'!$E$2:$E$1931,0)),"No Loss")&amp;IFERROR(","&amp;INDEX('Aisle Loss Data'!$B$2:$B$1931,MATCH(TRIM($C21)&amp;"|2",'Aisle Loss Data'!$E$2:$E$1931,0)),""))</f>
        <v>C,I</v>
      </c>
      <c r="U21" s="13" t="n">
        <f aca="false">IF($C21="","",IFERROR(INDEX('Aisle Loss Data'!$C$2:$C$1931,MATCH(TRIM($C21)&amp;"|1",'Aisle Loss Data'!$E$2:$E$1931,0)),0)+IFERROR(INDEX('Aisle Loss Data'!$C$2:$C$1931,MATCH(TRIM($C21)&amp;"|2",'Aisle Loss Data'!$E$2:$E$1931,0)),0))</f>
        <v>31277.27</v>
      </c>
      <c r="V21" s="7"/>
      <c r="W21" s="7"/>
      <c r="X21" s="7"/>
      <c r="Y21" s="7"/>
      <c r="Z21" s="7"/>
    </row>
    <row r="22" customFormat="false" ht="15.75" hidden="false" customHeight="true" outlineLevel="0" collapsed="false">
      <c r="A22" s="8" t="s">
        <v>21</v>
      </c>
      <c r="B22" s="9" t="s">
        <v>22</v>
      </c>
      <c r="C22" s="8" t="s">
        <v>48</v>
      </c>
      <c r="D22" s="9" t="str">
        <f aca="false" t="array" ref="D22:D22">IF(C22="","",IFERROR(INDEX('CLM &amp; IM Mapping'!$B$2:$B$270,MATCH(TRIM(C22),'CLM &amp; IM Mapping'!$A$2:$A$270,0)),"Not Mapped"))</f>
        <v>Raghavendra Vernekar</v>
      </c>
      <c r="E22" s="9" t="str">
        <f aca="false" t="array" ref="E22:E22">IF(C22="","",IFERROR(INDEX('CLM &amp; IM Mapping'!$C$2:$C$270,MATCH(TRIM(C22),'CLM &amp; IM Mapping'!$A$2:$A$270,0)),"Not Mapped"))</f>
        <v>Prakash BS</v>
      </c>
      <c r="F22" s="9" t="s">
        <v>27</v>
      </c>
      <c r="G22" s="10" t="n">
        <v>201</v>
      </c>
      <c r="H22" s="10" t="n">
        <v>2037</v>
      </c>
      <c r="I22" s="10" t="n">
        <v>0</v>
      </c>
      <c r="J22" s="10" t="n">
        <v>0</v>
      </c>
      <c r="K22" s="10" t="n">
        <v>170</v>
      </c>
      <c r="L22" s="10" t="n">
        <v>0</v>
      </c>
      <c r="M22" s="10" t="n">
        <v>41386</v>
      </c>
      <c r="N22" s="10" t="n">
        <v>0</v>
      </c>
      <c r="O22" s="10" t="n">
        <v>43795</v>
      </c>
      <c r="P22" s="11"/>
      <c r="Q22" s="11"/>
      <c r="R22" s="11"/>
      <c r="S22" s="11"/>
      <c r="T22" s="12" t="str">
        <f aca="false">IF($C22="","",IFERROR(INDEX('Aisle Loss Data'!$B$2:$B$1931,MATCH(TRIM($C22)&amp;"|1",'Aisle Loss Data'!$E$2:$E$1931,0)),"No Loss")&amp;IFERROR(","&amp;INDEX('Aisle Loss Data'!$B$2:$B$1931,MATCH(TRIM($C22)&amp;"|2",'Aisle Loss Data'!$E$2:$E$1931,0)),""))</f>
        <v>R,Q</v>
      </c>
      <c r="U22" s="13" t="n">
        <f aca="false">IF($C22="","",IFERROR(INDEX('Aisle Loss Data'!$C$2:$C$1931,MATCH(TRIM($C22)&amp;"|1",'Aisle Loss Data'!$E$2:$E$1931,0)),0)+IFERROR(INDEX('Aisle Loss Data'!$C$2:$C$1931,MATCH(TRIM($C22)&amp;"|2",'Aisle Loss Data'!$E$2:$E$1931,0)),0))</f>
        <v>4747.3</v>
      </c>
      <c r="V22" s="7"/>
      <c r="W22" s="7"/>
      <c r="X22" s="7"/>
      <c r="Y22" s="7"/>
      <c r="Z22" s="7"/>
    </row>
    <row r="23" customFormat="false" ht="15.75" hidden="false" customHeight="true" outlineLevel="0" collapsed="false">
      <c r="A23" s="8" t="s">
        <v>21</v>
      </c>
      <c r="B23" s="9" t="s">
        <v>22</v>
      </c>
      <c r="C23" s="8" t="s">
        <v>49</v>
      </c>
      <c r="D23" s="9" t="str">
        <f aca="false" t="array" ref="D23:D23">IF(C23="","",IFERROR(INDEX('CLM &amp; IM Mapping'!$B$2:$B$270,MATCH(TRIM(C23),'CLM &amp; IM Mapping'!$A$2:$A$270,0)),"Not Mapped"))</f>
        <v>Balaji G</v>
      </c>
      <c r="E23" s="9" t="str">
        <f aca="false" t="array" ref="E23:E23">IF(C23="","",IFERROR(INDEX('CLM &amp; IM Mapping'!$C$2:$C$270,MATCH(TRIM(C23),'CLM &amp; IM Mapping'!$A$2:$A$270,0)),"Not Mapped"))</f>
        <v>Mohammed Akbar</v>
      </c>
      <c r="F23" s="9" t="s">
        <v>27</v>
      </c>
      <c r="G23" s="10" t="n">
        <v>3171</v>
      </c>
      <c r="H23" s="10" t="n">
        <v>31819</v>
      </c>
      <c r="I23" s="10" t="n">
        <v>2882</v>
      </c>
      <c r="J23" s="10" t="n">
        <v>3955</v>
      </c>
      <c r="K23" s="10" t="n">
        <v>1745</v>
      </c>
      <c r="L23" s="10" t="n">
        <v>0</v>
      </c>
      <c r="M23" s="10" t="n">
        <v>0</v>
      </c>
      <c r="N23" s="10" t="n">
        <v>0</v>
      </c>
      <c r="O23" s="10" t="n">
        <v>43571</v>
      </c>
      <c r="P23" s="11"/>
      <c r="Q23" s="11"/>
      <c r="R23" s="11"/>
      <c r="S23" s="11"/>
      <c r="T23" s="12" t="str">
        <f aca="false">IF($C23="","",IFERROR(INDEX('Aisle Loss Data'!$B$2:$B$1931,MATCH(TRIM($C23)&amp;"|1",'Aisle Loss Data'!$E$2:$E$1931,0)),"No Loss")&amp;IFERROR(","&amp;INDEX('Aisle Loss Data'!$B$2:$B$1931,MATCH(TRIM($C23)&amp;"|2",'Aisle Loss Data'!$E$2:$E$1931,0)),""))</f>
        <v>I,J</v>
      </c>
      <c r="U23" s="13" t="n">
        <f aca="false">IF($C23="","",IFERROR(INDEX('Aisle Loss Data'!$C$2:$C$1931,MATCH(TRIM($C23)&amp;"|1",'Aisle Loss Data'!$E$2:$E$1931,0)),0)+IFERROR(INDEX('Aisle Loss Data'!$C$2:$C$1931,MATCH(TRIM($C23)&amp;"|2",'Aisle Loss Data'!$E$2:$E$1931,0)),0))</f>
        <v>31809.63</v>
      </c>
      <c r="V23" s="7"/>
      <c r="W23" s="7"/>
      <c r="X23" s="7"/>
      <c r="Y23" s="7"/>
      <c r="Z23" s="7"/>
    </row>
    <row r="24" customFormat="false" ht="15.75" hidden="false" customHeight="true" outlineLevel="0" collapsed="false">
      <c r="A24" s="8" t="s">
        <v>21</v>
      </c>
      <c r="B24" s="9" t="s">
        <v>22</v>
      </c>
      <c r="C24" s="8" t="s">
        <v>50</v>
      </c>
      <c r="D24" s="9" t="str">
        <f aca="false" t="array" ref="D24:D24">IF(C24="","",IFERROR(INDEX('CLM &amp; IM Mapping'!$B$2:$B$270,MATCH(TRIM(C24),'CLM &amp; IM Mapping'!$A$2:$A$270,0)),"Not Mapped"))</f>
        <v>Ashwath S</v>
      </c>
      <c r="E24" s="9" t="str">
        <f aca="false" t="array" ref="E24:E24">IF(C24="","",IFERROR(INDEX('CLM &amp; IM Mapping'!$C$2:$C$270,MATCH(TRIM(C24),'CLM &amp; IM Mapping'!$A$2:$A$270,0)),"Not Mapped"))</f>
        <v>Kantha Kumar</v>
      </c>
      <c r="F24" s="9" t="s">
        <v>27</v>
      </c>
      <c r="G24" s="10" t="n">
        <v>33628</v>
      </c>
      <c r="H24" s="10" t="n">
        <v>9141</v>
      </c>
      <c r="I24" s="10" t="n">
        <v>0</v>
      </c>
      <c r="J24" s="10" t="n">
        <v>0</v>
      </c>
      <c r="K24" s="10" t="n">
        <v>243</v>
      </c>
      <c r="L24" s="10" t="n">
        <v>0</v>
      </c>
      <c r="M24" s="10" t="n">
        <v>0</v>
      </c>
      <c r="N24" s="10" t="n">
        <v>0</v>
      </c>
      <c r="O24" s="10" t="n">
        <v>43012</v>
      </c>
      <c r="P24" s="11"/>
      <c r="Q24" s="11"/>
      <c r="R24" s="11"/>
      <c r="S24" s="11"/>
      <c r="T24" s="12" t="str">
        <f aca="false">IF($C24="","",IFERROR(INDEX('Aisle Loss Data'!$B$2:$B$1931,MATCH(TRIM($C24)&amp;"|1",'Aisle Loss Data'!$E$2:$E$1931,0)),"No Loss")&amp;IFERROR(","&amp;INDEX('Aisle Loss Data'!$B$2:$B$1931,MATCH(TRIM($C24)&amp;"|2",'Aisle Loss Data'!$E$2:$E$1931,0)),""))</f>
        <v>H,B</v>
      </c>
      <c r="U24" s="13" t="n">
        <f aca="false">IF($C24="","",IFERROR(INDEX('Aisle Loss Data'!$C$2:$C$1931,MATCH(TRIM($C24)&amp;"|1",'Aisle Loss Data'!$E$2:$E$1931,0)),0)+IFERROR(INDEX('Aisle Loss Data'!$C$2:$C$1931,MATCH(TRIM($C24)&amp;"|2",'Aisle Loss Data'!$E$2:$E$1931,0)),0))</f>
        <v>20792.5</v>
      </c>
      <c r="V24" s="7"/>
      <c r="W24" s="7"/>
      <c r="X24" s="7"/>
      <c r="Y24" s="7"/>
      <c r="Z24" s="7"/>
    </row>
    <row r="25" customFormat="false" ht="15.75" hidden="false" customHeight="true" outlineLevel="0" collapsed="false">
      <c r="A25" s="8" t="s">
        <v>21</v>
      </c>
      <c r="B25" s="9" t="s">
        <v>22</v>
      </c>
      <c r="C25" s="9" t="s">
        <v>51</v>
      </c>
      <c r="D25" s="9" t="str">
        <f aca="false" t="array" ref="D25:D25">IF(C25="","",IFERROR(INDEX('CLM &amp; IM Mapping'!$B$2:$B$270,MATCH(TRIM(C25),'CLM &amp; IM Mapping'!$A$2:$A$270,0)),"Not Mapped"))</f>
        <v>Raghavendra Vernekar</v>
      </c>
      <c r="E25" s="9" t="str">
        <f aca="false" t="array" ref="E25:E25">IF(C25="","",IFERROR(INDEX('CLM &amp; IM Mapping'!$C$2:$C$270,MATCH(TRIM(C25),'CLM &amp; IM Mapping'!$A$2:$A$270,0)),"Not Mapped"))</f>
        <v>Prakash BS</v>
      </c>
      <c r="F25" s="9" t="s">
        <v>27</v>
      </c>
      <c r="G25" s="10" t="n">
        <v>-18636</v>
      </c>
      <c r="H25" s="10" t="n">
        <v>26089</v>
      </c>
      <c r="I25" s="10" t="n">
        <v>0</v>
      </c>
      <c r="J25" s="10" t="n">
        <v>228</v>
      </c>
      <c r="K25" s="10" t="n">
        <v>237</v>
      </c>
      <c r="L25" s="10" t="n">
        <v>0</v>
      </c>
      <c r="M25" s="10" t="n">
        <v>2148</v>
      </c>
      <c r="N25" s="10" t="n">
        <v>32886</v>
      </c>
      <c r="O25" s="10" t="n">
        <v>42952</v>
      </c>
      <c r="P25" s="11"/>
      <c r="Q25" s="11"/>
      <c r="R25" s="11"/>
      <c r="S25" s="11"/>
      <c r="T25" s="12" t="str">
        <f aca="false">IF($C25="","",IFERROR(INDEX('Aisle Loss Data'!$B$2:$B$1931,MATCH(TRIM($C25)&amp;"|1",'Aisle Loss Data'!$E$2:$E$1931,0)),"No Loss")&amp;IFERROR(","&amp;INDEX('Aisle Loss Data'!$B$2:$B$1931,MATCH(TRIM($C25)&amp;"|2",'Aisle Loss Data'!$E$2:$E$1931,0)),""))</f>
        <v>C,H</v>
      </c>
      <c r="U25" s="13" t="n">
        <f aca="false">IF($C25="","",IFERROR(INDEX('Aisle Loss Data'!$C$2:$C$1931,MATCH(TRIM($C25)&amp;"|1",'Aisle Loss Data'!$E$2:$E$1931,0)),0)+IFERROR(INDEX('Aisle Loss Data'!$C$2:$C$1931,MATCH(TRIM($C25)&amp;"|2",'Aisle Loss Data'!$E$2:$E$1931,0)),0))</f>
        <v>17465.43</v>
      </c>
      <c r="V25" s="7"/>
      <c r="W25" s="7"/>
      <c r="X25" s="7"/>
      <c r="Y25" s="7"/>
      <c r="Z25" s="7"/>
    </row>
    <row r="26" customFormat="false" ht="15.75" hidden="false" customHeight="true" outlineLevel="0" collapsed="false">
      <c r="A26" s="8" t="s">
        <v>21</v>
      </c>
      <c r="B26" s="9" t="s">
        <v>22</v>
      </c>
      <c r="C26" s="8" t="s">
        <v>52</v>
      </c>
      <c r="D26" s="9" t="str">
        <f aca="false" t="array" ref="D26:D26">IF(C26="","",IFERROR(INDEX('CLM &amp; IM Mapping'!$B$2:$B$270,MATCH(TRIM(C26),'CLM &amp; IM Mapping'!$A$2:$A$270,0)),"Not Mapped"))</f>
        <v>Sundaresh S</v>
      </c>
      <c r="E26" s="9" t="str">
        <f aca="false" t="array" ref="E26:E26">IF(C26="","",IFERROR(INDEX('CLM &amp; IM Mapping'!$C$2:$C$270,MATCH(TRIM(C26),'CLM &amp; IM Mapping'!$A$2:$A$270,0)),"Not Mapped"))</f>
        <v>Un Mapped</v>
      </c>
      <c r="F26" s="9" t="s">
        <v>27</v>
      </c>
      <c r="G26" s="10" t="n">
        <v>23680</v>
      </c>
      <c r="H26" s="10" t="n">
        <v>12580</v>
      </c>
      <c r="I26" s="10" t="n">
        <v>38</v>
      </c>
      <c r="J26" s="10" t="n">
        <v>5740</v>
      </c>
      <c r="K26" s="10" t="n">
        <v>746</v>
      </c>
      <c r="L26" s="10" t="n">
        <v>0</v>
      </c>
      <c r="M26" s="10" t="n">
        <v>0</v>
      </c>
      <c r="N26" s="10" t="n">
        <v>0</v>
      </c>
      <c r="O26" s="10" t="n">
        <v>42783</v>
      </c>
      <c r="P26" s="11"/>
      <c r="Q26" s="11"/>
      <c r="R26" s="11"/>
      <c r="S26" s="11"/>
      <c r="T26" s="12" t="str">
        <f aca="false">IF($C26="","",IFERROR(INDEX('Aisle Loss Data'!$B$2:$B$1931,MATCH(TRIM($C26)&amp;"|1",'Aisle Loss Data'!$E$2:$E$1931,0)),"No Loss")&amp;IFERROR(","&amp;INDEX('Aisle Loss Data'!$B$2:$B$1931,MATCH(TRIM($C26)&amp;"|2",'Aisle Loss Data'!$E$2:$E$1931,0)),""))</f>
        <v>H,C</v>
      </c>
      <c r="U26" s="13" t="n">
        <f aca="false">IF($C26="","",IFERROR(INDEX('Aisle Loss Data'!$C$2:$C$1931,MATCH(TRIM($C26)&amp;"|1",'Aisle Loss Data'!$E$2:$E$1931,0)),0)+IFERROR(INDEX('Aisle Loss Data'!$C$2:$C$1931,MATCH(TRIM($C26)&amp;"|2",'Aisle Loss Data'!$E$2:$E$1931,0)),0))</f>
        <v>36505.89</v>
      </c>
      <c r="V26" s="7"/>
      <c r="W26" s="7"/>
      <c r="X26" s="7"/>
      <c r="Y26" s="7"/>
      <c r="Z26" s="7"/>
    </row>
    <row r="27" customFormat="false" ht="15.75" hidden="false" customHeight="true" outlineLevel="0" collapsed="false">
      <c r="A27" s="8" t="s">
        <v>21</v>
      </c>
      <c r="B27" s="9" t="s">
        <v>22</v>
      </c>
      <c r="C27" s="8" t="s">
        <v>53</v>
      </c>
      <c r="D27" s="9" t="str">
        <f aca="false" t="array" ref="D27:D27">IF(C27="","",IFERROR(INDEX('CLM &amp; IM Mapping'!$B$2:$B$270,MATCH(TRIM(C27),'CLM &amp; IM Mapping'!$A$2:$A$270,0)),"Not Mapped"))</f>
        <v>Girish N</v>
      </c>
      <c r="E27" s="9" t="str">
        <f aca="false" t="array" ref="E27:E27">IF(C27="","",IFERROR(INDEX('CLM &amp; IM Mapping'!$C$2:$C$270,MATCH(TRIM(C27),'CLM &amp; IM Mapping'!$A$2:$A$270,0)),"Not Mapped"))</f>
        <v>Un Mapped</v>
      </c>
      <c r="F27" s="9" t="s">
        <v>27</v>
      </c>
      <c r="G27" s="10" t="n">
        <v>29680</v>
      </c>
      <c r="H27" s="10" t="n">
        <v>9315</v>
      </c>
      <c r="I27" s="10" t="n">
        <v>0</v>
      </c>
      <c r="J27" s="10" t="n">
        <v>3498</v>
      </c>
      <c r="K27" s="10" t="n">
        <v>283</v>
      </c>
      <c r="L27" s="10" t="n">
        <v>0</v>
      </c>
      <c r="M27" s="10" t="n">
        <v>0</v>
      </c>
      <c r="N27" s="10" t="n">
        <v>0</v>
      </c>
      <c r="O27" s="10" t="n">
        <v>42776</v>
      </c>
      <c r="P27" s="11"/>
      <c r="Q27" s="11"/>
      <c r="R27" s="11"/>
      <c r="S27" s="11"/>
      <c r="T27" s="12" t="str">
        <f aca="false">IF($C27="","",IFERROR(INDEX('Aisle Loss Data'!$B$2:$B$1931,MATCH(TRIM($C27)&amp;"|1",'Aisle Loss Data'!$E$2:$E$1931,0)),"No Loss")&amp;IFERROR(","&amp;INDEX('Aisle Loss Data'!$B$2:$B$1931,MATCH(TRIM($C27)&amp;"|2",'Aisle Loss Data'!$E$2:$E$1931,0)),""))</f>
        <v>A,B</v>
      </c>
      <c r="U27" s="13" t="n">
        <f aca="false">IF($C27="","",IFERROR(INDEX('Aisle Loss Data'!$C$2:$C$1931,MATCH(TRIM($C27)&amp;"|1",'Aisle Loss Data'!$E$2:$E$1931,0)),0)+IFERROR(INDEX('Aisle Loss Data'!$C$2:$C$1931,MATCH(TRIM($C27)&amp;"|2",'Aisle Loss Data'!$E$2:$E$1931,0)),0))</f>
        <v>24298.41</v>
      </c>
      <c r="V27" s="7"/>
      <c r="W27" s="7"/>
      <c r="X27" s="7"/>
      <c r="Y27" s="7"/>
      <c r="Z27" s="7"/>
    </row>
    <row r="28" customFormat="false" ht="15.75" hidden="false" customHeight="true" outlineLevel="0" collapsed="false">
      <c r="A28" s="8" t="s">
        <v>21</v>
      </c>
      <c r="B28" s="9" t="s">
        <v>22</v>
      </c>
      <c r="C28" s="8" t="s">
        <v>54</v>
      </c>
      <c r="D28" s="9" t="str">
        <f aca="false" t="array" ref="D28:D28">IF(C28="","",IFERROR(INDEX('CLM &amp; IM Mapping'!$B$2:$B$270,MATCH(TRIM(C28),'CLM &amp; IM Mapping'!$A$2:$A$270,0)),"Not Mapped"))</f>
        <v>Suhas N</v>
      </c>
      <c r="E28" s="9" t="str">
        <f aca="false" t="array" ref="E28:E28">IF(C28="","",IFERROR(INDEX('CLM &amp; IM Mapping'!$C$2:$C$270,MATCH(TRIM(C28),'CLM &amp; IM Mapping'!$A$2:$A$270,0)),"Not Mapped"))</f>
        <v>Aravind S</v>
      </c>
      <c r="F28" s="9" t="s">
        <v>27</v>
      </c>
      <c r="G28" s="10" t="n">
        <v>29203</v>
      </c>
      <c r="H28" s="10" t="n">
        <v>9567</v>
      </c>
      <c r="I28" s="10" t="n">
        <v>0</v>
      </c>
      <c r="J28" s="10" t="n">
        <v>778</v>
      </c>
      <c r="K28" s="10" t="n">
        <v>2992</v>
      </c>
      <c r="L28" s="10" t="n">
        <v>0</v>
      </c>
      <c r="M28" s="10" t="n">
        <v>0</v>
      </c>
      <c r="N28" s="10" t="n">
        <v>0</v>
      </c>
      <c r="O28" s="10" t="n">
        <v>42540</v>
      </c>
      <c r="P28" s="11" t="s">
        <v>55</v>
      </c>
      <c r="Q28" s="14" t="s">
        <v>56</v>
      </c>
      <c r="R28" s="11" t="s">
        <v>57</v>
      </c>
      <c r="S28" s="11"/>
      <c r="T28" s="12" t="str">
        <f aca="false">IF($C28="","",IFERROR(INDEX('Aisle Loss Data'!$B$2:$B$1931,MATCH(TRIM($C28)&amp;"|1",'Aisle Loss Data'!$E$2:$E$1931,0)),"No Loss")&amp;IFERROR(","&amp;INDEX('Aisle Loss Data'!$B$2:$B$1931,MATCH(TRIM($C28)&amp;"|2",'Aisle Loss Data'!$E$2:$E$1931,0)),""))</f>
        <v>E,I</v>
      </c>
      <c r="U28" s="13" t="n">
        <f aca="false">IF($C28="","",IFERROR(INDEX('Aisle Loss Data'!$C$2:$C$1931,MATCH(TRIM($C28)&amp;"|1",'Aisle Loss Data'!$E$2:$E$1931,0)),0)+IFERROR(INDEX('Aisle Loss Data'!$C$2:$C$1931,MATCH(TRIM($C28)&amp;"|2",'Aisle Loss Data'!$E$2:$E$1931,0)),0))</f>
        <v>20194.38</v>
      </c>
      <c r="V28" s="7"/>
      <c r="W28" s="7"/>
      <c r="X28" s="7"/>
      <c r="Y28" s="7"/>
      <c r="Z28" s="7"/>
    </row>
    <row r="29" customFormat="false" ht="15.75" hidden="false" customHeight="true" outlineLevel="0" collapsed="false">
      <c r="A29" s="8" t="s">
        <v>21</v>
      </c>
      <c r="B29" s="9" t="s">
        <v>22</v>
      </c>
      <c r="C29" s="8" t="s">
        <v>58</v>
      </c>
      <c r="D29" s="9" t="str">
        <f aca="false" t="array" ref="D29:D29">IF(C29="","",IFERROR(INDEX('CLM &amp; IM Mapping'!$B$2:$B$270,MATCH(TRIM(C29),'CLM &amp; IM Mapping'!$A$2:$A$270,0)),"Not Mapped"))</f>
        <v>Narasimhamurthy R</v>
      </c>
      <c r="E29" s="9" t="str">
        <f aca="false" t="array" ref="E29:E29">IF(C29="","",IFERROR(INDEX('CLM &amp; IM Mapping'!$C$2:$C$270,MATCH(TRIM(C29),'CLM &amp; IM Mapping'!$A$2:$A$270,0)),"Not Mapped"))</f>
        <v>Kishor K</v>
      </c>
      <c r="F29" s="9" t="s">
        <v>27</v>
      </c>
      <c r="G29" s="10" t="n">
        <v>16668</v>
      </c>
      <c r="H29" s="10" t="n">
        <v>23989</v>
      </c>
      <c r="I29" s="10" t="n">
        <v>0</v>
      </c>
      <c r="J29" s="10" t="n">
        <v>0</v>
      </c>
      <c r="K29" s="10" t="n">
        <v>843</v>
      </c>
      <c r="L29" s="10" t="n">
        <v>0</v>
      </c>
      <c r="M29" s="10" t="n">
        <v>0</v>
      </c>
      <c r="N29" s="10" t="n">
        <v>0</v>
      </c>
      <c r="O29" s="10" t="n">
        <v>41500</v>
      </c>
      <c r="P29" s="11"/>
      <c r="Q29" s="11"/>
      <c r="R29" s="11"/>
      <c r="S29" s="11"/>
      <c r="T29" s="12" t="str">
        <f aca="false">IF($C29="","",IFERROR(INDEX('Aisle Loss Data'!$B$2:$B$1931,MATCH(TRIM($C29)&amp;"|1",'Aisle Loss Data'!$E$2:$E$1931,0)),"No Loss")&amp;IFERROR(","&amp;INDEX('Aisle Loss Data'!$B$2:$B$1931,MATCH(TRIM($C29)&amp;"|2",'Aisle Loss Data'!$E$2:$E$1931,0)),""))</f>
        <v>O,D</v>
      </c>
      <c r="U29" s="13" t="n">
        <f aca="false">IF($C29="","",IFERROR(INDEX('Aisle Loss Data'!$C$2:$C$1931,MATCH(TRIM($C29)&amp;"|1",'Aisle Loss Data'!$E$2:$E$1931,0)),0)+IFERROR(INDEX('Aisle Loss Data'!$C$2:$C$1931,MATCH(TRIM($C29)&amp;"|2",'Aisle Loss Data'!$E$2:$E$1931,0)),0))</f>
        <v>15142.83</v>
      </c>
      <c r="V29" s="7"/>
      <c r="W29" s="7"/>
      <c r="X29" s="7"/>
      <c r="Y29" s="7"/>
      <c r="Z29" s="7"/>
    </row>
    <row r="30" customFormat="false" ht="15.75" hidden="false" customHeight="true" outlineLevel="0" collapsed="false">
      <c r="A30" s="8" t="s">
        <v>21</v>
      </c>
      <c r="B30" s="9" t="s">
        <v>22</v>
      </c>
      <c r="C30" s="8" t="s">
        <v>59</v>
      </c>
      <c r="D30" s="9" t="str">
        <f aca="false" t="array" ref="D30:D30">IF(C30="","",IFERROR(INDEX('CLM &amp; IM Mapping'!$B$2:$B$270,MATCH(TRIM(C30),'CLM &amp; IM Mapping'!$A$2:$A$270,0)),"Not Mapped"))</f>
        <v>Adhavan Subramani</v>
      </c>
      <c r="E30" s="9" t="str">
        <f aca="false" t="array" ref="E30:E30">IF(C30="","",IFERROR(INDEX('CLM &amp; IM Mapping'!$C$2:$C$270,MATCH(TRIM(C30),'CLM &amp; IM Mapping'!$A$2:$A$270,0)),"Not Mapped"))</f>
        <v>Mohammed Akbar</v>
      </c>
      <c r="F30" s="9" t="s">
        <v>27</v>
      </c>
      <c r="G30" s="10" t="n">
        <v>27933</v>
      </c>
      <c r="H30" s="10" t="n">
        <v>6780</v>
      </c>
      <c r="I30" s="10" t="n">
        <v>0</v>
      </c>
      <c r="J30" s="10" t="n">
        <v>3921</v>
      </c>
      <c r="K30" s="10" t="n">
        <v>2264</v>
      </c>
      <c r="L30" s="10" t="n">
        <v>0</v>
      </c>
      <c r="M30" s="10" t="n">
        <v>180</v>
      </c>
      <c r="N30" s="10" t="n">
        <v>248</v>
      </c>
      <c r="O30" s="10" t="n">
        <v>41326</v>
      </c>
      <c r="P30" s="11"/>
      <c r="Q30" s="11"/>
      <c r="R30" s="11"/>
      <c r="S30" s="11"/>
      <c r="T30" s="12" t="str">
        <f aca="false">IF($C30="","",IFERROR(INDEX('Aisle Loss Data'!$B$2:$B$1931,MATCH(TRIM($C30)&amp;"|1",'Aisle Loss Data'!$E$2:$E$1931,0)),"No Loss")&amp;IFERROR(","&amp;INDEX('Aisle Loss Data'!$B$2:$B$1931,MATCH(TRIM($C30)&amp;"|2",'Aisle Loss Data'!$E$2:$E$1931,0)),""))</f>
        <v>F,H</v>
      </c>
      <c r="U30" s="13" t="n">
        <f aca="false">IF($C30="","",IFERROR(INDEX('Aisle Loss Data'!$C$2:$C$1931,MATCH(TRIM($C30)&amp;"|1",'Aisle Loss Data'!$E$2:$E$1931,0)),0)+IFERROR(INDEX('Aisle Loss Data'!$C$2:$C$1931,MATCH(TRIM($C30)&amp;"|2",'Aisle Loss Data'!$E$2:$E$1931,0)),0))</f>
        <v>16179.07</v>
      </c>
      <c r="V30" s="7"/>
      <c r="W30" s="7"/>
      <c r="X30" s="7"/>
      <c r="Y30" s="7"/>
      <c r="Z30" s="7"/>
    </row>
    <row r="31" customFormat="false" ht="15.75" hidden="false" customHeight="true" outlineLevel="0" collapsed="false">
      <c r="A31" s="8" t="s">
        <v>21</v>
      </c>
      <c r="B31" s="9" t="s">
        <v>22</v>
      </c>
      <c r="C31" s="8" t="s">
        <v>60</v>
      </c>
      <c r="D31" s="9" t="str">
        <f aca="false" t="array" ref="D31:D31">IF(C31="","",IFERROR(INDEX('CLM &amp; IM Mapping'!$B$2:$B$270,MATCH(TRIM(C31),'CLM &amp; IM Mapping'!$A$2:$A$270,0)),"Not Mapped"))</f>
        <v>Adhavan Subramani</v>
      </c>
      <c r="E31" s="9" t="str">
        <f aca="false" t="array" ref="E31:E31">IF(C31="","",IFERROR(INDEX('CLM &amp; IM Mapping'!$C$2:$C$270,MATCH(TRIM(C31),'CLM &amp; IM Mapping'!$A$2:$A$270,0)),"Not Mapped"))</f>
        <v>Mohammed Akbar</v>
      </c>
      <c r="F31" s="9" t="s">
        <v>27</v>
      </c>
      <c r="G31" s="10" t="n">
        <v>30178</v>
      </c>
      <c r="H31" s="10" t="n">
        <v>6153</v>
      </c>
      <c r="I31" s="10" t="n">
        <v>0</v>
      </c>
      <c r="J31" s="10" t="n">
        <v>3968</v>
      </c>
      <c r="K31" s="10" t="n">
        <v>810</v>
      </c>
      <c r="L31" s="10" t="n">
        <v>0</v>
      </c>
      <c r="M31" s="10" t="n">
        <v>0</v>
      </c>
      <c r="N31" s="10" t="n">
        <v>0</v>
      </c>
      <c r="O31" s="10" t="n">
        <v>41109</v>
      </c>
      <c r="P31" s="11"/>
      <c r="Q31" s="11"/>
      <c r="R31" s="11"/>
      <c r="S31" s="11"/>
      <c r="T31" s="12" t="str">
        <f aca="false">IF($C31="","",IFERROR(INDEX('Aisle Loss Data'!$B$2:$B$1931,MATCH(TRIM($C31)&amp;"|1",'Aisle Loss Data'!$E$2:$E$1931,0)),"No Loss")&amp;IFERROR(","&amp;INDEX('Aisle Loss Data'!$B$2:$B$1931,MATCH(TRIM($C31)&amp;"|2",'Aisle Loss Data'!$E$2:$E$1931,0)),""))</f>
        <v>K,A</v>
      </c>
      <c r="U31" s="13" t="n">
        <f aca="false">IF($C31="","",IFERROR(INDEX('Aisle Loss Data'!$C$2:$C$1931,MATCH(TRIM($C31)&amp;"|1",'Aisle Loss Data'!$E$2:$E$1931,0)),0)+IFERROR(INDEX('Aisle Loss Data'!$C$2:$C$1931,MATCH(TRIM($C31)&amp;"|2",'Aisle Loss Data'!$E$2:$E$1931,0)),0))</f>
        <v>28949.31</v>
      </c>
      <c r="V31" s="7"/>
      <c r="W31" s="7"/>
      <c r="X31" s="7"/>
      <c r="Y31" s="7"/>
      <c r="Z31" s="7"/>
    </row>
    <row r="32" customFormat="false" ht="15.75" hidden="false" customHeight="true" outlineLevel="0" collapsed="false">
      <c r="A32" s="8" t="s">
        <v>21</v>
      </c>
      <c r="B32" s="9" t="s">
        <v>22</v>
      </c>
      <c r="C32" s="8" t="s">
        <v>61</v>
      </c>
      <c r="D32" s="9" t="str">
        <f aca="false" t="array" ref="D32:D32">IF(C32="","",IFERROR(INDEX('CLM &amp; IM Mapping'!$B$2:$B$270,MATCH(TRIM(C32),'CLM &amp; IM Mapping'!$A$2:$A$270,0)),"Not Mapped"))</f>
        <v>Balaji G</v>
      </c>
      <c r="E32" s="9" t="str">
        <f aca="false" t="array" ref="E32:E32">IF(C32="","",IFERROR(INDEX('CLM &amp; IM Mapping'!$C$2:$C$270,MATCH(TRIM(C32),'CLM &amp; IM Mapping'!$A$2:$A$270,0)),"Not Mapped"))</f>
        <v>Mohammed Akbar</v>
      </c>
      <c r="F32" s="9" t="s">
        <v>27</v>
      </c>
      <c r="G32" s="10" t="n">
        <v>29057</v>
      </c>
      <c r="H32" s="10" t="n">
        <v>9676</v>
      </c>
      <c r="I32" s="10" t="n">
        <v>340</v>
      </c>
      <c r="J32" s="10" t="n">
        <v>395</v>
      </c>
      <c r="K32" s="10" t="n">
        <v>773</v>
      </c>
      <c r="L32" s="10" t="n">
        <v>0</v>
      </c>
      <c r="M32" s="10" t="n">
        <v>0</v>
      </c>
      <c r="N32" s="10" t="n">
        <v>0</v>
      </c>
      <c r="O32" s="10" t="n">
        <v>40242</v>
      </c>
      <c r="P32" s="11"/>
      <c r="Q32" s="11"/>
      <c r="R32" s="11"/>
      <c r="S32" s="11"/>
      <c r="T32" s="12" t="str">
        <f aca="false">IF($C32="","",IFERROR(INDEX('Aisle Loss Data'!$B$2:$B$1931,MATCH(TRIM($C32)&amp;"|1",'Aisle Loss Data'!$E$2:$E$1931,0)),"No Loss")&amp;IFERROR(","&amp;INDEX('Aisle Loss Data'!$B$2:$B$1931,MATCH(TRIM($C32)&amp;"|2",'Aisle Loss Data'!$E$2:$E$1931,0)),""))</f>
        <v>J,M</v>
      </c>
      <c r="U32" s="13" t="n">
        <f aca="false">IF($C32="","",IFERROR(INDEX('Aisle Loss Data'!$C$2:$C$1931,MATCH(TRIM($C32)&amp;"|1",'Aisle Loss Data'!$E$2:$E$1931,0)),0)+IFERROR(INDEX('Aisle Loss Data'!$C$2:$C$1931,MATCH(TRIM($C32)&amp;"|2",'Aisle Loss Data'!$E$2:$E$1931,0)),0))</f>
        <v>14772.64</v>
      </c>
      <c r="V32" s="7"/>
      <c r="W32" s="7"/>
      <c r="X32" s="7"/>
      <c r="Y32" s="7"/>
      <c r="Z32" s="7"/>
    </row>
    <row r="33" customFormat="false" ht="15.75" hidden="false" customHeight="true" outlineLevel="0" collapsed="false">
      <c r="A33" s="8" t="s">
        <v>21</v>
      </c>
      <c r="B33" s="9" t="s">
        <v>22</v>
      </c>
      <c r="C33" s="8" t="s">
        <v>62</v>
      </c>
      <c r="D33" s="9" t="str">
        <f aca="false" t="array" ref="D33:D33">IF(C33="","",IFERROR(INDEX('CLM &amp; IM Mapping'!$B$2:$B$270,MATCH(TRIM(C33),'CLM &amp; IM Mapping'!$A$2:$A$270,0)),"Not Mapped"))</f>
        <v>Silambarasan E</v>
      </c>
      <c r="E33" s="9" t="str">
        <f aca="false" t="array" ref="E33:E33">IF(C33="","",IFERROR(INDEX('CLM &amp; IM Mapping'!$C$2:$C$270,MATCH(TRIM(C33),'CLM &amp; IM Mapping'!$A$2:$A$270,0)),"Not Mapped"))</f>
        <v>Arivind S</v>
      </c>
      <c r="F33" s="9" t="s">
        <v>27</v>
      </c>
      <c r="G33" s="10" t="n">
        <v>13995</v>
      </c>
      <c r="H33" s="10" t="n">
        <v>11558</v>
      </c>
      <c r="I33" s="10" t="n">
        <v>415</v>
      </c>
      <c r="J33" s="10" t="n">
        <v>828</v>
      </c>
      <c r="K33" s="10" t="n">
        <v>1365</v>
      </c>
      <c r="L33" s="10" t="n">
        <v>0</v>
      </c>
      <c r="M33" s="10" t="n">
        <v>2031</v>
      </c>
      <c r="N33" s="10" t="n">
        <v>9909</v>
      </c>
      <c r="O33" s="10" t="n">
        <v>40101</v>
      </c>
      <c r="P33" s="11"/>
      <c r="Q33" s="11"/>
      <c r="R33" s="11"/>
      <c r="S33" s="11"/>
      <c r="T33" s="12" t="str">
        <f aca="false">IF($C33="","",IFERROR(INDEX('Aisle Loss Data'!$B$2:$B$1931,MATCH(TRIM($C33)&amp;"|1",'Aisle Loss Data'!$E$2:$E$1931,0)),"No Loss")&amp;IFERROR(","&amp;INDEX('Aisle Loss Data'!$B$2:$B$1931,MATCH(TRIM($C33)&amp;"|2",'Aisle Loss Data'!$E$2:$E$1931,0)),""))</f>
        <v>G,H</v>
      </c>
      <c r="U33" s="13" t="n">
        <f aca="false">IF($C33="","",IFERROR(INDEX('Aisle Loss Data'!$C$2:$C$1931,MATCH(TRIM($C33)&amp;"|1",'Aisle Loss Data'!$E$2:$E$1931,0)),0)+IFERROR(INDEX('Aisle Loss Data'!$C$2:$C$1931,MATCH(TRIM($C33)&amp;"|2",'Aisle Loss Data'!$E$2:$E$1931,0)),0))</f>
        <v>11355.89</v>
      </c>
      <c r="V33" s="7"/>
      <c r="W33" s="7"/>
      <c r="X33" s="7"/>
      <c r="Y33" s="7"/>
      <c r="Z33" s="7"/>
    </row>
    <row r="34" customFormat="false" ht="15.75" hidden="false" customHeight="true" outlineLevel="0" collapsed="false">
      <c r="A34" s="8" t="s">
        <v>21</v>
      </c>
      <c r="B34" s="9" t="s">
        <v>22</v>
      </c>
      <c r="C34" s="8" t="s">
        <v>63</v>
      </c>
      <c r="D34" s="9" t="str">
        <f aca="false" t="array" ref="D34:D34">IF(C34="","",IFERROR(INDEX('CLM &amp; IM Mapping'!$B$2:$B$270,MATCH(TRIM(C34),'CLM &amp; IM Mapping'!$A$2:$A$270,0)),"Not Mapped"))</f>
        <v>Girish N</v>
      </c>
      <c r="E34" s="9" t="str">
        <f aca="false" t="array" ref="E34:E34">IF(C34="","",IFERROR(INDEX('CLM &amp; IM Mapping'!$C$2:$C$270,MATCH(TRIM(C34),'CLM &amp; IM Mapping'!$A$2:$A$270,0)),"Not Mapped"))</f>
        <v>Un Mapped</v>
      </c>
      <c r="F34" s="9" t="s">
        <v>27</v>
      </c>
      <c r="G34" s="10" t="n">
        <v>19635</v>
      </c>
      <c r="H34" s="10" t="n">
        <v>18346</v>
      </c>
      <c r="I34" s="10" t="n">
        <v>0</v>
      </c>
      <c r="J34" s="10" t="n">
        <v>292</v>
      </c>
      <c r="K34" s="10" t="n">
        <v>1633</v>
      </c>
      <c r="L34" s="10" t="n">
        <v>0</v>
      </c>
      <c r="M34" s="10" t="n">
        <v>0</v>
      </c>
      <c r="N34" s="10" t="n">
        <v>0</v>
      </c>
      <c r="O34" s="10" t="n">
        <v>39906</v>
      </c>
      <c r="P34" s="11"/>
      <c r="Q34" s="11"/>
      <c r="R34" s="11"/>
      <c r="S34" s="11"/>
      <c r="T34" s="12" t="str">
        <f aca="false">IF($C34="","",IFERROR(INDEX('Aisle Loss Data'!$B$2:$B$1931,MATCH(TRIM($C34)&amp;"|1",'Aisle Loss Data'!$E$2:$E$1931,0)),"No Loss")&amp;IFERROR(","&amp;INDEX('Aisle Loss Data'!$B$2:$B$1931,MATCH(TRIM($C34)&amp;"|2",'Aisle Loss Data'!$E$2:$E$1931,0)),""))</f>
        <v>L,K</v>
      </c>
      <c r="U34" s="13" t="n">
        <f aca="false">IF($C34="","",IFERROR(INDEX('Aisle Loss Data'!$C$2:$C$1931,MATCH(TRIM($C34)&amp;"|1",'Aisle Loss Data'!$E$2:$E$1931,0)),0)+IFERROR(INDEX('Aisle Loss Data'!$C$2:$C$1931,MATCH(TRIM($C34)&amp;"|2",'Aisle Loss Data'!$E$2:$E$1931,0)),0))</f>
        <v>16904</v>
      </c>
      <c r="V34" s="7"/>
      <c r="W34" s="7"/>
      <c r="X34" s="7"/>
      <c r="Y34" s="7"/>
      <c r="Z34" s="7"/>
    </row>
    <row r="35" customFormat="false" ht="15.75" hidden="false" customHeight="true" outlineLevel="0" collapsed="false">
      <c r="A35" s="8" t="s">
        <v>21</v>
      </c>
      <c r="B35" s="9" t="s">
        <v>22</v>
      </c>
      <c r="C35" s="9" t="s">
        <v>64</v>
      </c>
      <c r="D35" s="9" t="str">
        <f aca="false" t="array" ref="D35:D35">IF(C35="","",IFERROR(INDEX('CLM &amp; IM Mapping'!$B$2:$B$270,MATCH(TRIM(C35),'CLM &amp; IM Mapping'!$A$2:$A$270,0)),"Not Mapped"))</f>
        <v>Ashwath S</v>
      </c>
      <c r="E35" s="9" t="str">
        <f aca="false" t="array" ref="E35:E35">IF(C35="","",IFERROR(INDEX('CLM &amp; IM Mapping'!$C$2:$C$270,MATCH(TRIM(C35),'CLM &amp; IM Mapping'!$A$2:$A$270,0)),"Not Mapped"))</f>
        <v>Kantha Kumar</v>
      </c>
      <c r="F35" s="9" t="s">
        <v>27</v>
      </c>
      <c r="G35" s="10" t="n">
        <v>28774</v>
      </c>
      <c r="H35" s="10" t="n">
        <v>10857</v>
      </c>
      <c r="I35" s="10" t="n">
        <v>0</v>
      </c>
      <c r="J35" s="10" t="n">
        <v>0</v>
      </c>
      <c r="K35" s="10" t="n">
        <v>49</v>
      </c>
      <c r="L35" s="10" t="n">
        <v>0</v>
      </c>
      <c r="M35" s="10" t="n">
        <v>0</v>
      </c>
      <c r="N35" s="10" t="n">
        <v>0</v>
      </c>
      <c r="O35" s="10" t="n">
        <v>39679</v>
      </c>
      <c r="P35" s="11"/>
      <c r="Q35" s="11"/>
      <c r="R35" s="11"/>
      <c r="S35" s="11"/>
      <c r="T35" s="12" t="str">
        <f aca="false">IF($C35="","",IFERROR(INDEX('Aisle Loss Data'!$B$2:$B$1931,MATCH(TRIM($C35)&amp;"|1",'Aisle Loss Data'!$E$2:$E$1931,0)),"No Loss")&amp;IFERROR(","&amp;INDEX('Aisle Loss Data'!$B$2:$B$1931,MATCH(TRIM($C35)&amp;"|2",'Aisle Loss Data'!$E$2:$E$1931,0)),""))</f>
        <v>O,H</v>
      </c>
      <c r="U35" s="13" t="n">
        <f aca="false">IF($C35="","",IFERROR(INDEX('Aisle Loss Data'!$C$2:$C$1931,MATCH(TRIM($C35)&amp;"|1",'Aisle Loss Data'!$E$2:$E$1931,0)),0)+IFERROR(INDEX('Aisle Loss Data'!$C$2:$C$1931,MATCH(TRIM($C35)&amp;"|2",'Aisle Loss Data'!$E$2:$E$1931,0)),0))</f>
        <v>28849.47</v>
      </c>
      <c r="V35" s="7"/>
      <c r="W35" s="7"/>
      <c r="X35" s="7"/>
      <c r="Y35" s="7"/>
      <c r="Z35" s="7"/>
    </row>
    <row r="36" customFormat="false" ht="15.75" hidden="false" customHeight="true" outlineLevel="0" collapsed="false">
      <c r="A36" s="8" t="s">
        <v>21</v>
      </c>
      <c r="B36" s="9" t="s">
        <v>22</v>
      </c>
      <c r="C36" s="8" t="s">
        <v>65</v>
      </c>
      <c r="D36" s="9" t="str">
        <f aca="false" t="array" ref="D36:D36">IF(C36="","",IFERROR(INDEX('CLM &amp; IM Mapping'!$B$2:$B$270,MATCH(TRIM(C36),'CLM &amp; IM Mapping'!$A$2:$A$270,0)),"Not Mapped"))</f>
        <v>Saddam Hussain</v>
      </c>
      <c r="E36" s="9" t="str">
        <f aca="false" t="array" ref="E36:E36">IF(C36="","",IFERROR(INDEX('CLM &amp; IM Mapping'!$C$2:$C$270,MATCH(TRIM(C36),'CLM &amp; IM Mapping'!$A$2:$A$270,0)),"Not Mapped"))</f>
        <v>Un Mapped</v>
      </c>
      <c r="F36" s="9" t="s">
        <v>27</v>
      </c>
      <c r="G36" s="10" t="n">
        <v>21968</v>
      </c>
      <c r="H36" s="10" t="n">
        <v>12107</v>
      </c>
      <c r="I36" s="10" t="n">
        <v>0</v>
      </c>
      <c r="J36" s="10" t="n">
        <v>5366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39440</v>
      </c>
      <c r="P36" s="11"/>
      <c r="Q36" s="11"/>
      <c r="R36" s="11"/>
      <c r="S36" s="11"/>
      <c r="T36" s="12" t="str">
        <f aca="false">IF($C36="","",IFERROR(INDEX('Aisle Loss Data'!$B$2:$B$1931,MATCH(TRIM($C36)&amp;"|1",'Aisle Loss Data'!$E$2:$E$1931,0)),"No Loss")&amp;IFERROR(","&amp;INDEX('Aisle Loss Data'!$B$2:$B$1931,MATCH(TRIM($C36)&amp;"|2",'Aisle Loss Data'!$E$2:$E$1931,0)),""))</f>
        <v>L,K</v>
      </c>
      <c r="U36" s="13" t="n">
        <f aca="false">IF($C36="","",IFERROR(INDEX('Aisle Loss Data'!$C$2:$C$1931,MATCH(TRIM($C36)&amp;"|1",'Aisle Loss Data'!$E$2:$E$1931,0)),0)+IFERROR(INDEX('Aisle Loss Data'!$C$2:$C$1931,MATCH(TRIM($C36)&amp;"|2",'Aisle Loss Data'!$E$2:$E$1931,0)),0))</f>
        <v>18504.37</v>
      </c>
      <c r="V36" s="7"/>
      <c r="W36" s="7"/>
      <c r="X36" s="7"/>
      <c r="Y36" s="7"/>
      <c r="Z36" s="7"/>
    </row>
    <row r="37" customFormat="false" ht="15.75" hidden="false" customHeight="true" outlineLevel="0" collapsed="false">
      <c r="A37" s="8" t="s">
        <v>21</v>
      </c>
      <c r="B37" s="9" t="s">
        <v>22</v>
      </c>
      <c r="C37" s="8" t="s">
        <v>66</v>
      </c>
      <c r="D37" s="9" t="str">
        <f aca="false" t="array" ref="D37:D37">IF(C37="","",IFERROR(INDEX('CLM &amp; IM Mapping'!$B$2:$B$270,MATCH(TRIM(C37),'CLM &amp; IM Mapping'!$A$2:$A$270,0)),"Not Mapped"))</f>
        <v>Raghavendra Vernekar</v>
      </c>
      <c r="E37" s="9" t="str">
        <f aca="false" t="array" ref="E37:E37">IF(C37="","",IFERROR(INDEX('CLM &amp; IM Mapping'!$C$2:$C$270,MATCH(TRIM(C37),'CLM &amp; IM Mapping'!$A$2:$A$270,0)),"Not Mapped"))</f>
        <v>Prakash BS</v>
      </c>
      <c r="F37" s="9" t="s">
        <v>27</v>
      </c>
      <c r="G37" s="10" t="n">
        <v>16378</v>
      </c>
      <c r="H37" s="10" t="n">
        <v>18410</v>
      </c>
      <c r="I37" s="10" t="n">
        <v>227</v>
      </c>
      <c r="J37" s="10" t="n">
        <v>2848</v>
      </c>
      <c r="K37" s="10" t="n">
        <v>751</v>
      </c>
      <c r="L37" s="10" t="n">
        <v>0</v>
      </c>
      <c r="M37" s="10" t="n">
        <v>756</v>
      </c>
      <c r="N37" s="10" t="n">
        <v>0</v>
      </c>
      <c r="O37" s="10" t="n">
        <v>39369</v>
      </c>
      <c r="P37" s="11"/>
      <c r="Q37" s="11"/>
      <c r="R37" s="11"/>
      <c r="S37" s="11"/>
      <c r="T37" s="12" t="str">
        <f aca="false">IF($C37="","",IFERROR(INDEX('Aisle Loss Data'!$B$2:$B$1931,MATCH(TRIM($C37)&amp;"|1",'Aisle Loss Data'!$E$2:$E$1931,0)),"No Loss")&amp;IFERROR(","&amp;INDEX('Aisle Loss Data'!$B$2:$B$1931,MATCH(TRIM($C37)&amp;"|2",'Aisle Loss Data'!$E$2:$E$1931,0)),""))</f>
        <v>A,E</v>
      </c>
      <c r="U37" s="13" t="n">
        <f aca="false">IF($C37="","",IFERROR(INDEX('Aisle Loss Data'!$C$2:$C$1931,MATCH(TRIM($C37)&amp;"|1",'Aisle Loss Data'!$E$2:$E$1931,0)),0)+IFERROR(INDEX('Aisle Loss Data'!$C$2:$C$1931,MATCH(TRIM($C37)&amp;"|2",'Aisle Loss Data'!$E$2:$E$1931,0)),0))</f>
        <v>17205.59</v>
      </c>
      <c r="V37" s="7"/>
      <c r="W37" s="7"/>
      <c r="X37" s="7"/>
      <c r="Y37" s="7"/>
      <c r="Z37" s="7"/>
    </row>
    <row r="38" customFormat="false" ht="15.75" hidden="false" customHeight="true" outlineLevel="0" collapsed="false">
      <c r="A38" s="8" t="s">
        <v>21</v>
      </c>
      <c r="B38" s="9" t="s">
        <v>22</v>
      </c>
      <c r="C38" s="8" t="s">
        <v>67</v>
      </c>
      <c r="D38" s="9" t="str">
        <f aca="false" t="array" ref="D38:D38">IF(C38="","",IFERROR(INDEX('CLM &amp; IM Mapping'!$B$2:$B$270,MATCH(TRIM(C38),'CLM &amp; IM Mapping'!$A$2:$A$270,0)),"Not Mapped"))</f>
        <v>Arun Raj</v>
      </c>
      <c r="E38" s="9" t="str">
        <f aca="false" t="array" ref="E38:E38">IF(C38="","",IFERROR(INDEX('CLM &amp; IM Mapping'!$C$2:$C$270,MATCH(TRIM(C38),'CLM &amp; IM Mapping'!$A$2:$A$270,0)),"Not Mapped"))</f>
        <v>Simon Manoharan</v>
      </c>
      <c r="F38" s="9" t="s">
        <v>24</v>
      </c>
      <c r="G38" s="10" t="n">
        <v>23481</v>
      </c>
      <c r="H38" s="10" t="n">
        <v>11376</v>
      </c>
      <c r="I38" s="10" t="n">
        <v>0</v>
      </c>
      <c r="J38" s="10" t="n">
        <v>0</v>
      </c>
      <c r="K38" s="10" t="n">
        <v>3479</v>
      </c>
      <c r="L38" s="10" t="n">
        <v>0</v>
      </c>
      <c r="M38" s="10" t="n">
        <v>0</v>
      </c>
      <c r="N38" s="10" t="n">
        <v>0</v>
      </c>
      <c r="O38" s="10" t="n">
        <v>38336</v>
      </c>
      <c r="P38" s="11"/>
      <c r="Q38" s="11"/>
      <c r="R38" s="11"/>
      <c r="S38" s="11"/>
      <c r="T38" s="12" t="str">
        <f aca="false">IF($C38="","",IFERROR(INDEX('Aisle Loss Data'!$B$2:$B$1931,MATCH(TRIM($C38)&amp;"|1",'Aisle Loss Data'!$E$2:$E$1931,0)),"No Loss")&amp;IFERROR(","&amp;INDEX('Aisle Loss Data'!$B$2:$B$1931,MATCH(TRIM($C38)&amp;"|2",'Aisle Loss Data'!$E$2:$E$1931,0)),""))</f>
        <v>I,M</v>
      </c>
      <c r="U38" s="13" t="n">
        <f aca="false">IF($C38="","",IFERROR(INDEX('Aisle Loss Data'!$C$2:$C$1931,MATCH(TRIM($C38)&amp;"|1",'Aisle Loss Data'!$E$2:$E$1931,0)),0)+IFERROR(INDEX('Aisle Loss Data'!$C$2:$C$1931,MATCH(TRIM($C38)&amp;"|2",'Aisle Loss Data'!$E$2:$E$1931,0)),0))</f>
        <v>14286.65</v>
      </c>
      <c r="V38" s="7"/>
      <c r="W38" s="7"/>
      <c r="X38" s="7"/>
      <c r="Y38" s="7"/>
      <c r="Z38" s="7"/>
    </row>
    <row r="39" customFormat="false" ht="15.75" hidden="false" customHeight="true" outlineLevel="0" collapsed="false">
      <c r="A39" s="8" t="s">
        <v>21</v>
      </c>
      <c r="B39" s="9" t="s">
        <v>22</v>
      </c>
      <c r="C39" s="8" t="s">
        <v>68</v>
      </c>
      <c r="D39" s="9" t="str">
        <f aca="false" t="array" ref="D39:D39">IF(C39="","",IFERROR(INDEX('CLM &amp; IM Mapping'!$B$2:$B$270,MATCH(TRIM(C39),'CLM &amp; IM Mapping'!$A$2:$A$270,0)),"Not Mapped"))</f>
        <v>Mohaideen DH</v>
      </c>
      <c r="E39" s="9" t="str">
        <f aca="false" t="array" ref="E39:E39">IF(C39="","",IFERROR(INDEX('CLM &amp; IM Mapping'!$C$2:$C$270,MATCH(TRIM(C39),'CLM &amp; IM Mapping'!$A$2:$A$270,0)),"Not Mapped"))</f>
        <v>Mohammed Akbar</v>
      </c>
      <c r="F39" s="9" t="s">
        <v>27</v>
      </c>
      <c r="G39" s="10" t="n">
        <v>7420</v>
      </c>
      <c r="H39" s="10" t="n">
        <v>28642</v>
      </c>
      <c r="I39" s="10" t="n">
        <v>116</v>
      </c>
      <c r="J39" s="10" t="n">
        <v>710</v>
      </c>
      <c r="K39" s="10" t="n">
        <v>298</v>
      </c>
      <c r="L39" s="10" t="n">
        <v>0</v>
      </c>
      <c r="M39" s="10" t="n">
        <v>0</v>
      </c>
      <c r="N39" s="10" t="n">
        <v>0</v>
      </c>
      <c r="O39" s="10" t="n">
        <v>37186</v>
      </c>
      <c r="P39" s="11"/>
      <c r="Q39" s="11"/>
      <c r="R39" s="11"/>
      <c r="S39" s="11"/>
      <c r="T39" s="12" t="str">
        <f aca="false">IF($C39="","",IFERROR(INDEX('Aisle Loss Data'!$B$2:$B$1931,MATCH(TRIM($C39)&amp;"|1",'Aisle Loss Data'!$E$2:$E$1931,0)),"No Loss")&amp;IFERROR(","&amp;INDEX('Aisle Loss Data'!$B$2:$B$1931,MATCH(TRIM($C39)&amp;"|2",'Aisle Loss Data'!$E$2:$E$1931,0)),""))</f>
        <v>A,C</v>
      </c>
      <c r="U39" s="13" t="n">
        <f aca="false">IF($C39="","",IFERROR(INDEX('Aisle Loss Data'!$C$2:$C$1931,MATCH(TRIM($C39)&amp;"|1",'Aisle Loss Data'!$E$2:$E$1931,0)),0)+IFERROR(INDEX('Aisle Loss Data'!$C$2:$C$1931,MATCH(TRIM($C39)&amp;"|2",'Aisle Loss Data'!$E$2:$E$1931,0)),0))</f>
        <v>30449.02</v>
      </c>
      <c r="V39" s="7"/>
      <c r="W39" s="7"/>
      <c r="X39" s="7"/>
      <c r="Y39" s="7"/>
      <c r="Z39" s="7"/>
    </row>
    <row r="40" customFormat="false" ht="15.75" hidden="false" customHeight="true" outlineLevel="0" collapsed="false">
      <c r="A40" s="8" t="s">
        <v>21</v>
      </c>
      <c r="B40" s="9" t="s">
        <v>22</v>
      </c>
      <c r="C40" s="8" t="s">
        <v>69</v>
      </c>
      <c r="D40" s="9" t="str">
        <f aca="false" t="array" ref="D40:D40">IF(C40="","",IFERROR(INDEX('CLM &amp; IM Mapping'!$B$2:$B$270,MATCH(TRIM(C40),'CLM &amp; IM Mapping'!$A$2:$A$270,0)),"Not Mapped"))</f>
        <v>Sundaresh S</v>
      </c>
      <c r="E40" s="9" t="str">
        <f aca="false" t="array" ref="E40:E40">IF(C40="","",IFERROR(INDEX('CLM &amp; IM Mapping'!$C$2:$C$270,MATCH(TRIM(C40),'CLM &amp; IM Mapping'!$A$2:$A$270,0)),"Not Mapped"))</f>
        <v>Un Mapped</v>
      </c>
      <c r="F40" s="9" t="s">
        <v>27</v>
      </c>
      <c r="G40" s="10" t="n">
        <v>15298</v>
      </c>
      <c r="H40" s="10" t="n">
        <v>12439</v>
      </c>
      <c r="I40" s="10" t="n">
        <v>0</v>
      </c>
      <c r="J40" s="10" t="n">
        <v>1021</v>
      </c>
      <c r="K40" s="10" t="n">
        <v>1315</v>
      </c>
      <c r="L40" s="10" t="n">
        <v>0</v>
      </c>
      <c r="M40" s="10" t="n">
        <v>7022</v>
      </c>
      <c r="N40" s="10" t="n">
        <v>0</v>
      </c>
      <c r="O40" s="10" t="n">
        <v>37095</v>
      </c>
      <c r="P40" s="11"/>
      <c r="Q40" s="11"/>
      <c r="R40" s="11"/>
      <c r="S40" s="11"/>
      <c r="T40" s="12" t="str">
        <f aca="false">IF($C40="","",IFERROR(INDEX('Aisle Loss Data'!$B$2:$B$1931,MATCH(TRIM($C40)&amp;"|1",'Aisle Loss Data'!$E$2:$E$1931,0)),"No Loss")&amp;IFERROR(","&amp;INDEX('Aisle Loss Data'!$B$2:$B$1931,MATCH(TRIM($C40)&amp;"|2",'Aisle Loss Data'!$E$2:$E$1931,0)),""))</f>
        <v>H,C</v>
      </c>
      <c r="U40" s="13" t="n">
        <f aca="false">IF($C40="","",IFERROR(INDEX('Aisle Loss Data'!$C$2:$C$1931,MATCH(TRIM($C40)&amp;"|1",'Aisle Loss Data'!$E$2:$E$1931,0)),0)+IFERROR(INDEX('Aisle Loss Data'!$C$2:$C$1931,MATCH(TRIM($C40)&amp;"|2",'Aisle Loss Data'!$E$2:$E$1931,0)),0))</f>
        <v>16593.83</v>
      </c>
      <c r="V40" s="7"/>
      <c r="W40" s="7"/>
      <c r="X40" s="7"/>
      <c r="Y40" s="7"/>
      <c r="Z40" s="7"/>
    </row>
    <row r="41" customFormat="false" ht="15.75" hidden="false" customHeight="true" outlineLevel="0" collapsed="false">
      <c r="A41" s="8" t="s">
        <v>21</v>
      </c>
      <c r="B41" s="9" t="s">
        <v>22</v>
      </c>
      <c r="C41" s="8" t="s">
        <v>70</v>
      </c>
      <c r="D41" s="9" t="str">
        <f aca="false" t="array" ref="D41:D41">IF(C41="","",IFERROR(INDEX('CLM &amp; IM Mapping'!$B$2:$B$270,MATCH(TRIM(C41),'CLM &amp; IM Mapping'!$A$2:$A$270,0)),"Not Mapped"))</f>
        <v>Mohaideen DH</v>
      </c>
      <c r="E41" s="9" t="str">
        <f aca="false" t="array" ref="E41:E41">IF(C41="","",IFERROR(INDEX('CLM &amp; IM Mapping'!$C$2:$C$270,MATCH(TRIM(C41),'CLM &amp; IM Mapping'!$A$2:$A$270,0)),"Not Mapped"))</f>
        <v>Mohammed Akbar</v>
      </c>
      <c r="F41" s="9" t="s">
        <v>27</v>
      </c>
      <c r="G41" s="10" t="n">
        <v>-24477</v>
      </c>
      <c r="H41" s="10" t="n">
        <v>36085</v>
      </c>
      <c r="I41" s="10" t="n">
        <v>0</v>
      </c>
      <c r="J41" s="10" t="n">
        <v>5221</v>
      </c>
      <c r="K41" s="10" t="n">
        <v>13126</v>
      </c>
      <c r="L41" s="10" t="n">
        <v>0</v>
      </c>
      <c r="M41" s="10" t="n">
        <v>4987</v>
      </c>
      <c r="N41" s="10" t="n">
        <v>0</v>
      </c>
      <c r="O41" s="10" t="n">
        <v>34942</v>
      </c>
      <c r="P41" s="11"/>
      <c r="Q41" s="11"/>
      <c r="R41" s="11"/>
      <c r="S41" s="11"/>
      <c r="T41" s="12" t="str">
        <f aca="false">IF($C41="","",IFERROR(INDEX('Aisle Loss Data'!$B$2:$B$1931,MATCH(TRIM($C41)&amp;"|1",'Aisle Loss Data'!$E$2:$E$1931,0)),"No Loss")&amp;IFERROR(","&amp;INDEX('Aisle Loss Data'!$B$2:$B$1931,MATCH(TRIM($C41)&amp;"|2",'Aisle Loss Data'!$E$2:$E$1931,0)),""))</f>
        <v>E,F</v>
      </c>
      <c r="U41" s="13" t="n">
        <f aca="false">IF($C41="","",IFERROR(INDEX('Aisle Loss Data'!$C$2:$C$1931,MATCH(TRIM($C41)&amp;"|1",'Aisle Loss Data'!$E$2:$E$1931,0)),0)+IFERROR(INDEX('Aisle Loss Data'!$C$2:$C$1931,MATCH(TRIM($C41)&amp;"|2",'Aisle Loss Data'!$E$2:$E$1931,0)),0))</f>
        <v>28412.65</v>
      </c>
      <c r="V41" s="7"/>
      <c r="W41" s="7"/>
      <c r="X41" s="7"/>
      <c r="Y41" s="7"/>
      <c r="Z41" s="7"/>
    </row>
    <row r="42" customFormat="false" ht="15.75" hidden="false" customHeight="true" outlineLevel="0" collapsed="false">
      <c r="A42" s="8" t="s">
        <v>21</v>
      </c>
      <c r="B42" s="9" t="s">
        <v>22</v>
      </c>
      <c r="C42" s="8" t="s">
        <v>71</v>
      </c>
      <c r="D42" s="9" t="str">
        <f aca="false" t="array" ref="D42:D42">IF(C42="","",IFERROR(INDEX('CLM &amp; IM Mapping'!$B$2:$B$270,MATCH(TRIM(C42),'CLM &amp; IM Mapping'!$A$2:$A$270,0)),"Not Mapped"))</f>
        <v>Manjunatha V</v>
      </c>
      <c r="E42" s="9" t="str">
        <f aca="false" t="array" ref="E42:E42">IF(C42="","",IFERROR(INDEX('CLM &amp; IM Mapping'!$C$2:$C$270,MATCH(TRIM(C42),'CLM &amp; IM Mapping'!$A$2:$A$270,0)),"Not Mapped"))</f>
        <v>Un Mapped</v>
      </c>
      <c r="F42" s="9" t="s">
        <v>27</v>
      </c>
      <c r="G42" s="10" t="n">
        <v>-2863</v>
      </c>
      <c r="H42" s="10" t="n">
        <v>33910</v>
      </c>
      <c r="I42" s="10" t="n">
        <v>0</v>
      </c>
      <c r="J42" s="10" t="n">
        <v>1993</v>
      </c>
      <c r="K42" s="10" t="n">
        <v>363</v>
      </c>
      <c r="L42" s="10" t="n">
        <v>0</v>
      </c>
      <c r="M42" s="10" t="n">
        <v>0</v>
      </c>
      <c r="N42" s="10" t="n">
        <v>0</v>
      </c>
      <c r="O42" s="10" t="n">
        <v>33402</v>
      </c>
      <c r="P42" s="11"/>
      <c r="Q42" s="11"/>
      <c r="R42" s="11"/>
      <c r="S42" s="11"/>
      <c r="T42" s="12" t="str">
        <f aca="false">IF($C42="","",IFERROR(INDEX('Aisle Loss Data'!$B$2:$B$1931,MATCH(TRIM($C42)&amp;"|1",'Aisle Loss Data'!$E$2:$E$1931,0)),"No Loss")&amp;IFERROR(","&amp;INDEX('Aisle Loss Data'!$B$2:$B$1931,MATCH(TRIM($C42)&amp;"|2",'Aisle Loss Data'!$E$2:$E$1931,0)),""))</f>
        <v>B,O</v>
      </c>
      <c r="U42" s="13" t="n">
        <f aca="false">IF($C42="","",IFERROR(INDEX('Aisle Loss Data'!$C$2:$C$1931,MATCH(TRIM($C42)&amp;"|1",'Aisle Loss Data'!$E$2:$E$1931,0)),0)+IFERROR(INDEX('Aisle Loss Data'!$C$2:$C$1931,MATCH(TRIM($C42)&amp;"|2",'Aisle Loss Data'!$E$2:$E$1931,0)),0))</f>
        <v>18033.93</v>
      </c>
      <c r="V42" s="7"/>
      <c r="W42" s="7"/>
      <c r="X42" s="7"/>
      <c r="Y42" s="7"/>
      <c r="Z42" s="7"/>
    </row>
    <row r="43" customFormat="false" ht="15.75" hidden="false" customHeight="true" outlineLevel="0" collapsed="false">
      <c r="A43" s="8" t="s">
        <v>21</v>
      </c>
      <c r="B43" s="9" t="s">
        <v>22</v>
      </c>
      <c r="C43" s="8" t="s">
        <v>72</v>
      </c>
      <c r="D43" s="9" t="str">
        <f aca="false" t="array" ref="D43:D43">IF(C43="","",IFERROR(INDEX('CLM &amp; IM Mapping'!$B$2:$B$270,MATCH(TRIM(C43),'CLM &amp; IM Mapping'!$A$2:$A$270,0)),"Not Mapped"))</f>
        <v>Akshay P</v>
      </c>
      <c r="E43" s="9" t="str">
        <f aca="false" t="array" ref="E43:E43">IF(C43="","",IFERROR(INDEX('CLM &amp; IM Mapping'!$C$2:$C$270,MATCH(TRIM(C43),'CLM &amp; IM Mapping'!$A$2:$A$270,0)),"Not Mapped"))</f>
        <v>Srittam Dhal</v>
      </c>
      <c r="F43" s="9" t="s">
        <v>27</v>
      </c>
      <c r="G43" s="10" t="n">
        <v>7636</v>
      </c>
      <c r="H43" s="10" t="n">
        <v>21392</v>
      </c>
      <c r="I43" s="10" t="n">
        <v>0</v>
      </c>
      <c r="J43" s="10" t="n">
        <v>301</v>
      </c>
      <c r="K43" s="10" t="n">
        <v>3982</v>
      </c>
      <c r="L43" s="10" t="n">
        <v>0</v>
      </c>
      <c r="M43" s="10" t="n">
        <v>0</v>
      </c>
      <c r="N43" s="10" t="n">
        <v>0</v>
      </c>
      <c r="O43" s="10" t="n">
        <v>33311</v>
      </c>
      <c r="P43" s="11"/>
      <c r="Q43" s="11"/>
      <c r="R43" s="11"/>
      <c r="S43" s="11"/>
      <c r="T43" s="12" t="str">
        <f aca="false">IF($C43="","",IFERROR(INDEX('Aisle Loss Data'!$B$2:$B$1931,MATCH(TRIM($C43)&amp;"|1",'Aisle Loss Data'!$E$2:$E$1931,0)),"No Loss")&amp;IFERROR(","&amp;INDEX('Aisle Loss Data'!$B$2:$B$1931,MATCH(TRIM($C43)&amp;"|2",'Aisle Loss Data'!$E$2:$E$1931,0)),""))</f>
        <v>I,H</v>
      </c>
      <c r="U43" s="13" t="n">
        <f aca="false">IF($C43="","",IFERROR(INDEX('Aisle Loss Data'!$C$2:$C$1931,MATCH(TRIM($C43)&amp;"|1",'Aisle Loss Data'!$E$2:$E$1931,0)),0)+IFERROR(INDEX('Aisle Loss Data'!$C$2:$C$1931,MATCH(TRIM($C43)&amp;"|2",'Aisle Loss Data'!$E$2:$E$1931,0)),0))</f>
        <v>10086.16</v>
      </c>
      <c r="V43" s="7"/>
      <c r="W43" s="7"/>
      <c r="X43" s="7"/>
      <c r="Y43" s="7"/>
      <c r="Z43" s="7"/>
    </row>
    <row r="44" customFormat="false" ht="15.75" hidden="false" customHeight="true" outlineLevel="0" collapsed="false">
      <c r="A44" s="8" t="s">
        <v>21</v>
      </c>
      <c r="B44" s="9" t="s">
        <v>22</v>
      </c>
      <c r="C44" s="8" t="s">
        <v>73</v>
      </c>
      <c r="D44" s="9" t="str">
        <f aca="false" t="array" ref="D44:D44">IF(C44="","",IFERROR(INDEX('CLM &amp; IM Mapping'!$B$2:$B$270,MATCH(TRIM(C44),'CLM &amp; IM Mapping'!$A$2:$A$270,0)),"Not Mapped"))</f>
        <v>Ashwath S</v>
      </c>
      <c r="E44" s="9" t="str">
        <f aca="false" t="array" ref="E44:E44">IF(C44="","",IFERROR(INDEX('CLM &amp; IM Mapping'!$C$2:$C$270,MATCH(TRIM(C44),'CLM &amp; IM Mapping'!$A$2:$A$270,0)),"Not Mapped"))</f>
        <v>Kantha Kumar</v>
      </c>
      <c r="F44" s="9" t="s">
        <v>27</v>
      </c>
      <c r="G44" s="10" t="n">
        <v>21341</v>
      </c>
      <c r="H44" s="10" t="n">
        <v>9514</v>
      </c>
      <c r="I44" s="10" t="n">
        <v>308</v>
      </c>
      <c r="J44" s="10" t="n">
        <v>0</v>
      </c>
      <c r="K44" s="10" t="n">
        <v>0</v>
      </c>
      <c r="L44" s="10" t="n">
        <v>0</v>
      </c>
      <c r="M44" s="10" t="n">
        <v>1394</v>
      </c>
      <c r="N44" s="10" t="n">
        <v>0</v>
      </c>
      <c r="O44" s="10" t="n">
        <v>32557</v>
      </c>
      <c r="P44" s="11"/>
      <c r="Q44" s="11"/>
      <c r="R44" s="11"/>
      <c r="S44" s="11"/>
      <c r="T44" s="12" t="str">
        <f aca="false">IF($C44="","",IFERROR(INDEX('Aisle Loss Data'!$B$2:$B$1931,MATCH(TRIM($C44)&amp;"|1",'Aisle Loss Data'!$E$2:$E$1931,0)),"No Loss")&amp;IFERROR(","&amp;INDEX('Aisle Loss Data'!$B$2:$B$1931,MATCH(TRIM($C44)&amp;"|2",'Aisle Loss Data'!$E$2:$E$1931,0)),""))</f>
        <v>H,F</v>
      </c>
      <c r="U44" s="13" t="n">
        <f aca="false">IF($C44="","",IFERROR(INDEX('Aisle Loss Data'!$C$2:$C$1931,MATCH(TRIM($C44)&amp;"|1",'Aisle Loss Data'!$E$2:$E$1931,0)),0)+IFERROR(INDEX('Aisle Loss Data'!$C$2:$C$1931,MATCH(TRIM($C44)&amp;"|2",'Aisle Loss Data'!$E$2:$E$1931,0)),0))</f>
        <v>14669.28</v>
      </c>
      <c r="V44" s="7"/>
      <c r="W44" s="7"/>
      <c r="X44" s="7"/>
      <c r="Y44" s="7"/>
      <c r="Z44" s="7"/>
    </row>
    <row r="45" customFormat="false" ht="15.75" hidden="false" customHeight="true" outlineLevel="0" collapsed="false">
      <c r="A45" s="8" t="s">
        <v>21</v>
      </c>
      <c r="B45" s="9" t="s">
        <v>22</v>
      </c>
      <c r="C45" s="8" t="s">
        <v>74</v>
      </c>
      <c r="D45" s="9" t="str">
        <f aca="false" t="array" ref="D45:D45">IF(C45="","",IFERROR(INDEX('CLM &amp; IM Mapping'!$B$2:$B$270,MATCH(TRIM(C45),'CLM &amp; IM Mapping'!$A$2:$A$270,0)),"Not Mapped"))</f>
        <v>Manoj Kj</v>
      </c>
      <c r="E45" s="9" t="str">
        <f aca="false" t="array" ref="E45:E45">IF(C45="","",IFERROR(INDEX('CLM &amp; IM Mapping'!$C$2:$C$270,MATCH(TRIM(C45),'CLM &amp; IM Mapping'!$A$2:$A$270,0)),"Not Mapped"))</f>
        <v>Srittam Dhal</v>
      </c>
      <c r="F45" s="9" t="s">
        <v>27</v>
      </c>
      <c r="G45" s="10" t="n">
        <v>24834</v>
      </c>
      <c r="H45" s="10" t="n">
        <v>7008</v>
      </c>
      <c r="I45" s="10" t="n">
        <v>0</v>
      </c>
      <c r="J45" s="10" t="n">
        <v>0</v>
      </c>
      <c r="K45" s="10" t="n">
        <v>218</v>
      </c>
      <c r="L45" s="10" t="n">
        <v>0</v>
      </c>
      <c r="M45" s="10" t="n">
        <v>0</v>
      </c>
      <c r="N45" s="10" t="n">
        <v>0</v>
      </c>
      <c r="O45" s="10" t="n">
        <v>32060</v>
      </c>
      <c r="P45" s="11"/>
      <c r="Q45" s="11"/>
      <c r="R45" s="11"/>
      <c r="S45" s="11"/>
      <c r="T45" s="12" t="str">
        <f aca="false">IF($C45="","",IFERROR(INDEX('Aisle Loss Data'!$B$2:$B$1931,MATCH(TRIM($C45)&amp;"|1",'Aisle Loss Data'!$E$2:$E$1931,0)),"No Loss")&amp;IFERROR(","&amp;INDEX('Aisle Loss Data'!$B$2:$B$1931,MATCH(TRIM($C45)&amp;"|2",'Aisle Loss Data'!$E$2:$E$1931,0)),""))</f>
        <v>Q,G</v>
      </c>
      <c r="U45" s="13" t="n">
        <f aca="false">IF($C45="","",IFERROR(INDEX('Aisle Loss Data'!$C$2:$C$1931,MATCH(TRIM($C45)&amp;"|1",'Aisle Loss Data'!$E$2:$E$1931,0)),0)+IFERROR(INDEX('Aisle Loss Data'!$C$2:$C$1931,MATCH(TRIM($C45)&amp;"|2",'Aisle Loss Data'!$E$2:$E$1931,0)),0))</f>
        <v>26272.74</v>
      </c>
      <c r="V45" s="7"/>
      <c r="W45" s="7"/>
      <c r="X45" s="7"/>
      <c r="Y45" s="7"/>
      <c r="Z45" s="7"/>
    </row>
    <row r="46" customFormat="false" ht="15.75" hidden="false" customHeight="true" outlineLevel="0" collapsed="false">
      <c r="A46" s="8" t="s">
        <v>21</v>
      </c>
      <c r="B46" s="9" t="s">
        <v>22</v>
      </c>
      <c r="C46" s="8" t="s">
        <v>75</v>
      </c>
      <c r="D46" s="9" t="str">
        <f aca="false" t="array" ref="D46:D46">IF(C46="","",IFERROR(INDEX('CLM &amp; IM Mapping'!$B$2:$B$270,MATCH(TRIM(C46),'CLM &amp; IM Mapping'!$A$2:$A$270,0)),"Not Mapped"))</f>
        <v>Rizwan Ahmed</v>
      </c>
      <c r="E46" s="9" t="str">
        <f aca="false" t="array" ref="E46:E46">IF(C46="","",IFERROR(INDEX('CLM &amp; IM Mapping'!$C$2:$C$270,MATCH(TRIM(C46),'CLM &amp; IM Mapping'!$A$2:$A$270,0)),"Not Mapped"))</f>
        <v>Un Mapped</v>
      </c>
      <c r="F46" s="9" t="s">
        <v>27</v>
      </c>
      <c r="G46" s="10" t="n">
        <v>14300</v>
      </c>
      <c r="H46" s="10" t="n">
        <v>9717</v>
      </c>
      <c r="I46" s="10" t="n">
        <v>114</v>
      </c>
      <c r="J46" s="10" t="n">
        <v>6589</v>
      </c>
      <c r="K46" s="10" t="n">
        <v>776</v>
      </c>
      <c r="L46" s="10" t="n">
        <v>0</v>
      </c>
      <c r="M46" s="10" t="n">
        <v>0</v>
      </c>
      <c r="N46" s="10" t="n">
        <v>0</v>
      </c>
      <c r="O46" s="10" t="n">
        <v>31497</v>
      </c>
      <c r="P46" s="11"/>
      <c r="Q46" s="11"/>
      <c r="R46" s="11"/>
      <c r="S46" s="11"/>
      <c r="T46" s="12" t="str">
        <f aca="false">IF($C46="","",IFERROR(INDEX('Aisle Loss Data'!$B$2:$B$1931,MATCH(TRIM($C46)&amp;"|1",'Aisle Loss Data'!$E$2:$E$1931,0)),"No Loss")&amp;IFERROR(","&amp;INDEX('Aisle Loss Data'!$B$2:$B$1931,MATCH(TRIM($C46)&amp;"|2",'Aisle Loss Data'!$E$2:$E$1931,0)),""))</f>
        <v>I,F</v>
      </c>
      <c r="U46" s="13" t="n">
        <f aca="false">IF($C46="","",IFERROR(INDEX('Aisle Loss Data'!$C$2:$C$1931,MATCH(TRIM($C46)&amp;"|1",'Aisle Loss Data'!$E$2:$E$1931,0)),0)+IFERROR(INDEX('Aisle Loss Data'!$C$2:$C$1931,MATCH(TRIM($C46)&amp;"|2",'Aisle Loss Data'!$E$2:$E$1931,0)),0))</f>
        <v>24007.23</v>
      </c>
      <c r="V46" s="7"/>
      <c r="W46" s="7"/>
      <c r="X46" s="7"/>
      <c r="Y46" s="7"/>
      <c r="Z46" s="7"/>
    </row>
    <row r="47" customFormat="false" ht="15.75" hidden="false" customHeight="true" outlineLevel="0" collapsed="false">
      <c r="A47" s="8" t="s">
        <v>21</v>
      </c>
      <c r="B47" s="9" t="s">
        <v>22</v>
      </c>
      <c r="C47" s="8" t="s">
        <v>76</v>
      </c>
      <c r="D47" s="9" t="str">
        <f aca="false" t="array" ref="D47:D47">IF(C47="","",IFERROR(INDEX('CLM &amp; IM Mapping'!$B$2:$B$270,MATCH(TRIM(C47),'CLM &amp; IM Mapping'!$A$2:$A$270,0)),"Not Mapped"))</f>
        <v>Ashwath S</v>
      </c>
      <c r="E47" s="9" t="str">
        <f aca="false" t="array" ref="E47:E47">IF(C47="","",IFERROR(INDEX('CLM &amp; IM Mapping'!$C$2:$C$270,MATCH(TRIM(C47),'CLM &amp; IM Mapping'!$A$2:$A$270,0)),"Not Mapped"))</f>
        <v>Kantha Kumar</v>
      </c>
      <c r="F47" s="9" t="s">
        <v>27</v>
      </c>
      <c r="G47" s="10" t="n">
        <v>19018</v>
      </c>
      <c r="H47" s="10" t="n">
        <v>10858</v>
      </c>
      <c r="I47" s="10" t="n">
        <v>27</v>
      </c>
      <c r="J47" s="10" t="n">
        <v>200</v>
      </c>
      <c r="K47" s="10" t="n">
        <v>179</v>
      </c>
      <c r="L47" s="10" t="n">
        <v>0</v>
      </c>
      <c r="M47" s="10" t="n">
        <v>120</v>
      </c>
      <c r="N47" s="10" t="n">
        <v>0</v>
      </c>
      <c r="O47" s="10" t="n">
        <v>30401</v>
      </c>
      <c r="P47" s="11"/>
      <c r="Q47" s="11"/>
      <c r="R47" s="11"/>
      <c r="S47" s="11"/>
      <c r="T47" s="12" t="str">
        <f aca="false">IF($C47="","",IFERROR(INDEX('Aisle Loss Data'!$B$2:$B$1931,MATCH(TRIM($C47)&amp;"|1",'Aisle Loss Data'!$E$2:$E$1931,0)),"No Loss")&amp;IFERROR(","&amp;INDEX('Aisle Loss Data'!$B$2:$B$1931,MATCH(TRIM($C47)&amp;"|2",'Aisle Loss Data'!$E$2:$E$1931,0)),""))</f>
        <v>D,J</v>
      </c>
      <c r="U47" s="13" t="n">
        <f aca="false">IF($C47="","",IFERROR(INDEX('Aisle Loss Data'!$C$2:$C$1931,MATCH(TRIM($C47)&amp;"|1",'Aisle Loss Data'!$E$2:$E$1931,0)),0)+IFERROR(INDEX('Aisle Loss Data'!$C$2:$C$1931,MATCH(TRIM($C47)&amp;"|2",'Aisle Loss Data'!$E$2:$E$1931,0)),0))</f>
        <v>28436.5</v>
      </c>
      <c r="V47" s="7"/>
      <c r="W47" s="7"/>
      <c r="X47" s="7"/>
      <c r="Y47" s="7"/>
      <c r="Z47" s="7"/>
    </row>
    <row r="48" customFormat="false" ht="15.75" hidden="false" customHeight="true" outlineLevel="0" collapsed="false">
      <c r="A48" s="8" t="s">
        <v>21</v>
      </c>
      <c r="B48" s="9" t="s">
        <v>22</v>
      </c>
      <c r="C48" s="8" t="s">
        <v>77</v>
      </c>
      <c r="D48" s="9" t="str">
        <f aca="false" t="array" ref="D48:D48">IF(C48="","",IFERROR(INDEX('CLM &amp; IM Mapping'!$B$2:$B$270,MATCH(TRIM(C48),'CLM &amp; IM Mapping'!$A$2:$A$270,0)),"Not Mapped"))</f>
        <v>Akshay P</v>
      </c>
      <c r="E48" s="9" t="str">
        <f aca="false" t="array" ref="E48:E48">IF(C48="","",IFERROR(INDEX('CLM &amp; IM Mapping'!$C$2:$C$270,MATCH(TRIM(C48),'CLM &amp; IM Mapping'!$A$2:$A$270,0)),"Not Mapped"))</f>
        <v>Srittam Dhal</v>
      </c>
      <c r="F48" s="9" t="s">
        <v>27</v>
      </c>
      <c r="G48" s="10" t="n">
        <v>3774</v>
      </c>
      <c r="H48" s="10" t="n">
        <v>23498</v>
      </c>
      <c r="I48" s="10" t="n">
        <v>301</v>
      </c>
      <c r="J48" s="10" t="n">
        <v>939</v>
      </c>
      <c r="K48" s="10" t="n">
        <v>732</v>
      </c>
      <c r="L48" s="10" t="n">
        <v>0</v>
      </c>
      <c r="M48" s="10" t="n">
        <v>1092</v>
      </c>
      <c r="N48" s="10" t="n">
        <v>63</v>
      </c>
      <c r="O48" s="10" t="n">
        <v>30399</v>
      </c>
      <c r="P48" s="11"/>
      <c r="Q48" s="11"/>
      <c r="R48" s="11"/>
      <c r="S48" s="11"/>
      <c r="T48" s="12" t="str">
        <f aca="false">IF($C48="","",IFERROR(INDEX('Aisle Loss Data'!$B$2:$B$1931,MATCH(TRIM($C48)&amp;"|1",'Aisle Loss Data'!$E$2:$E$1931,0)),"No Loss")&amp;IFERROR(","&amp;INDEX('Aisle Loss Data'!$B$2:$B$1931,MATCH(TRIM($C48)&amp;"|2",'Aisle Loss Data'!$E$2:$E$1931,0)),""))</f>
        <v>I,E</v>
      </c>
      <c r="U48" s="13" t="n">
        <f aca="false">IF($C48="","",IFERROR(INDEX('Aisle Loss Data'!$C$2:$C$1931,MATCH(TRIM($C48)&amp;"|1",'Aisle Loss Data'!$E$2:$E$1931,0)),0)+IFERROR(INDEX('Aisle Loss Data'!$C$2:$C$1931,MATCH(TRIM($C48)&amp;"|2",'Aisle Loss Data'!$E$2:$E$1931,0)),0))</f>
        <v>25713.15</v>
      </c>
      <c r="V48" s="7"/>
      <c r="W48" s="7"/>
      <c r="X48" s="7"/>
      <c r="Y48" s="7"/>
      <c r="Z48" s="7"/>
    </row>
    <row r="49" customFormat="false" ht="15.75" hidden="false" customHeight="true" outlineLevel="0" collapsed="false">
      <c r="A49" s="8" t="s">
        <v>21</v>
      </c>
      <c r="B49" s="9" t="s">
        <v>22</v>
      </c>
      <c r="C49" s="8" t="s">
        <v>78</v>
      </c>
      <c r="D49" s="9" t="str">
        <f aca="false" t="array" ref="D49:D49">IF(C49="","",IFERROR(INDEX('CLM &amp; IM Mapping'!$B$2:$B$270,MATCH(TRIM(C49),'CLM &amp; IM Mapping'!$A$2:$A$270,0)),"Not Mapped"))</f>
        <v>Vijay M</v>
      </c>
      <c r="E49" s="9" t="str">
        <f aca="false" t="array" ref="E49:E49">IF(C49="","",IFERROR(INDEX('CLM &amp; IM Mapping'!$C$2:$C$270,MATCH(TRIM(C49),'CLM &amp; IM Mapping'!$A$2:$A$270,0)),"Not Mapped"))</f>
        <v>Kantha Kumar</v>
      </c>
      <c r="F49" s="9" t="s">
        <v>27</v>
      </c>
      <c r="G49" s="10" t="n">
        <v>23160</v>
      </c>
      <c r="H49" s="10" t="n">
        <v>5953</v>
      </c>
      <c r="I49" s="10" t="n">
        <v>227</v>
      </c>
      <c r="J49" s="10" t="n">
        <v>0</v>
      </c>
      <c r="K49" s="10" t="n">
        <v>479</v>
      </c>
      <c r="L49" s="10" t="n">
        <v>0</v>
      </c>
      <c r="M49" s="10" t="n">
        <v>198</v>
      </c>
      <c r="N49" s="10" t="n">
        <v>0</v>
      </c>
      <c r="O49" s="10" t="n">
        <v>30017</v>
      </c>
      <c r="P49" s="11"/>
      <c r="Q49" s="11"/>
      <c r="R49" s="11"/>
      <c r="S49" s="11"/>
      <c r="T49" s="12" t="str">
        <f aca="false">IF($C49="","",IFERROR(INDEX('Aisle Loss Data'!$B$2:$B$1931,MATCH(TRIM($C49)&amp;"|1",'Aisle Loss Data'!$E$2:$E$1931,0)),"No Loss")&amp;IFERROR(","&amp;INDEX('Aisle Loss Data'!$B$2:$B$1931,MATCH(TRIM($C49)&amp;"|2",'Aisle Loss Data'!$E$2:$E$1931,0)),""))</f>
        <v>D,H</v>
      </c>
      <c r="U49" s="13" t="n">
        <f aca="false">IF($C49="","",IFERROR(INDEX('Aisle Loss Data'!$C$2:$C$1931,MATCH(TRIM($C49)&amp;"|1",'Aisle Loss Data'!$E$2:$E$1931,0)),0)+IFERROR(INDEX('Aisle Loss Data'!$C$2:$C$1931,MATCH(TRIM($C49)&amp;"|2",'Aisle Loss Data'!$E$2:$E$1931,0)),0))</f>
        <v>7781.23</v>
      </c>
      <c r="V49" s="7"/>
      <c r="W49" s="7"/>
      <c r="X49" s="7"/>
      <c r="Y49" s="7"/>
      <c r="Z49" s="7"/>
    </row>
    <row r="50" customFormat="false" ht="15.75" hidden="false" customHeight="true" outlineLevel="0" collapsed="false">
      <c r="A50" s="8" t="s">
        <v>21</v>
      </c>
      <c r="B50" s="9" t="s">
        <v>22</v>
      </c>
      <c r="C50" s="8" t="s">
        <v>79</v>
      </c>
      <c r="D50" s="9" t="str">
        <f aca="false" t="array" ref="D50:D50">IF(C50="","",IFERROR(INDEX('CLM &amp; IM Mapping'!$B$2:$B$270,MATCH(TRIM(C50),'CLM &amp; IM Mapping'!$A$2:$A$270,0)),"Not Mapped"))</f>
        <v>Ashwath S</v>
      </c>
      <c r="E50" s="9" t="str">
        <f aca="false" t="array" ref="E50:E50">IF(C50="","",IFERROR(INDEX('CLM &amp; IM Mapping'!$C$2:$C$270,MATCH(TRIM(C50),'CLM &amp; IM Mapping'!$A$2:$A$270,0)),"Not Mapped"))</f>
        <v>Kantha Kumar</v>
      </c>
      <c r="F50" s="9" t="s">
        <v>27</v>
      </c>
      <c r="G50" s="10" t="n">
        <v>15739</v>
      </c>
      <c r="H50" s="10" t="n">
        <v>11064</v>
      </c>
      <c r="I50" s="10" t="n">
        <v>497</v>
      </c>
      <c r="J50" s="10" t="n">
        <v>2098</v>
      </c>
      <c r="K50" s="10" t="n">
        <v>354</v>
      </c>
      <c r="L50" s="10" t="n">
        <v>0</v>
      </c>
      <c r="M50" s="10" t="n">
        <v>0</v>
      </c>
      <c r="N50" s="10" t="n">
        <v>0</v>
      </c>
      <c r="O50" s="10" t="n">
        <v>29752</v>
      </c>
      <c r="P50" s="11"/>
      <c r="Q50" s="11"/>
      <c r="R50" s="11"/>
      <c r="S50" s="11"/>
      <c r="T50" s="12" t="str">
        <f aca="false">IF($C50="","",IFERROR(INDEX('Aisle Loss Data'!$B$2:$B$1931,MATCH(TRIM($C50)&amp;"|1",'Aisle Loss Data'!$E$2:$E$1931,0)),"No Loss")&amp;IFERROR(","&amp;INDEX('Aisle Loss Data'!$B$2:$B$1931,MATCH(TRIM($C50)&amp;"|2",'Aisle Loss Data'!$E$2:$E$1931,0)),""))</f>
        <v>E,I</v>
      </c>
      <c r="U50" s="13" t="n">
        <f aca="false">IF($C50="","",IFERROR(INDEX('Aisle Loss Data'!$C$2:$C$1931,MATCH(TRIM($C50)&amp;"|1",'Aisle Loss Data'!$E$2:$E$1931,0)),0)+IFERROR(INDEX('Aisle Loss Data'!$C$2:$C$1931,MATCH(TRIM($C50)&amp;"|2",'Aisle Loss Data'!$E$2:$E$1931,0)),0))</f>
        <v>20253.57</v>
      </c>
      <c r="V50" s="7"/>
      <c r="W50" s="7"/>
      <c r="X50" s="7"/>
      <c r="Y50" s="7"/>
      <c r="Z50" s="7"/>
    </row>
    <row r="51" customFormat="false" ht="15.75" hidden="false" customHeight="true" outlineLevel="0" collapsed="false">
      <c r="A51" s="8" t="s">
        <v>21</v>
      </c>
      <c r="B51" s="9" t="s">
        <v>22</v>
      </c>
      <c r="C51" s="8" t="s">
        <v>80</v>
      </c>
      <c r="D51" s="9" t="str">
        <f aca="false" t="array" ref="D51:D51">IF(C51="","",IFERROR(INDEX('CLM &amp; IM Mapping'!$B$2:$B$270,MATCH(TRIM(C51),'CLM &amp; IM Mapping'!$A$2:$A$270,0)),"Not Mapped"))</f>
        <v>Akshay P</v>
      </c>
      <c r="E51" s="9" t="str">
        <f aca="false" t="array" ref="E51:E51">IF(C51="","",IFERROR(INDEX('CLM &amp; IM Mapping'!$C$2:$C$270,MATCH(TRIM(C51),'CLM &amp; IM Mapping'!$A$2:$A$270,0)),"Not Mapped"))</f>
        <v>Srittam Dhal</v>
      </c>
      <c r="F51" s="9" t="s">
        <v>27</v>
      </c>
      <c r="G51" s="10" t="n">
        <v>12638</v>
      </c>
      <c r="H51" s="10" t="n">
        <v>16169</v>
      </c>
      <c r="I51" s="10" t="n">
        <v>265</v>
      </c>
      <c r="J51" s="10" t="n">
        <v>0</v>
      </c>
      <c r="K51" s="10" t="n">
        <v>107</v>
      </c>
      <c r="L51" s="10" t="n">
        <v>0</v>
      </c>
      <c r="M51" s="10" t="n">
        <v>0</v>
      </c>
      <c r="N51" s="10" t="n">
        <v>0</v>
      </c>
      <c r="O51" s="10" t="n">
        <v>29179</v>
      </c>
      <c r="P51" s="11"/>
      <c r="Q51" s="11"/>
      <c r="R51" s="11"/>
      <c r="S51" s="11"/>
      <c r="T51" s="12" t="str">
        <f aca="false">IF($C51="","",IFERROR(INDEX('Aisle Loss Data'!$B$2:$B$1931,MATCH(TRIM($C51)&amp;"|1",'Aisle Loss Data'!$E$2:$E$1931,0)),"No Loss")&amp;IFERROR(","&amp;INDEX('Aisle Loss Data'!$B$2:$B$1931,MATCH(TRIM($C51)&amp;"|2",'Aisle Loss Data'!$E$2:$E$1931,0)),""))</f>
        <v>C,L</v>
      </c>
      <c r="U51" s="13" t="n">
        <f aca="false">IF($C51="","",IFERROR(INDEX('Aisle Loss Data'!$C$2:$C$1931,MATCH(TRIM($C51)&amp;"|1",'Aisle Loss Data'!$E$2:$E$1931,0)),0)+IFERROR(INDEX('Aisle Loss Data'!$C$2:$C$1931,MATCH(TRIM($C51)&amp;"|2",'Aisle Loss Data'!$E$2:$E$1931,0)),0))</f>
        <v>16998.87</v>
      </c>
      <c r="V51" s="7"/>
      <c r="W51" s="7"/>
      <c r="X51" s="7"/>
      <c r="Y51" s="7"/>
      <c r="Z51" s="7"/>
    </row>
    <row r="52" customFormat="false" ht="15.75" hidden="false" customHeight="true" outlineLevel="0" collapsed="false">
      <c r="A52" s="8" t="s">
        <v>21</v>
      </c>
      <c r="B52" s="9" t="s">
        <v>22</v>
      </c>
      <c r="C52" s="8" t="s">
        <v>81</v>
      </c>
      <c r="D52" s="9" t="str">
        <f aca="false" t="array" ref="D52:D52">IF(C52="","",IFERROR(INDEX('CLM &amp; IM Mapping'!$B$2:$B$270,MATCH(TRIM(C52),'CLM &amp; IM Mapping'!$A$2:$A$270,0)),"Not Mapped"))</f>
        <v>Arun Raj</v>
      </c>
      <c r="E52" s="9" t="str">
        <f aca="false" t="array" ref="E52:E52">IF(C52="","",IFERROR(INDEX('CLM &amp; IM Mapping'!$C$2:$C$270,MATCH(TRIM(C52),'CLM &amp; IM Mapping'!$A$2:$A$270,0)),"Not Mapped"))</f>
        <v>Simon Manoharan</v>
      </c>
      <c r="F52" s="9" t="s">
        <v>24</v>
      </c>
      <c r="G52" s="10" t="n">
        <v>462</v>
      </c>
      <c r="H52" s="10" t="n">
        <v>23403</v>
      </c>
      <c r="I52" s="10" t="n">
        <v>0</v>
      </c>
      <c r="J52" s="10" t="n">
        <v>0</v>
      </c>
      <c r="K52" s="10" t="n">
        <v>4786</v>
      </c>
      <c r="L52" s="10" t="n">
        <v>0</v>
      </c>
      <c r="M52" s="10" t="n">
        <v>0</v>
      </c>
      <c r="N52" s="10" t="n">
        <v>0</v>
      </c>
      <c r="O52" s="10" t="n">
        <v>28651</v>
      </c>
      <c r="P52" s="11"/>
      <c r="Q52" s="11"/>
      <c r="R52" s="11"/>
      <c r="S52" s="11"/>
      <c r="T52" s="12" t="str">
        <f aca="false">IF($C52="","",IFERROR(INDEX('Aisle Loss Data'!$B$2:$B$1931,MATCH(TRIM($C52)&amp;"|1",'Aisle Loss Data'!$E$2:$E$1931,0)),"No Loss")&amp;IFERROR(","&amp;INDEX('Aisle Loss Data'!$B$2:$B$1931,MATCH(TRIM($C52)&amp;"|2",'Aisle Loss Data'!$E$2:$E$1931,0)),""))</f>
        <v>F,D</v>
      </c>
      <c r="U52" s="13" t="n">
        <f aca="false">IF($C52="","",IFERROR(INDEX('Aisle Loss Data'!$C$2:$C$1931,MATCH(TRIM($C52)&amp;"|1",'Aisle Loss Data'!$E$2:$E$1931,0)),0)+IFERROR(INDEX('Aisle Loss Data'!$C$2:$C$1931,MATCH(TRIM($C52)&amp;"|2",'Aisle Loss Data'!$E$2:$E$1931,0)),0))</f>
        <v>10874.83</v>
      </c>
      <c r="V52" s="7"/>
      <c r="W52" s="7"/>
      <c r="X52" s="7"/>
      <c r="Y52" s="7"/>
      <c r="Z52" s="7"/>
    </row>
    <row r="53" customFormat="false" ht="15.75" hidden="false" customHeight="true" outlineLevel="0" collapsed="false">
      <c r="A53" s="8" t="s">
        <v>21</v>
      </c>
      <c r="B53" s="9" t="s">
        <v>82</v>
      </c>
      <c r="C53" s="9" t="s">
        <v>83</v>
      </c>
      <c r="D53" s="9" t="str">
        <f aca="false" t="array" ref="D53:D53">IF(C53="","",IFERROR(INDEX('CLM &amp; IM Mapping'!$B$2:$B$270,MATCH(TRIM(C53),'CLM &amp; IM Mapping'!$A$2:$A$270,0)),"Not Mapped"))</f>
        <v>Balaji G</v>
      </c>
      <c r="E53" s="9" t="str">
        <f aca="false" t="array" ref="E53:E53">IF(C53="","",IFERROR(INDEX('CLM &amp; IM Mapping'!$C$2:$C$270,MATCH(TRIM(C53),'CLM &amp; IM Mapping'!$A$2:$A$270,0)),"Not Mapped"))</f>
        <v>Mohammed Akbar</v>
      </c>
      <c r="F53" s="9" t="s">
        <v>27</v>
      </c>
      <c r="G53" s="10" t="n">
        <v>-203</v>
      </c>
      <c r="H53" s="10" t="n">
        <v>28240</v>
      </c>
      <c r="I53" s="10" t="n">
        <v>0</v>
      </c>
      <c r="J53" s="10" t="n">
        <v>0</v>
      </c>
      <c r="K53" s="10" t="n">
        <v>340</v>
      </c>
      <c r="L53" s="10" t="n">
        <v>0</v>
      </c>
      <c r="M53" s="10" t="n">
        <v>0</v>
      </c>
      <c r="N53" s="10" t="n">
        <v>0</v>
      </c>
      <c r="O53" s="10" t="n">
        <v>28377</v>
      </c>
      <c r="P53" s="11"/>
      <c r="Q53" s="11"/>
      <c r="R53" s="11"/>
      <c r="S53" s="11"/>
      <c r="T53" s="12" t="str">
        <f aca="false">IF($C53="","",IFERROR(INDEX('Aisle Loss Data'!$B$2:$B$1931,MATCH(TRIM($C53)&amp;"|1",'Aisle Loss Data'!$E$2:$E$1931,0)),"No Loss")&amp;IFERROR(","&amp;INDEX('Aisle Loss Data'!$B$2:$B$1931,MATCH(TRIM($C53)&amp;"|2",'Aisle Loss Data'!$E$2:$E$1931,0)),""))</f>
        <v>B,L</v>
      </c>
      <c r="U53" s="13" t="n">
        <f aca="false">IF($C53="","",IFERROR(INDEX('Aisle Loss Data'!$C$2:$C$1931,MATCH(TRIM($C53)&amp;"|1",'Aisle Loss Data'!$E$2:$E$1931,0)),0)+IFERROR(INDEX('Aisle Loss Data'!$C$2:$C$1931,MATCH(TRIM($C53)&amp;"|2",'Aisle Loss Data'!$E$2:$E$1931,0)),0))</f>
        <v>15748.51</v>
      </c>
      <c r="V53" s="7"/>
      <c r="W53" s="7"/>
      <c r="X53" s="7"/>
      <c r="Y53" s="7"/>
      <c r="Z53" s="7"/>
    </row>
    <row r="54" customFormat="false" ht="15.75" hidden="false" customHeight="true" outlineLevel="0" collapsed="false">
      <c r="A54" s="8" t="s">
        <v>21</v>
      </c>
      <c r="B54" s="9" t="s">
        <v>22</v>
      </c>
      <c r="C54" s="8" t="s">
        <v>84</v>
      </c>
      <c r="D54" s="9" t="str">
        <f aca="false" t="array" ref="D54:D54">IF(C54="","",IFERROR(INDEX('CLM &amp; IM Mapping'!$B$2:$B$270,MATCH(TRIM(C54),'CLM &amp; IM Mapping'!$A$2:$A$270,0)),"Not Mapped"))</f>
        <v>Silambarasan E</v>
      </c>
      <c r="E54" s="9" t="str">
        <f aca="false" t="array" ref="E54:E54">IF(C54="","",IFERROR(INDEX('CLM &amp; IM Mapping'!$C$2:$C$270,MATCH(TRIM(C54),'CLM &amp; IM Mapping'!$A$2:$A$270,0)),"Not Mapped"))</f>
        <v>Arivind S</v>
      </c>
      <c r="F54" s="9" t="s">
        <v>27</v>
      </c>
      <c r="G54" s="10" t="n">
        <v>18883</v>
      </c>
      <c r="H54" s="10" t="n">
        <v>7350</v>
      </c>
      <c r="I54" s="10" t="n">
        <v>1000</v>
      </c>
      <c r="J54" s="10" t="n">
        <v>615</v>
      </c>
      <c r="K54" s="10" t="n">
        <v>501</v>
      </c>
      <c r="L54" s="10" t="n">
        <v>0</v>
      </c>
      <c r="M54" s="10" t="n">
        <v>0</v>
      </c>
      <c r="N54" s="10" t="n">
        <v>0</v>
      </c>
      <c r="O54" s="10" t="n">
        <v>28349</v>
      </c>
      <c r="P54" s="11"/>
      <c r="Q54" s="11"/>
      <c r="R54" s="11"/>
      <c r="S54" s="11"/>
      <c r="T54" s="12" t="str">
        <f aca="false">IF($C54="","",IFERROR(INDEX('Aisle Loss Data'!$B$2:$B$1931,MATCH(TRIM($C54)&amp;"|1",'Aisle Loss Data'!$E$2:$E$1931,0)),"No Loss")&amp;IFERROR(","&amp;INDEX('Aisle Loss Data'!$B$2:$B$1931,MATCH(TRIM($C54)&amp;"|2",'Aisle Loss Data'!$E$2:$E$1931,0)),""))</f>
        <v>C,D</v>
      </c>
      <c r="U54" s="13" t="n">
        <f aca="false">IF($C54="","",IFERROR(INDEX('Aisle Loss Data'!$C$2:$C$1931,MATCH(TRIM($C54)&amp;"|1",'Aisle Loss Data'!$E$2:$E$1931,0)),0)+IFERROR(INDEX('Aisle Loss Data'!$C$2:$C$1931,MATCH(TRIM($C54)&amp;"|2",'Aisle Loss Data'!$E$2:$E$1931,0)),0))</f>
        <v>11308.26</v>
      </c>
      <c r="V54" s="7"/>
      <c r="W54" s="7"/>
      <c r="X54" s="7"/>
      <c r="Y54" s="7"/>
      <c r="Z54" s="7"/>
    </row>
    <row r="55" customFormat="false" ht="15.75" hidden="false" customHeight="true" outlineLevel="0" collapsed="false">
      <c r="A55" s="8" t="s">
        <v>21</v>
      </c>
      <c r="B55" s="9" t="s">
        <v>22</v>
      </c>
      <c r="C55" s="8" t="s">
        <v>85</v>
      </c>
      <c r="D55" s="9" t="str">
        <f aca="false" t="array" ref="D55:D55">IF(C55="","",IFERROR(INDEX('CLM &amp; IM Mapping'!$B$2:$B$270,MATCH(TRIM(C55),'CLM &amp; IM Mapping'!$A$2:$A$270,0)),"Not Mapped"))</f>
        <v>Saddam Hussain</v>
      </c>
      <c r="E55" s="9" t="str">
        <f aca="false" t="array" ref="E55:E55">IF(C55="","",IFERROR(INDEX('CLM &amp; IM Mapping'!$C$2:$C$270,MATCH(TRIM(C55),'CLM &amp; IM Mapping'!$A$2:$A$270,0)),"Not Mapped"))</f>
        <v>Un Mapped</v>
      </c>
      <c r="F55" s="9" t="s">
        <v>27</v>
      </c>
      <c r="G55" s="10" t="n">
        <v>-4516</v>
      </c>
      <c r="H55" s="10" t="n">
        <v>31960</v>
      </c>
      <c r="I55" s="10" t="n">
        <v>0</v>
      </c>
      <c r="J55" s="10" t="n">
        <v>351</v>
      </c>
      <c r="K55" s="10" t="n">
        <v>161</v>
      </c>
      <c r="L55" s="10" t="n">
        <v>0</v>
      </c>
      <c r="M55" s="10" t="n">
        <v>181</v>
      </c>
      <c r="N55" s="10" t="n">
        <v>0</v>
      </c>
      <c r="O55" s="10" t="n">
        <v>28136</v>
      </c>
      <c r="P55" s="11"/>
      <c r="Q55" s="11"/>
      <c r="R55" s="11"/>
      <c r="S55" s="11"/>
      <c r="T55" s="12" t="str">
        <f aca="false">IF($C55="","",IFERROR(INDEX('Aisle Loss Data'!$B$2:$B$1931,MATCH(TRIM($C55)&amp;"|1",'Aisle Loss Data'!$E$2:$E$1931,0)),"No Loss")&amp;IFERROR(","&amp;INDEX('Aisle Loss Data'!$B$2:$B$1931,MATCH(TRIM($C55)&amp;"|2",'Aisle Loss Data'!$E$2:$E$1931,0)),""))</f>
        <v>G,H</v>
      </c>
      <c r="U55" s="13" t="n">
        <f aca="false">IF($C55="","",IFERROR(INDEX('Aisle Loss Data'!$C$2:$C$1931,MATCH(TRIM($C55)&amp;"|1",'Aisle Loss Data'!$E$2:$E$1931,0)),0)+IFERROR(INDEX('Aisle Loss Data'!$C$2:$C$1931,MATCH(TRIM($C55)&amp;"|2",'Aisle Loss Data'!$E$2:$E$1931,0)),0))</f>
        <v>35850.72</v>
      </c>
      <c r="V55" s="7"/>
      <c r="W55" s="7"/>
      <c r="X55" s="7"/>
      <c r="Y55" s="7"/>
      <c r="Z55" s="7"/>
    </row>
    <row r="56" customFormat="false" ht="15.75" hidden="false" customHeight="true" outlineLevel="0" collapsed="false">
      <c r="A56" s="8" t="s">
        <v>21</v>
      </c>
      <c r="B56" s="9" t="s">
        <v>22</v>
      </c>
      <c r="C56" s="8" t="s">
        <v>86</v>
      </c>
      <c r="D56" s="9" t="str">
        <f aca="false" t="array" ref="D56:D56">IF(C56="","",IFERROR(INDEX('CLM &amp; IM Mapping'!$B$2:$B$270,MATCH(TRIM(C56),'CLM &amp; IM Mapping'!$A$2:$A$270,0)),"Not Mapped"))</f>
        <v>Richard Harris</v>
      </c>
      <c r="E56" s="9" t="str">
        <f aca="false" t="array" ref="E56:E56">IF(C56="","",IFERROR(INDEX('CLM &amp; IM Mapping'!$C$2:$C$270,MATCH(TRIM(C56),'CLM &amp; IM Mapping'!$A$2:$A$270,0)),"Not Mapped"))</f>
        <v>Kantha Kumar</v>
      </c>
      <c r="F56" s="9" t="s">
        <v>27</v>
      </c>
      <c r="G56" s="10" t="n">
        <v>16726</v>
      </c>
      <c r="H56" s="10" t="n">
        <v>10196</v>
      </c>
      <c r="I56" s="10" t="n">
        <v>0</v>
      </c>
      <c r="J56" s="10" t="n">
        <v>96</v>
      </c>
      <c r="K56" s="10" t="n">
        <v>454</v>
      </c>
      <c r="L56" s="10" t="n">
        <v>0</v>
      </c>
      <c r="M56" s="10" t="n">
        <v>0</v>
      </c>
      <c r="N56" s="10" t="n">
        <v>0</v>
      </c>
      <c r="O56" s="10" t="n">
        <v>27472</v>
      </c>
      <c r="P56" s="11"/>
      <c r="Q56" s="11"/>
      <c r="R56" s="11"/>
      <c r="S56" s="11"/>
      <c r="T56" s="12" t="str">
        <f aca="false">IF($C56="","",IFERROR(INDEX('Aisle Loss Data'!$B$2:$B$1931,MATCH(TRIM($C56)&amp;"|1",'Aisle Loss Data'!$E$2:$E$1931,0)),"No Loss")&amp;IFERROR(","&amp;INDEX('Aisle Loss Data'!$B$2:$B$1931,MATCH(TRIM($C56)&amp;"|2",'Aisle Loss Data'!$E$2:$E$1931,0)),""))</f>
        <v>G,F</v>
      </c>
      <c r="U56" s="13" t="n">
        <f aca="false">IF($C56="","",IFERROR(INDEX('Aisle Loss Data'!$C$2:$C$1931,MATCH(TRIM($C56)&amp;"|1",'Aisle Loss Data'!$E$2:$E$1931,0)),0)+IFERROR(INDEX('Aisle Loss Data'!$C$2:$C$1931,MATCH(TRIM($C56)&amp;"|2",'Aisle Loss Data'!$E$2:$E$1931,0)),0))</f>
        <v>18641.77</v>
      </c>
      <c r="V56" s="7"/>
      <c r="W56" s="7"/>
      <c r="X56" s="7"/>
      <c r="Y56" s="7"/>
      <c r="Z56" s="7"/>
    </row>
    <row r="57" customFormat="false" ht="15.75" hidden="false" customHeight="true" outlineLevel="0" collapsed="false">
      <c r="A57" s="8" t="s">
        <v>21</v>
      </c>
      <c r="B57" s="9" t="s">
        <v>22</v>
      </c>
      <c r="C57" s="8" t="s">
        <v>87</v>
      </c>
      <c r="D57" s="9" t="str">
        <f aca="false" t="array" ref="D57:D57">IF(C57="","",IFERROR(INDEX('CLM &amp; IM Mapping'!$B$2:$B$270,MATCH(TRIM(C57),'CLM &amp; IM Mapping'!$A$2:$A$270,0)),"Not Mapped"))</f>
        <v>Silambarasan E</v>
      </c>
      <c r="E57" s="9" t="str">
        <f aca="false" t="array" ref="E57:E57">IF(C57="","",IFERROR(INDEX('CLM &amp; IM Mapping'!$C$2:$C$270,MATCH(TRIM(C57),'CLM &amp; IM Mapping'!$A$2:$A$270,0)),"Not Mapped"))</f>
        <v>Arivind S</v>
      </c>
      <c r="F57" s="9" t="s">
        <v>27</v>
      </c>
      <c r="G57" s="10" t="n">
        <v>24616</v>
      </c>
      <c r="H57" s="10" t="n">
        <v>1423</v>
      </c>
      <c r="I57" s="10" t="n">
        <v>38</v>
      </c>
      <c r="J57" s="10" t="n">
        <v>0</v>
      </c>
      <c r="K57" s="10" t="n">
        <v>1222</v>
      </c>
      <c r="L57" s="10" t="n">
        <v>0</v>
      </c>
      <c r="M57" s="10" t="n">
        <v>0</v>
      </c>
      <c r="N57" s="10" t="n">
        <v>0</v>
      </c>
      <c r="O57" s="10" t="n">
        <v>27298</v>
      </c>
      <c r="P57" s="11"/>
      <c r="Q57" s="11"/>
      <c r="R57" s="11"/>
      <c r="S57" s="11"/>
      <c r="T57" s="12" t="str">
        <f aca="false">IF($C57="","",IFERROR(INDEX('Aisle Loss Data'!$B$2:$B$1931,MATCH(TRIM($C57)&amp;"|1",'Aisle Loss Data'!$E$2:$E$1931,0)),"No Loss")&amp;IFERROR(","&amp;INDEX('Aisle Loss Data'!$B$2:$B$1931,MATCH(TRIM($C57)&amp;"|2",'Aisle Loss Data'!$E$2:$E$1931,0)),""))</f>
        <v>A,D</v>
      </c>
      <c r="U57" s="13" t="n">
        <f aca="false">IF($C57="","",IFERROR(INDEX('Aisle Loss Data'!$C$2:$C$1931,MATCH(TRIM($C57)&amp;"|1",'Aisle Loss Data'!$E$2:$E$1931,0)),0)+IFERROR(INDEX('Aisle Loss Data'!$C$2:$C$1931,MATCH(TRIM($C57)&amp;"|2",'Aisle Loss Data'!$E$2:$E$1931,0)),0))</f>
        <v>20081.81</v>
      </c>
      <c r="V57" s="7"/>
      <c r="W57" s="7"/>
      <c r="X57" s="7"/>
      <c r="Y57" s="7"/>
      <c r="Z57" s="7"/>
    </row>
    <row r="58" customFormat="false" ht="15.75" hidden="false" customHeight="true" outlineLevel="0" collapsed="false">
      <c r="A58" s="8" t="s">
        <v>21</v>
      </c>
      <c r="B58" s="9" t="s">
        <v>22</v>
      </c>
      <c r="C58" s="8" t="s">
        <v>88</v>
      </c>
      <c r="D58" s="9" t="str">
        <f aca="false" t="array" ref="D58:D58">IF(C58="","",IFERROR(INDEX('CLM &amp; IM Mapping'!$B$2:$B$270,MATCH(TRIM(C58),'CLM &amp; IM Mapping'!$A$2:$A$270,0)),"Not Mapped"))</f>
        <v>Richard Harris</v>
      </c>
      <c r="E58" s="9" t="str">
        <f aca="false" t="array" ref="E58:E58">IF(C58="","",IFERROR(INDEX('CLM &amp; IM Mapping'!$C$2:$C$270,MATCH(TRIM(C58),'CLM &amp; IM Mapping'!$A$2:$A$270,0)),"Not Mapped"))</f>
        <v>Kantha Kumar</v>
      </c>
      <c r="F58" s="9" t="s">
        <v>27</v>
      </c>
      <c r="G58" s="10" t="n">
        <v>6414</v>
      </c>
      <c r="H58" s="10" t="n">
        <v>11926</v>
      </c>
      <c r="I58" s="10" t="n">
        <v>0</v>
      </c>
      <c r="J58" s="10" t="n">
        <v>1448</v>
      </c>
      <c r="K58" s="10" t="n">
        <v>63</v>
      </c>
      <c r="L58" s="10" t="n">
        <v>0</v>
      </c>
      <c r="M58" s="10" t="n">
        <v>0</v>
      </c>
      <c r="N58" s="10" t="n">
        <v>7417</v>
      </c>
      <c r="O58" s="10" t="n">
        <v>27268</v>
      </c>
      <c r="P58" s="11"/>
      <c r="Q58" s="11"/>
      <c r="R58" s="11"/>
      <c r="S58" s="11"/>
      <c r="T58" s="12" t="str">
        <f aca="false">IF($C58="","",IFERROR(INDEX('Aisle Loss Data'!$B$2:$B$1931,MATCH(TRIM($C58)&amp;"|1",'Aisle Loss Data'!$E$2:$E$1931,0)),"No Loss")&amp;IFERROR(","&amp;INDEX('Aisle Loss Data'!$B$2:$B$1931,MATCH(TRIM($C58)&amp;"|2",'Aisle Loss Data'!$E$2:$E$1931,0)),""))</f>
        <v>A,B</v>
      </c>
      <c r="U58" s="13" t="n">
        <f aca="false">IF($C58="","",IFERROR(INDEX('Aisle Loss Data'!$C$2:$C$1931,MATCH(TRIM($C58)&amp;"|1",'Aisle Loss Data'!$E$2:$E$1931,0)),0)+IFERROR(INDEX('Aisle Loss Data'!$C$2:$C$1931,MATCH(TRIM($C58)&amp;"|2",'Aisle Loss Data'!$E$2:$E$1931,0)),0))</f>
        <v>18547.32</v>
      </c>
      <c r="V58" s="7"/>
      <c r="W58" s="7"/>
      <c r="X58" s="7"/>
      <c r="Y58" s="7"/>
      <c r="Z58" s="7"/>
    </row>
    <row r="59" customFormat="false" ht="15.75" hidden="false" customHeight="true" outlineLevel="0" collapsed="false">
      <c r="A59" s="8" t="s">
        <v>21</v>
      </c>
      <c r="B59" s="9" t="s">
        <v>22</v>
      </c>
      <c r="C59" s="8" t="s">
        <v>89</v>
      </c>
      <c r="D59" s="9" t="str">
        <f aca="false" t="array" ref="D59:D59">IF(C59="","",IFERROR(INDEX('CLM &amp; IM Mapping'!$B$2:$B$270,MATCH(TRIM(C59),'CLM &amp; IM Mapping'!$A$2:$A$270,0)),"Not Mapped"))</f>
        <v>Girish N</v>
      </c>
      <c r="E59" s="9" t="str">
        <f aca="false" t="array" ref="E59:E59">IF(C59="","",IFERROR(INDEX('CLM &amp; IM Mapping'!$C$2:$C$270,MATCH(TRIM(C59),'CLM &amp; IM Mapping'!$A$2:$A$270,0)),"Not Mapped"))</f>
        <v>Un Mapped</v>
      </c>
      <c r="F59" s="9" t="s">
        <v>27</v>
      </c>
      <c r="G59" s="10" t="n">
        <v>4568</v>
      </c>
      <c r="H59" s="10" t="n">
        <v>18329</v>
      </c>
      <c r="I59" s="10" t="n">
        <v>2129</v>
      </c>
      <c r="J59" s="10" t="n">
        <v>106</v>
      </c>
      <c r="K59" s="10" t="n">
        <v>765</v>
      </c>
      <c r="L59" s="10" t="n">
        <v>0</v>
      </c>
      <c r="M59" s="10" t="n">
        <v>0</v>
      </c>
      <c r="N59" s="10" t="n">
        <v>0</v>
      </c>
      <c r="O59" s="10" t="n">
        <v>25896</v>
      </c>
      <c r="P59" s="11"/>
      <c r="Q59" s="11"/>
      <c r="R59" s="11"/>
      <c r="S59" s="11"/>
      <c r="T59" s="12" t="str">
        <f aca="false">IF($C59="","",IFERROR(INDEX('Aisle Loss Data'!$B$2:$B$1931,MATCH(TRIM($C59)&amp;"|1",'Aisle Loss Data'!$E$2:$E$1931,0)),"No Loss")&amp;IFERROR(","&amp;INDEX('Aisle Loss Data'!$B$2:$B$1931,MATCH(TRIM($C59)&amp;"|2",'Aisle Loss Data'!$E$2:$E$1931,0)),""))</f>
        <v>J,B</v>
      </c>
      <c r="U59" s="13" t="n">
        <f aca="false">IF($C59="","",IFERROR(INDEX('Aisle Loss Data'!$C$2:$C$1931,MATCH(TRIM($C59)&amp;"|1",'Aisle Loss Data'!$E$2:$E$1931,0)),0)+IFERROR(INDEX('Aisle Loss Data'!$C$2:$C$1931,MATCH(TRIM($C59)&amp;"|2",'Aisle Loss Data'!$E$2:$E$1931,0)),0))</f>
        <v>24177.24</v>
      </c>
      <c r="V59" s="7"/>
      <c r="W59" s="7"/>
      <c r="X59" s="7"/>
      <c r="Y59" s="7"/>
      <c r="Z59" s="7"/>
    </row>
    <row r="60" customFormat="false" ht="15.75" hidden="false" customHeight="true" outlineLevel="0" collapsed="false">
      <c r="A60" s="8" t="s">
        <v>21</v>
      </c>
      <c r="B60" s="9" t="s">
        <v>22</v>
      </c>
      <c r="C60" s="8" t="s">
        <v>90</v>
      </c>
      <c r="D60" s="9" t="str">
        <f aca="false" t="array" ref="D60:D60">IF(C60="","",IFERROR(INDEX('CLM &amp; IM Mapping'!$B$2:$B$270,MATCH(TRIM(C60),'CLM &amp; IM Mapping'!$A$2:$A$270,0)),"Not Mapped"))</f>
        <v>Adhavan Subramani</v>
      </c>
      <c r="E60" s="9" t="str">
        <f aca="false" t="array" ref="E60:E60">IF(C60="","",IFERROR(INDEX('CLM &amp; IM Mapping'!$C$2:$C$270,MATCH(TRIM(C60),'CLM &amp; IM Mapping'!$A$2:$A$270,0)),"Not Mapped"))</f>
        <v>Mohammed Akbar</v>
      </c>
      <c r="F60" s="9" t="s">
        <v>27</v>
      </c>
      <c r="G60" s="10" t="n">
        <v>-9055</v>
      </c>
      <c r="H60" s="10" t="n">
        <v>0</v>
      </c>
      <c r="I60" s="10" t="n">
        <v>0</v>
      </c>
      <c r="J60" s="10" t="n">
        <v>34052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24998</v>
      </c>
      <c r="P60" s="11"/>
      <c r="Q60" s="11"/>
      <c r="R60" s="11"/>
      <c r="S60" s="11"/>
      <c r="T60" s="12" t="str">
        <f aca="false">IF($C60="","",IFERROR(INDEX('Aisle Loss Data'!$B$2:$B$1931,MATCH(TRIM($C60)&amp;"|1",'Aisle Loss Data'!$E$2:$E$1931,0)),"No Loss")&amp;IFERROR(","&amp;INDEX('Aisle Loss Data'!$B$2:$B$1931,MATCH(TRIM($C60)&amp;"|2",'Aisle Loss Data'!$E$2:$E$1931,0)),""))</f>
        <v>1</v>
      </c>
      <c r="U60" s="13" t="n">
        <f aca="false">IF($C60="","",IFERROR(INDEX('Aisle Loss Data'!$C$2:$C$1931,MATCH(TRIM($C60)&amp;"|1",'Aisle Loss Data'!$E$2:$E$1931,0)),0)+IFERROR(INDEX('Aisle Loss Data'!$C$2:$C$1931,MATCH(TRIM($C60)&amp;"|2",'Aisle Loss Data'!$E$2:$E$1931,0)),0))</f>
        <v>720</v>
      </c>
      <c r="V60" s="7"/>
      <c r="W60" s="7"/>
      <c r="X60" s="7"/>
      <c r="Y60" s="7"/>
      <c r="Z60" s="7"/>
    </row>
    <row r="61" customFormat="false" ht="15.75" hidden="false" customHeight="true" outlineLevel="0" collapsed="false">
      <c r="A61" s="8" t="s">
        <v>21</v>
      </c>
      <c r="B61" s="9" t="s">
        <v>22</v>
      </c>
      <c r="C61" s="8" t="s">
        <v>91</v>
      </c>
      <c r="D61" s="9" t="str">
        <f aca="false" t="array" ref="D61:D61">IF(C61="","",IFERROR(INDEX('CLM &amp; IM Mapping'!$B$2:$B$270,MATCH(TRIM(C61),'CLM &amp; IM Mapping'!$A$2:$A$270,0)),"Not Mapped"))</f>
        <v>Girish N</v>
      </c>
      <c r="E61" s="9" t="str">
        <f aca="false" t="array" ref="E61:E61">IF(C61="","",IFERROR(INDEX('CLM &amp; IM Mapping'!$C$2:$C$270,MATCH(TRIM(C61),'CLM &amp; IM Mapping'!$A$2:$A$270,0)),"Not Mapped"))</f>
        <v>Un Mapped</v>
      </c>
      <c r="F61" s="9" t="s">
        <v>27</v>
      </c>
      <c r="G61" s="10" t="n">
        <v>-4546</v>
      </c>
      <c r="H61" s="10" t="n">
        <v>23681</v>
      </c>
      <c r="I61" s="10" t="n">
        <v>0</v>
      </c>
      <c r="J61" s="10" t="n">
        <v>617</v>
      </c>
      <c r="K61" s="10" t="n">
        <v>5061</v>
      </c>
      <c r="L61" s="10" t="n">
        <v>0</v>
      </c>
      <c r="M61" s="10" t="n">
        <v>0</v>
      </c>
      <c r="N61" s="10" t="n">
        <v>0</v>
      </c>
      <c r="O61" s="10" t="n">
        <v>24812</v>
      </c>
      <c r="P61" s="11"/>
      <c r="Q61" s="11"/>
      <c r="R61" s="11"/>
      <c r="S61" s="11"/>
      <c r="T61" s="12" t="str">
        <f aca="false">IF($C61="","",IFERROR(INDEX('Aisle Loss Data'!$B$2:$B$1931,MATCH(TRIM($C61)&amp;"|1",'Aisle Loss Data'!$E$2:$E$1931,0)),"No Loss")&amp;IFERROR(","&amp;INDEX('Aisle Loss Data'!$B$2:$B$1931,MATCH(TRIM($C61)&amp;"|2",'Aisle Loss Data'!$E$2:$E$1931,0)),""))</f>
        <v>J,C</v>
      </c>
      <c r="U61" s="13" t="n">
        <f aca="false">IF($C61="","",IFERROR(INDEX('Aisle Loss Data'!$C$2:$C$1931,MATCH(TRIM($C61)&amp;"|1",'Aisle Loss Data'!$E$2:$E$1931,0)),0)+IFERROR(INDEX('Aisle Loss Data'!$C$2:$C$1931,MATCH(TRIM($C61)&amp;"|2",'Aisle Loss Data'!$E$2:$E$1931,0)),0))</f>
        <v>10629.93</v>
      </c>
      <c r="V61" s="7"/>
      <c r="W61" s="7"/>
      <c r="X61" s="7"/>
      <c r="Y61" s="7"/>
      <c r="Z61" s="7"/>
    </row>
    <row r="62" customFormat="false" ht="15.75" hidden="false" customHeight="true" outlineLevel="0" collapsed="false">
      <c r="A62" s="8" t="s">
        <v>21</v>
      </c>
      <c r="B62" s="9" t="s">
        <v>22</v>
      </c>
      <c r="C62" s="8" t="s">
        <v>92</v>
      </c>
      <c r="D62" s="9" t="str">
        <f aca="false" t="array" ref="D62:D62">IF(C62="","",IFERROR(INDEX('CLM &amp; IM Mapping'!$B$2:$B$270,MATCH(TRIM(C62),'CLM &amp; IM Mapping'!$A$2:$A$270,0)),"Not Mapped"))</f>
        <v>Adhavan Subramani</v>
      </c>
      <c r="E62" s="9" t="str">
        <f aca="false" t="array" ref="E62:E62">IF(C62="","",IFERROR(INDEX('CLM &amp; IM Mapping'!$C$2:$C$270,MATCH(TRIM(C62),'CLM &amp; IM Mapping'!$A$2:$A$270,0)),"Not Mapped"))</f>
        <v>Mohammed Akbar</v>
      </c>
      <c r="F62" s="9" t="s">
        <v>27</v>
      </c>
      <c r="G62" s="10" t="n">
        <v>14994</v>
      </c>
      <c r="H62" s="10" t="n">
        <v>5392</v>
      </c>
      <c r="I62" s="10" t="n">
        <v>580</v>
      </c>
      <c r="J62" s="10" t="n">
        <v>44</v>
      </c>
      <c r="K62" s="10" t="n">
        <v>23</v>
      </c>
      <c r="L62" s="10" t="n">
        <v>0</v>
      </c>
      <c r="M62" s="10" t="n">
        <v>1321</v>
      </c>
      <c r="N62" s="10" t="n">
        <v>0</v>
      </c>
      <c r="O62" s="10" t="n">
        <v>22354</v>
      </c>
      <c r="P62" s="11"/>
      <c r="Q62" s="11"/>
      <c r="R62" s="11"/>
      <c r="S62" s="11"/>
      <c r="T62" s="12" t="str">
        <f aca="false">IF($C62="","",IFERROR(INDEX('Aisle Loss Data'!$B$2:$B$1931,MATCH(TRIM($C62)&amp;"|1",'Aisle Loss Data'!$E$2:$E$1931,0)),"No Loss")&amp;IFERROR(","&amp;INDEX('Aisle Loss Data'!$B$2:$B$1931,MATCH(TRIM($C62)&amp;"|2",'Aisle Loss Data'!$E$2:$E$1931,0)),""))</f>
        <v>F,B</v>
      </c>
      <c r="U62" s="13" t="n">
        <f aca="false">IF($C62="","",IFERROR(INDEX('Aisle Loss Data'!$C$2:$C$1931,MATCH(TRIM($C62)&amp;"|1",'Aisle Loss Data'!$E$2:$E$1931,0)),0)+IFERROR(INDEX('Aisle Loss Data'!$C$2:$C$1931,MATCH(TRIM($C62)&amp;"|2",'Aisle Loss Data'!$E$2:$E$1931,0)),0))</f>
        <v>13632.33</v>
      </c>
      <c r="V62" s="7"/>
      <c r="W62" s="7"/>
      <c r="X62" s="7"/>
      <c r="Y62" s="7"/>
      <c r="Z62" s="7"/>
    </row>
    <row r="63" customFormat="false" ht="15.75" hidden="false" customHeight="true" outlineLevel="0" collapsed="false">
      <c r="A63" s="8" t="s">
        <v>21</v>
      </c>
      <c r="B63" s="9" t="s">
        <v>22</v>
      </c>
      <c r="C63" s="8" t="s">
        <v>93</v>
      </c>
      <c r="D63" s="9" t="str">
        <f aca="false" t="array" ref="D63:D63">IF(C63="","",IFERROR(INDEX('CLM &amp; IM Mapping'!$B$2:$B$270,MATCH(TRIM(C63),'CLM &amp; IM Mapping'!$A$2:$A$270,0)),"Not Mapped"))</f>
        <v>Manjunatha V</v>
      </c>
      <c r="E63" s="9" t="str">
        <f aca="false" t="array" ref="E63:E63">IF(C63="","",IFERROR(INDEX('CLM &amp; IM Mapping'!$C$2:$C$270,MATCH(TRIM(C63),'CLM &amp; IM Mapping'!$A$2:$A$270,0)),"Not Mapped"))</f>
        <v>Un Mapped</v>
      </c>
      <c r="F63" s="9" t="s">
        <v>27</v>
      </c>
      <c r="G63" s="10" t="n">
        <v>-30293</v>
      </c>
      <c r="H63" s="10" t="n">
        <v>19556</v>
      </c>
      <c r="I63" s="10" t="n">
        <v>188</v>
      </c>
      <c r="J63" s="10" t="n">
        <v>31331</v>
      </c>
      <c r="K63" s="10" t="n">
        <v>1349</v>
      </c>
      <c r="L63" s="10" t="n">
        <v>0</v>
      </c>
      <c r="M63" s="10" t="n">
        <v>0</v>
      </c>
      <c r="N63" s="10" t="n">
        <v>0</v>
      </c>
      <c r="O63" s="10" t="n">
        <v>22131</v>
      </c>
      <c r="P63" s="11"/>
      <c r="Q63" s="11"/>
      <c r="R63" s="11"/>
      <c r="S63" s="11"/>
      <c r="T63" s="12" t="str">
        <f aca="false">IF($C63="","",IFERROR(INDEX('Aisle Loss Data'!$B$2:$B$1931,MATCH(TRIM($C63)&amp;"|1",'Aisle Loss Data'!$E$2:$E$1931,0)),"No Loss")&amp;IFERROR(","&amp;INDEX('Aisle Loss Data'!$B$2:$B$1931,MATCH(TRIM($C63)&amp;"|2",'Aisle Loss Data'!$E$2:$E$1931,0)),""))</f>
        <v>C,G</v>
      </c>
      <c r="U63" s="13" t="n">
        <f aca="false">IF($C63="","",IFERROR(INDEX('Aisle Loss Data'!$C$2:$C$1931,MATCH(TRIM($C63)&amp;"|1",'Aisle Loss Data'!$E$2:$E$1931,0)),0)+IFERROR(INDEX('Aisle Loss Data'!$C$2:$C$1931,MATCH(TRIM($C63)&amp;"|2",'Aisle Loss Data'!$E$2:$E$1931,0)),0))</f>
        <v>18765.59</v>
      </c>
      <c r="V63" s="7"/>
      <c r="W63" s="7"/>
      <c r="X63" s="7"/>
      <c r="Y63" s="7"/>
      <c r="Z63" s="7"/>
    </row>
    <row r="64" customFormat="false" ht="15.75" hidden="false" customHeight="true" outlineLevel="0" collapsed="false">
      <c r="A64" s="8" t="s">
        <v>21</v>
      </c>
      <c r="B64" s="9" t="s">
        <v>22</v>
      </c>
      <c r="C64" s="8" t="s">
        <v>94</v>
      </c>
      <c r="D64" s="9" t="str">
        <f aca="false" t="array" ref="D64:D64">IF(C64="","",IFERROR(INDEX('CLM &amp; IM Mapping'!$B$2:$B$270,MATCH(TRIM(C64),'CLM &amp; IM Mapping'!$A$2:$A$270,0)),"Not Mapped"))</f>
        <v>Adhavan Subramani</v>
      </c>
      <c r="E64" s="9" t="str">
        <f aca="false" t="array" ref="E64:E64">IF(C64="","",IFERROR(INDEX('CLM &amp; IM Mapping'!$C$2:$C$270,MATCH(TRIM(C64),'CLM &amp; IM Mapping'!$A$2:$A$270,0)),"Not Mapped"))</f>
        <v>Mohammed Akbar</v>
      </c>
      <c r="F64" s="9" t="s">
        <v>27</v>
      </c>
      <c r="G64" s="10" t="n">
        <v>11541</v>
      </c>
      <c r="H64" s="10" t="n">
        <v>8646</v>
      </c>
      <c r="I64" s="10" t="n">
        <v>418</v>
      </c>
      <c r="J64" s="10" t="n">
        <v>230</v>
      </c>
      <c r="K64" s="10" t="n">
        <v>538</v>
      </c>
      <c r="L64" s="10" t="n">
        <v>0</v>
      </c>
      <c r="M64" s="10" t="n">
        <v>576</v>
      </c>
      <c r="N64" s="10" t="n">
        <v>0</v>
      </c>
      <c r="O64" s="10" t="n">
        <v>21949</v>
      </c>
      <c r="P64" s="11"/>
      <c r="Q64" s="11"/>
      <c r="R64" s="11"/>
      <c r="S64" s="11"/>
      <c r="T64" s="12" t="str">
        <f aca="false">IF($C64="","",IFERROR(INDEX('Aisle Loss Data'!$B$2:$B$1931,MATCH(TRIM($C64)&amp;"|1",'Aisle Loss Data'!$E$2:$E$1931,0)),"No Loss")&amp;IFERROR(","&amp;INDEX('Aisle Loss Data'!$B$2:$B$1931,MATCH(TRIM($C64)&amp;"|2",'Aisle Loss Data'!$E$2:$E$1931,0)),""))</f>
        <v>G,E</v>
      </c>
      <c r="U64" s="13" t="n">
        <f aca="false">IF($C64="","",IFERROR(INDEX('Aisle Loss Data'!$C$2:$C$1931,MATCH(TRIM($C64)&amp;"|1",'Aisle Loss Data'!$E$2:$E$1931,0)),0)+IFERROR(INDEX('Aisle Loss Data'!$C$2:$C$1931,MATCH(TRIM($C64)&amp;"|2",'Aisle Loss Data'!$E$2:$E$1931,0)),0))</f>
        <v>8515.34</v>
      </c>
      <c r="V64" s="7"/>
      <c r="W64" s="7"/>
      <c r="X64" s="7"/>
      <c r="Y64" s="7"/>
      <c r="Z64" s="7"/>
    </row>
    <row r="65" customFormat="false" ht="15.75" hidden="false" customHeight="true" outlineLevel="0" collapsed="false">
      <c r="A65" s="8" t="s">
        <v>21</v>
      </c>
      <c r="B65" s="9" t="s">
        <v>22</v>
      </c>
      <c r="C65" s="8" t="s">
        <v>95</v>
      </c>
      <c r="D65" s="9" t="str">
        <f aca="false" t="array" ref="D65:D65">IF(C65="","",IFERROR(INDEX('CLM &amp; IM Mapping'!$B$2:$B$270,MATCH(TRIM(C65),'CLM &amp; IM Mapping'!$A$2:$A$270,0)),"Not Mapped"))</f>
        <v>Suhas N</v>
      </c>
      <c r="E65" s="9" t="str">
        <f aca="false" t="array" ref="E65:E65">IF(C65="","",IFERROR(INDEX('CLM &amp; IM Mapping'!$C$2:$C$270,MATCH(TRIM(C65),'CLM &amp; IM Mapping'!$A$2:$A$270,0)),"Not Mapped"))</f>
        <v>Aravind S</v>
      </c>
      <c r="F65" s="9" t="s">
        <v>27</v>
      </c>
      <c r="G65" s="10" t="n">
        <v>7126</v>
      </c>
      <c r="H65" s="10" t="n">
        <v>13109</v>
      </c>
      <c r="I65" s="10" t="n">
        <v>0</v>
      </c>
      <c r="J65" s="10" t="n">
        <v>0</v>
      </c>
      <c r="K65" s="10" t="n">
        <v>1666</v>
      </c>
      <c r="L65" s="10" t="n">
        <v>0</v>
      </c>
      <c r="M65" s="10" t="n">
        <v>0</v>
      </c>
      <c r="N65" s="10" t="n">
        <v>0</v>
      </c>
      <c r="O65" s="10" t="n">
        <v>21901</v>
      </c>
      <c r="P65" s="11"/>
      <c r="Q65" s="11"/>
      <c r="R65" s="11" t="s">
        <v>96</v>
      </c>
      <c r="S65" s="11" t="n">
        <v>20000</v>
      </c>
      <c r="T65" s="12" t="str">
        <f aca="false">IF($C65="","",IFERROR(INDEX('Aisle Loss Data'!$B$2:$B$1931,MATCH(TRIM($C65)&amp;"|1",'Aisle Loss Data'!$E$2:$E$1931,0)),"No Loss")&amp;IFERROR(","&amp;INDEX('Aisle Loss Data'!$B$2:$B$1931,MATCH(TRIM($C65)&amp;"|2",'Aisle Loss Data'!$E$2:$E$1931,0)),""))</f>
        <v>C,H</v>
      </c>
      <c r="U65" s="13" t="n">
        <f aca="false">IF($C65="","",IFERROR(INDEX('Aisle Loss Data'!$C$2:$C$1931,MATCH(TRIM($C65)&amp;"|1",'Aisle Loss Data'!$E$2:$E$1931,0)),0)+IFERROR(INDEX('Aisle Loss Data'!$C$2:$C$1931,MATCH(TRIM($C65)&amp;"|2",'Aisle Loss Data'!$E$2:$E$1931,0)),0))</f>
        <v>7304.16</v>
      </c>
      <c r="V65" s="7"/>
      <c r="W65" s="7"/>
      <c r="X65" s="7"/>
      <c r="Y65" s="7"/>
      <c r="Z65" s="7"/>
    </row>
    <row r="66" customFormat="false" ht="15.75" hidden="false" customHeight="true" outlineLevel="0" collapsed="false">
      <c r="A66" s="8" t="s">
        <v>21</v>
      </c>
      <c r="B66" s="9" t="s">
        <v>22</v>
      </c>
      <c r="C66" s="8" t="s">
        <v>97</v>
      </c>
      <c r="D66" s="9" t="str">
        <f aca="false" t="array" ref="D66:D66">IF(C66="","",IFERROR(INDEX('CLM &amp; IM Mapping'!$B$2:$B$270,MATCH(TRIM(C66),'CLM &amp; IM Mapping'!$A$2:$A$270,0)),"Not Mapped"))</f>
        <v>Akshay P</v>
      </c>
      <c r="E66" s="9" t="str">
        <f aca="false" t="array" ref="E66:E66">IF(C66="","",IFERROR(INDEX('CLM &amp; IM Mapping'!$C$2:$C$270,MATCH(TRIM(C66),'CLM &amp; IM Mapping'!$A$2:$A$270,0)),"Not Mapped"))</f>
        <v>Srittam Dhal</v>
      </c>
      <c r="F66" s="9" t="s">
        <v>27</v>
      </c>
      <c r="G66" s="10" t="n">
        <v>10290</v>
      </c>
      <c r="H66" s="10" t="n">
        <v>10216</v>
      </c>
      <c r="I66" s="10" t="n">
        <v>0</v>
      </c>
      <c r="J66" s="10" t="n">
        <v>0</v>
      </c>
      <c r="K66" s="10" t="n">
        <v>593</v>
      </c>
      <c r="L66" s="10" t="n">
        <v>0</v>
      </c>
      <c r="M66" s="10" t="n">
        <v>0</v>
      </c>
      <c r="N66" s="10" t="n">
        <v>452</v>
      </c>
      <c r="O66" s="10" t="n">
        <v>21552</v>
      </c>
      <c r="P66" s="11"/>
      <c r="Q66" s="11"/>
      <c r="R66" s="11"/>
      <c r="S66" s="11"/>
      <c r="T66" s="12" t="str">
        <f aca="false">IF($C66="","",IFERROR(INDEX('Aisle Loss Data'!$B$2:$B$1931,MATCH(TRIM($C66)&amp;"|1",'Aisle Loss Data'!$E$2:$E$1931,0)),"No Loss")&amp;IFERROR(","&amp;INDEX('Aisle Loss Data'!$B$2:$B$1931,MATCH(TRIM($C66)&amp;"|2",'Aisle Loss Data'!$E$2:$E$1931,0)),""))</f>
        <v>J,N</v>
      </c>
      <c r="U66" s="13" t="n">
        <f aca="false">IF($C66="","",IFERROR(INDEX('Aisle Loss Data'!$C$2:$C$1931,MATCH(TRIM($C66)&amp;"|1",'Aisle Loss Data'!$E$2:$E$1931,0)),0)+IFERROR(INDEX('Aisle Loss Data'!$C$2:$C$1931,MATCH(TRIM($C66)&amp;"|2",'Aisle Loss Data'!$E$2:$E$1931,0)),0))</f>
        <v>12429.86</v>
      </c>
      <c r="V66" s="7"/>
      <c r="W66" s="7"/>
      <c r="X66" s="7"/>
      <c r="Y66" s="7"/>
      <c r="Z66" s="7"/>
    </row>
    <row r="67" customFormat="false" ht="15.75" hidden="false" customHeight="true" outlineLevel="0" collapsed="false">
      <c r="A67" s="8" t="s">
        <v>21</v>
      </c>
      <c r="B67" s="9" t="s">
        <v>22</v>
      </c>
      <c r="C67" s="8" t="s">
        <v>98</v>
      </c>
      <c r="D67" s="9" t="str">
        <f aca="false" t="array" ref="D67:D67">IF(C67="","",IFERROR(INDEX('CLM &amp; IM Mapping'!$B$2:$B$270,MATCH(TRIM(C67),'CLM &amp; IM Mapping'!$A$2:$A$270,0)),"Not Mapped"))</f>
        <v>Silambarasan E</v>
      </c>
      <c r="E67" s="9" t="str">
        <f aca="false" t="array" ref="E67:E67">IF(C67="","",IFERROR(INDEX('CLM &amp; IM Mapping'!$C$2:$C$270,MATCH(TRIM(C67),'CLM &amp; IM Mapping'!$A$2:$A$270,0)),"Not Mapped"))</f>
        <v>Arivind S</v>
      </c>
      <c r="F67" s="9" t="s">
        <v>27</v>
      </c>
      <c r="G67" s="10" t="n">
        <v>527</v>
      </c>
      <c r="H67" s="10" t="n">
        <v>14651</v>
      </c>
      <c r="I67" s="10" t="n">
        <v>599</v>
      </c>
      <c r="J67" s="10" t="n">
        <v>1905</v>
      </c>
      <c r="K67" s="10" t="n">
        <v>2728</v>
      </c>
      <c r="L67" s="10" t="n">
        <v>0</v>
      </c>
      <c r="M67" s="10" t="n">
        <v>179</v>
      </c>
      <c r="N67" s="10" t="n">
        <v>773</v>
      </c>
      <c r="O67" s="10" t="n">
        <v>21363</v>
      </c>
      <c r="P67" s="11"/>
      <c r="Q67" s="11"/>
      <c r="R67" s="11"/>
      <c r="S67" s="11"/>
      <c r="T67" s="12" t="str">
        <f aca="false">IF($C67="","",IFERROR(INDEX('Aisle Loss Data'!$B$2:$B$1931,MATCH(TRIM($C67)&amp;"|1",'Aisle Loss Data'!$E$2:$E$1931,0)),"No Loss")&amp;IFERROR(","&amp;INDEX('Aisle Loss Data'!$B$2:$B$1931,MATCH(TRIM($C67)&amp;"|2",'Aisle Loss Data'!$E$2:$E$1931,0)),""))</f>
        <v>H,D</v>
      </c>
      <c r="U67" s="13" t="n">
        <f aca="false">IF($C67="","",IFERROR(INDEX('Aisle Loss Data'!$C$2:$C$1931,MATCH(TRIM($C67)&amp;"|1",'Aisle Loss Data'!$E$2:$E$1931,0)),0)+IFERROR(INDEX('Aisle Loss Data'!$C$2:$C$1931,MATCH(TRIM($C67)&amp;"|2",'Aisle Loss Data'!$E$2:$E$1931,0)),0))</f>
        <v>22941.64</v>
      </c>
      <c r="V67" s="7"/>
      <c r="W67" s="7"/>
      <c r="X67" s="7"/>
      <c r="Y67" s="7"/>
      <c r="Z67" s="7"/>
    </row>
    <row r="68" customFormat="false" ht="15.75" hidden="false" customHeight="true" outlineLevel="0" collapsed="false">
      <c r="A68" s="8" t="s">
        <v>21</v>
      </c>
      <c r="B68" s="9" t="s">
        <v>99</v>
      </c>
      <c r="C68" s="8" t="s">
        <v>100</v>
      </c>
      <c r="D68" s="9" t="str">
        <f aca="false" t="array" ref="D68:D68">IF(C68="","",IFERROR(INDEX('CLM &amp; IM Mapping'!$B$2:$B$270,MATCH(TRIM(C68),'CLM &amp; IM Mapping'!$A$2:$A$270,0)),"Not Mapped"))</f>
        <v>Bangareppa CS</v>
      </c>
      <c r="E68" s="9" t="str">
        <f aca="false" t="array" ref="E68:E68">IF(C68="","",IFERROR(INDEX('CLM &amp; IM Mapping'!$C$2:$C$270,MATCH(TRIM(C68),'CLM &amp; IM Mapping'!$A$2:$A$270,0)),"Not Mapped"))</f>
        <v>Kishor K</v>
      </c>
      <c r="F68" s="9" t="s">
        <v>27</v>
      </c>
      <c r="G68" s="10" t="n">
        <v>18163</v>
      </c>
      <c r="H68" s="10" t="n">
        <v>1919</v>
      </c>
      <c r="I68" s="10" t="n">
        <v>0</v>
      </c>
      <c r="J68" s="10" t="n">
        <v>0</v>
      </c>
      <c r="K68" s="10" t="n">
        <v>735</v>
      </c>
      <c r="L68" s="10" t="n">
        <v>0</v>
      </c>
      <c r="M68" s="10" t="n">
        <v>0</v>
      </c>
      <c r="N68" s="10" t="n">
        <v>0</v>
      </c>
      <c r="O68" s="10" t="n">
        <v>20817</v>
      </c>
      <c r="P68" s="11"/>
      <c r="Q68" s="11"/>
      <c r="R68" s="11"/>
      <c r="S68" s="11"/>
      <c r="T68" s="12" t="str">
        <f aca="false">IF($C68="","",IFERROR(INDEX('Aisle Loss Data'!$B$2:$B$1931,MATCH(TRIM($C68)&amp;"|1",'Aisle Loss Data'!$E$2:$E$1931,0)),"No Loss")&amp;IFERROR(","&amp;INDEX('Aisle Loss Data'!$B$2:$B$1931,MATCH(TRIM($C68)&amp;"|2",'Aisle Loss Data'!$E$2:$E$1931,0)),""))</f>
        <v>B,A</v>
      </c>
      <c r="U68" s="13" t="n">
        <f aca="false">IF($C68="","",IFERROR(INDEX('Aisle Loss Data'!$C$2:$C$1931,MATCH(TRIM($C68)&amp;"|1",'Aisle Loss Data'!$E$2:$E$1931,0)),0)+IFERROR(INDEX('Aisle Loss Data'!$C$2:$C$1931,MATCH(TRIM($C68)&amp;"|2",'Aisle Loss Data'!$E$2:$E$1931,0)),0))</f>
        <v>791.57</v>
      </c>
      <c r="V68" s="7"/>
      <c r="W68" s="7"/>
      <c r="X68" s="7"/>
      <c r="Y68" s="7"/>
      <c r="Z68" s="7"/>
    </row>
    <row r="69" customFormat="false" ht="15.75" hidden="false" customHeight="true" outlineLevel="0" collapsed="false">
      <c r="A69" s="8" t="s">
        <v>21</v>
      </c>
      <c r="B69" s="9" t="s">
        <v>22</v>
      </c>
      <c r="C69" s="8" t="s">
        <v>101</v>
      </c>
      <c r="D69" s="9" t="str">
        <f aca="false" t="array" ref="D69:D69">IF(C69="","",IFERROR(INDEX('CLM &amp; IM Mapping'!$B$2:$B$270,MATCH(TRIM(C69),'CLM &amp; IM Mapping'!$A$2:$A$270,0)),"Not Mapped"))</f>
        <v>Silambarasan E</v>
      </c>
      <c r="E69" s="9" t="str">
        <f aca="false" t="array" ref="E69:E69">IF(C69="","",IFERROR(INDEX('CLM &amp; IM Mapping'!$C$2:$C$270,MATCH(TRIM(C69),'CLM &amp; IM Mapping'!$A$2:$A$270,0)),"Not Mapped"))</f>
        <v>Arivind S</v>
      </c>
      <c r="F69" s="9" t="s">
        <v>27</v>
      </c>
      <c r="G69" s="10" t="n">
        <v>8356</v>
      </c>
      <c r="H69" s="10" t="n">
        <v>9481</v>
      </c>
      <c r="I69" s="10" t="n">
        <v>1526</v>
      </c>
      <c r="J69" s="10" t="n">
        <v>0</v>
      </c>
      <c r="K69" s="10" t="n">
        <v>589</v>
      </c>
      <c r="L69" s="10" t="n">
        <v>0</v>
      </c>
      <c r="M69" s="10" t="n">
        <v>0</v>
      </c>
      <c r="N69" s="10" t="n">
        <v>0</v>
      </c>
      <c r="O69" s="10" t="n">
        <v>19952</v>
      </c>
      <c r="P69" s="11"/>
      <c r="Q69" s="11"/>
      <c r="R69" s="11"/>
      <c r="S69" s="11"/>
      <c r="T69" s="12" t="str">
        <f aca="false">IF($C69="","",IFERROR(INDEX('Aisle Loss Data'!$B$2:$B$1931,MATCH(TRIM($C69)&amp;"|1",'Aisle Loss Data'!$E$2:$E$1931,0)),"No Loss")&amp;IFERROR(","&amp;INDEX('Aisle Loss Data'!$B$2:$B$1931,MATCH(TRIM($C69)&amp;"|2",'Aisle Loss Data'!$E$2:$E$1931,0)),""))</f>
        <v>K,E</v>
      </c>
      <c r="U69" s="13" t="n">
        <f aca="false">IF($C69="","",IFERROR(INDEX('Aisle Loss Data'!$C$2:$C$1931,MATCH(TRIM($C69)&amp;"|1",'Aisle Loss Data'!$E$2:$E$1931,0)),0)+IFERROR(INDEX('Aisle Loss Data'!$C$2:$C$1931,MATCH(TRIM($C69)&amp;"|2",'Aisle Loss Data'!$E$2:$E$1931,0)),0))</f>
        <v>11236.78</v>
      </c>
      <c r="V69" s="7"/>
      <c r="W69" s="7"/>
      <c r="X69" s="7"/>
      <c r="Y69" s="7"/>
      <c r="Z69" s="7"/>
    </row>
    <row r="70" customFormat="false" ht="15.75" hidden="false" customHeight="true" outlineLevel="0" collapsed="false">
      <c r="A70" s="8" t="s">
        <v>21</v>
      </c>
      <c r="B70" s="9" t="s">
        <v>22</v>
      </c>
      <c r="C70" s="9" t="s">
        <v>102</v>
      </c>
      <c r="D70" s="9" t="str">
        <f aca="false" t="array" ref="D70:D70">IF(C70="","",IFERROR(INDEX('CLM &amp; IM Mapping'!$B$2:$B$270,MATCH(TRIM(C70),'CLM &amp; IM Mapping'!$A$2:$A$270,0)),"Not Mapped"))</f>
        <v>Ashwath S</v>
      </c>
      <c r="E70" s="9" t="str">
        <f aca="false" t="array" ref="E70:E70">IF(C70="","",IFERROR(INDEX('CLM &amp; IM Mapping'!$C$2:$C$270,MATCH(TRIM(C70),'CLM &amp; IM Mapping'!$A$2:$A$270,0)),"Not Mapped"))</f>
        <v>Kantha Kumar</v>
      </c>
      <c r="F70" s="9" t="s">
        <v>27</v>
      </c>
      <c r="G70" s="10" t="n">
        <v>7252</v>
      </c>
      <c r="H70" s="10" t="n">
        <v>9912</v>
      </c>
      <c r="I70" s="10" t="n">
        <v>38</v>
      </c>
      <c r="J70" s="10" t="n">
        <v>2129</v>
      </c>
      <c r="K70" s="10" t="n">
        <v>187</v>
      </c>
      <c r="L70" s="10" t="n">
        <v>0</v>
      </c>
      <c r="M70" s="10" t="n">
        <v>0</v>
      </c>
      <c r="N70" s="10" t="n">
        <v>0</v>
      </c>
      <c r="O70" s="10" t="n">
        <v>19518</v>
      </c>
      <c r="P70" s="11"/>
      <c r="Q70" s="11"/>
      <c r="R70" s="11"/>
      <c r="S70" s="11"/>
      <c r="T70" s="12" t="str">
        <f aca="false">IF($C70="","",IFERROR(INDEX('Aisle Loss Data'!$B$2:$B$1931,MATCH(TRIM($C70)&amp;"|1",'Aisle Loss Data'!$E$2:$E$1931,0)),"No Loss")&amp;IFERROR(","&amp;INDEX('Aisle Loss Data'!$B$2:$B$1931,MATCH(TRIM($C70)&amp;"|2",'Aisle Loss Data'!$E$2:$E$1931,0)),""))</f>
        <v>I,H</v>
      </c>
      <c r="U70" s="13" t="n">
        <f aca="false">IF($C70="","",IFERROR(INDEX('Aisle Loss Data'!$C$2:$C$1931,MATCH(TRIM($C70)&amp;"|1",'Aisle Loss Data'!$E$2:$E$1931,0)),0)+IFERROR(INDEX('Aisle Loss Data'!$C$2:$C$1931,MATCH(TRIM($C70)&amp;"|2",'Aisle Loss Data'!$E$2:$E$1931,0)),0))</f>
        <v>49699.25</v>
      </c>
      <c r="V70" s="7"/>
      <c r="W70" s="7"/>
      <c r="X70" s="7"/>
      <c r="Y70" s="7"/>
      <c r="Z70" s="7"/>
    </row>
    <row r="71" customFormat="false" ht="15.75" hidden="false" customHeight="true" outlineLevel="0" collapsed="false">
      <c r="A71" s="8" t="s">
        <v>21</v>
      </c>
      <c r="B71" s="9" t="s">
        <v>22</v>
      </c>
      <c r="C71" s="8" t="s">
        <v>103</v>
      </c>
      <c r="D71" s="9" t="str">
        <f aca="false" t="array" ref="D71:D71">IF(C71="","",IFERROR(INDEX('CLM &amp; IM Mapping'!$B$2:$B$270,MATCH(TRIM(C71),'CLM &amp; IM Mapping'!$A$2:$A$270,0)),"Not Mapped"))</f>
        <v>Arun Raj</v>
      </c>
      <c r="E71" s="9" t="str">
        <f aca="false" t="array" ref="E71:E71">IF(C71="","",IFERROR(INDEX('CLM &amp; IM Mapping'!$C$2:$C$270,MATCH(TRIM(C71),'CLM &amp; IM Mapping'!$A$2:$A$270,0)),"Not Mapped"))</f>
        <v>Simon Manoharan</v>
      </c>
      <c r="F71" s="9" t="s">
        <v>24</v>
      </c>
      <c r="G71" s="10" t="n">
        <v>6867</v>
      </c>
      <c r="H71" s="10" t="n">
        <v>11317</v>
      </c>
      <c r="I71" s="10" t="n">
        <v>0</v>
      </c>
      <c r="J71" s="10" t="n">
        <v>0</v>
      </c>
      <c r="K71" s="10" t="n">
        <v>876</v>
      </c>
      <c r="L71" s="10" t="n">
        <v>0</v>
      </c>
      <c r="M71" s="10" t="n">
        <v>0</v>
      </c>
      <c r="N71" s="10" t="n">
        <v>0</v>
      </c>
      <c r="O71" s="10" t="n">
        <v>19060</v>
      </c>
      <c r="P71" s="11"/>
      <c r="Q71" s="11"/>
      <c r="R71" s="11"/>
      <c r="S71" s="11"/>
      <c r="T71" s="12" t="str">
        <f aca="false">IF($C71="","",IFERROR(INDEX('Aisle Loss Data'!$B$2:$B$1931,MATCH(TRIM($C71)&amp;"|1",'Aisle Loss Data'!$E$2:$E$1931,0)),"No Loss")&amp;IFERROR(","&amp;INDEX('Aisle Loss Data'!$B$2:$B$1931,MATCH(TRIM($C71)&amp;"|2",'Aisle Loss Data'!$E$2:$E$1931,0)),""))</f>
        <v>D,F</v>
      </c>
      <c r="U71" s="13" t="n">
        <f aca="false">IF($C71="","",IFERROR(INDEX('Aisle Loss Data'!$C$2:$C$1931,MATCH(TRIM($C71)&amp;"|1",'Aisle Loss Data'!$E$2:$E$1931,0)),0)+IFERROR(INDEX('Aisle Loss Data'!$C$2:$C$1931,MATCH(TRIM($C71)&amp;"|2",'Aisle Loss Data'!$E$2:$E$1931,0)),0))</f>
        <v>5123.55</v>
      </c>
      <c r="V71" s="7"/>
      <c r="W71" s="7"/>
      <c r="X71" s="7"/>
      <c r="Y71" s="7"/>
      <c r="Z71" s="7"/>
    </row>
    <row r="72" customFormat="false" ht="15.75" hidden="false" customHeight="true" outlineLevel="0" collapsed="false">
      <c r="A72" s="8" t="s">
        <v>21</v>
      </c>
      <c r="B72" s="9" t="s">
        <v>104</v>
      </c>
      <c r="C72" s="8" t="s">
        <v>105</v>
      </c>
      <c r="D72" s="9" t="str">
        <f aca="false" t="array" ref="D72:D72">IF(C72="","",IFERROR(INDEX('CLM &amp; IM Mapping'!$B$2:$B$270,MATCH(TRIM(C72),'CLM &amp; IM Mapping'!$A$2:$A$270,0)),"Not Mapped"))</f>
        <v>Vishnu V</v>
      </c>
      <c r="E72" s="9" t="str">
        <f aca="false" t="array" ref="E72:E72">IF(C72="","",IFERROR(INDEX('CLM &amp; IM Mapping'!$C$2:$C$270,MATCH(TRIM(C72),'CLM &amp; IM Mapping'!$A$2:$A$270,0)),"Not Mapped"))</f>
        <v>Arivind S</v>
      </c>
      <c r="F72" s="9" t="s">
        <v>27</v>
      </c>
      <c r="G72" s="10" t="n">
        <v>-14100</v>
      </c>
      <c r="H72" s="10" t="n">
        <v>14892</v>
      </c>
      <c r="I72" s="10" t="n">
        <v>1759</v>
      </c>
      <c r="J72" s="10" t="n">
        <v>263</v>
      </c>
      <c r="K72" s="10" t="n">
        <v>110</v>
      </c>
      <c r="L72" s="10" t="n">
        <v>0</v>
      </c>
      <c r="M72" s="10" t="n">
        <v>15548</v>
      </c>
      <c r="N72" s="10" t="n">
        <v>0</v>
      </c>
      <c r="O72" s="10" t="n">
        <v>18472</v>
      </c>
      <c r="P72" s="11"/>
      <c r="Q72" s="11"/>
      <c r="R72" s="11"/>
      <c r="S72" s="11"/>
      <c r="T72" s="12" t="str">
        <f aca="false">IF($C72="","",IFERROR(INDEX('Aisle Loss Data'!$B$2:$B$1931,MATCH(TRIM($C72)&amp;"|1",'Aisle Loss Data'!$E$2:$E$1931,0)),"No Loss")&amp;IFERROR(","&amp;INDEX('Aisle Loss Data'!$B$2:$B$1931,MATCH(TRIM($C72)&amp;"|2",'Aisle Loss Data'!$E$2:$E$1931,0)),""))</f>
        <v>F,A</v>
      </c>
      <c r="U72" s="13" t="n">
        <f aca="false">IF($C72="","",IFERROR(INDEX('Aisle Loss Data'!$C$2:$C$1931,MATCH(TRIM($C72)&amp;"|1",'Aisle Loss Data'!$E$2:$E$1931,0)),0)+IFERROR(INDEX('Aisle Loss Data'!$C$2:$C$1931,MATCH(TRIM($C72)&amp;"|2",'Aisle Loss Data'!$E$2:$E$1931,0)),0))</f>
        <v>5539.69</v>
      </c>
      <c r="V72" s="7"/>
      <c r="W72" s="7"/>
      <c r="X72" s="7"/>
      <c r="Y72" s="7"/>
      <c r="Z72" s="7"/>
    </row>
    <row r="73" customFormat="false" ht="15.75" hidden="false" customHeight="true" outlineLevel="0" collapsed="false">
      <c r="A73" s="8" t="s">
        <v>21</v>
      </c>
      <c r="B73" s="9" t="s">
        <v>104</v>
      </c>
      <c r="C73" s="8" t="s">
        <v>106</v>
      </c>
      <c r="D73" s="9" t="str">
        <f aca="false" t="array" ref="D73:D73">IF(C73="","",IFERROR(INDEX('CLM &amp; IM Mapping'!$B$2:$B$270,MATCH(TRIM(C73),'CLM &amp; IM Mapping'!$A$2:$A$270,0)),"Not Mapped"))</f>
        <v>Vishnu V</v>
      </c>
      <c r="E73" s="9" t="str">
        <f aca="false" t="array" ref="E73:E73">IF(C73="","",IFERROR(INDEX('CLM &amp; IM Mapping'!$C$2:$C$270,MATCH(TRIM(C73),'CLM &amp; IM Mapping'!$A$2:$A$270,0)),"Not Mapped"))</f>
        <v>Arivind S</v>
      </c>
      <c r="F73" s="9" t="s">
        <v>24</v>
      </c>
      <c r="G73" s="10" t="n">
        <v>122</v>
      </c>
      <c r="H73" s="10" t="n">
        <v>17260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17382</v>
      </c>
      <c r="P73" s="11"/>
      <c r="Q73" s="11"/>
      <c r="R73" s="11"/>
      <c r="S73" s="11"/>
      <c r="T73" s="12" t="str">
        <f aca="false">IF($C73="","",IFERROR(INDEX('Aisle Loss Data'!$B$2:$B$1931,MATCH(TRIM($C73)&amp;"|1",'Aisle Loss Data'!$E$2:$E$1931,0)),"No Loss")&amp;IFERROR(","&amp;INDEX('Aisle Loss Data'!$B$2:$B$1931,MATCH(TRIM($C73)&amp;"|2",'Aisle Loss Data'!$E$2:$E$1931,0)),""))</f>
        <v>B,G</v>
      </c>
      <c r="U73" s="13" t="n">
        <f aca="false">IF($C73="","",IFERROR(INDEX('Aisle Loss Data'!$C$2:$C$1931,MATCH(TRIM($C73)&amp;"|1",'Aisle Loss Data'!$E$2:$E$1931,0)),0)+IFERROR(INDEX('Aisle Loss Data'!$C$2:$C$1931,MATCH(TRIM($C73)&amp;"|2",'Aisle Loss Data'!$E$2:$E$1931,0)),0))</f>
        <v>7554.37</v>
      </c>
      <c r="V73" s="7"/>
      <c r="W73" s="7"/>
      <c r="X73" s="7"/>
      <c r="Y73" s="7"/>
      <c r="Z73" s="7"/>
    </row>
    <row r="74" customFormat="false" ht="15.75" hidden="false" customHeight="true" outlineLevel="0" collapsed="false">
      <c r="A74" s="8" t="s">
        <v>21</v>
      </c>
      <c r="B74" s="9" t="s">
        <v>22</v>
      </c>
      <c r="C74" s="8" t="s">
        <v>107</v>
      </c>
      <c r="D74" s="9" t="str">
        <f aca="false" t="array" ref="D74:D74">IF(C74="","",IFERROR(INDEX('CLM &amp; IM Mapping'!$B$2:$B$270,MATCH(TRIM(C74),'CLM &amp; IM Mapping'!$A$2:$A$270,0)),"Not Mapped"))</f>
        <v>Manoj Kj</v>
      </c>
      <c r="E74" s="9" t="str">
        <f aca="false" t="array" ref="E74:E74">IF(C74="","",IFERROR(INDEX('CLM &amp; IM Mapping'!$C$2:$C$270,MATCH(TRIM(C74),'CLM &amp; IM Mapping'!$A$2:$A$270,0)),"Not Mapped"))</f>
        <v>Srittam Dhal</v>
      </c>
      <c r="F74" s="9" t="s">
        <v>27</v>
      </c>
      <c r="G74" s="10" t="n">
        <v>84</v>
      </c>
      <c r="H74" s="10" t="n">
        <v>0</v>
      </c>
      <c r="I74" s="10" t="n">
        <v>0</v>
      </c>
      <c r="J74" s="10" t="n">
        <v>16377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16461</v>
      </c>
      <c r="P74" s="11"/>
      <c r="Q74" s="11"/>
      <c r="R74" s="11"/>
      <c r="S74" s="11"/>
      <c r="T74" s="12" t="str">
        <f aca="false">IF($C74="","",IFERROR(INDEX('Aisle Loss Data'!$B$2:$B$1931,MATCH(TRIM($C74)&amp;"|1",'Aisle Loss Data'!$E$2:$E$1931,0)),"No Loss")&amp;IFERROR(","&amp;INDEX('Aisle Loss Data'!$B$2:$B$1931,MATCH(TRIM($C74)&amp;"|2",'Aisle Loss Data'!$E$2:$E$1931,0)),""))</f>
        <v>F,H</v>
      </c>
      <c r="U74" s="13" t="n">
        <f aca="false">IF($C74="","",IFERROR(INDEX('Aisle Loss Data'!$C$2:$C$1931,MATCH(TRIM($C74)&amp;"|1",'Aisle Loss Data'!$E$2:$E$1931,0)),0)+IFERROR(INDEX('Aisle Loss Data'!$C$2:$C$1931,MATCH(TRIM($C74)&amp;"|2",'Aisle Loss Data'!$E$2:$E$1931,0)),0))</f>
        <v>84.4</v>
      </c>
      <c r="V74" s="7"/>
      <c r="W74" s="7"/>
      <c r="X74" s="7"/>
      <c r="Y74" s="7"/>
      <c r="Z74" s="7"/>
    </row>
    <row r="75" customFormat="false" ht="15.75" hidden="false" customHeight="true" outlineLevel="0" collapsed="false">
      <c r="A75" s="8" t="s">
        <v>21</v>
      </c>
      <c r="B75" s="9" t="s">
        <v>22</v>
      </c>
      <c r="C75" s="8" t="s">
        <v>108</v>
      </c>
      <c r="D75" s="9" t="str">
        <f aca="false" t="array" ref="D75:D75">IF(C75="","",IFERROR(INDEX('CLM &amp; IM Mapping'!$B$2:$B$270,MATCH(TRIM(C75),'CLM &amp; IM Mapping'!$A$2:$A$270,0)),"Not Mapped"))</f>
        <v>Vijay M</v>
      </c>
      <c r="E75" s="9" t="str">
        <f aca="false" t="array" ref="E75:E75">IF(C75="","",IFERROR(INDEX('CLM &amp; IM Mapping'!$C$2:$C$270,MATCH(TRIM(C75),'CLM &amp; IM Mapping'!$A$2:$A$270,0)),"Not Mapped"))</f>
        <v>Kantha Kumar</v>
      </c>
      <c r="F75" s="9" t="s">
        <v>27</v>
      </c>
      <c r="G75" s="10" t="n">
        <v>-2679</v>
      </c>
      <c r="H75" s="10" t="n">
        <v>15849</v>
      </c>
      <c r="I75" s="10" t="n">
        <v>0</v>
      </c>
      <c r="J75" s="10" t="n">
        <v>60</v>
      </c>
      <c r="K75" s="10" t="n">
        <v>1571</v>
      </c>
      <c r="L75" s="10" t="n">
        <v>0</v>
      </c>
      <c r="M75" s="10" t="n">
        <v>1559</v>
      </c>
      <c r="N75" s="10" t="n">
        <v>0</v>
      </c>
      <c r="O75" s="10" t="n">
        <v>16360</v>
      </c>
      <c r="P75" s="11"/>
      <c r="Q75" s="11"/>
      <c r="R75" s="11"/>
      <c r="S75" s="11"/>
      <c r="T75" s="12" t="str">
        <f aca="false">IF($C75="","",IFERROR(INDEX('Aisle Loss Data'!$B$2:$B$1931,MATCH(TRIM($C75)&amp;"|1",'Aisle Loss Data'!$E$2:$E$1931,0)),"No Loss")&amp;IFERROR(","&amp;INDEX('Aisle Loss Data'!$B$2:$B$1931,MATCH(TRIM($C75)&amp;"|2",'Aisle Loss Data'!$E$2:$E$1931,0)),""))</f>
        <v>M,L</v>
      </c>
      <c r="U75" s="13" t="n">
        <f aca="false">IF($C75="","",IFERROR(INDEX('Aisle Loss Data'!$C$2:$C$1931,MATCH(TRIM($C75)&amp;"|1",'Aisle Loss Data'!$E$2:$E$1931,0)),0)+IFERROR(INDEX('Aisle Loss Data'!$C$2:$C$1931,MATCH(TRIM($C75)&amp;"|2",'Aisle Loss Data'!$E$2:$E$1931,0)),0))</f>
        <v>17398.33</v>
      </c>
      <c r="V75" s="7"/>
      <c r="W75" s="7"/>
      <c r="X75" s="7"/>
      <c r="Y75" s="7"/>
      <c r="Z75" s="7"/>
    </row>
    <row r="76" customFormat="false" ht="15.75" hidden="false" customHeight="true" outlineLevel="0" collapsed="false">
      <c r="A76" s="8" t="s">
        <v>21</v>
      </c>
      <c r="B76" s="9" t="s">
        <v>22</v>
      </c>
      <c r="C76" s="8" t="s">
        <v>109</v>
      </c>
      <c r="D76" s="9" t="str">
        <f aca="false" t="array" ref="D76:D76">IF(C76="","",IFERROR(INDEX('CLM &amp; IM Mapping'!$B$2:$B$270,MATCH(TRIM(C76),'CLM &amp; IM Mapping'!$A$2:$A$270,0)),"Not Mapped"))</f>
        <v>Arun Raj</v>
      </c>
      <c r="E76" s="9" t="str">
        <f aca="false" t="array" ref="E76:E76">IF(C76="","",IFERROR(INDEX('CLM &amp; IM Mapping'!$C$2:$C$270,MATCH(TRIM(C76),'CLM &amp; IM Mapping'!$A$2:$A$270,0)),"Not Mapped"))</f>
        <v>Simon Manoharan</v>
      </c>
      <c r="F76" s="9" t="s">
        <v>24</v>
      </c>
      <c r="G76" s="10" t="n">
        <v>-2036</v>
      </c>
      <c r="H76" s="10" t="n">
        <v>111</v>
      </c>
      <c r="I76" s="10" t="n">
        <v>0</v>
      </c>
      <c r="J76" s="10" t="n">
        <v>0</v>
      </c>
      <c r="K76" s="10" t="n">
        <v>523</v>
      </c>
      <c r="L76" s="10" t="n">
        <v>0</v>
      </c>
      <c r="M76" s="10" t="n">
        <v>17559</v>
      </c>
      <c r="N76" s="10" t="n">
        <v>0</v>
      </c>
      <c r="O76" s="10" t="n">
        <v>16158</v>
      </c>
      <c r="P76" s="11"/>
      <c r="Q76" s="11"/>
      <c r="R76" s="11"/>
      <c r="S76" s="11"/>
      <c r="T76" s="12" t="str">
        <f aca="false">IF($C76="","",IFERROR(INDEX('Aisle Loss Data'!$B$2:$B$1931,MATCH(TRIM($C76)&amp;"|1",'Aisle Loss Data'!$E$2:$E$1931,0)),"No Loss")&amp;IFERROR(","&amp;INDEX('Aisle Loss Data'!$B$2:$B$1931,MATCH(TRIM($C76)&amp;"|2",'Aisle Loss Data'!$E$2:$E$1931,0)),""))</f>
        <v>A,ART</v>
      </c>
      <c r="U76" s="13" t="n">
        <f aca="false">IF($C76="","",IFERROR(INDEX('Aisle Loss Data'!$C$2:$C$1931,MATCH(TRIM($C76)&amp;"|1",'Aisle Loss Data'!$E$2:$E$1931,0)),0)+IFERROR(INDEX('Aisle Loss Data'!$C$2:$C$1931,MATCH(TRIM($C76)&amp;"|2",'Aisle Loss Data'!$E$2:$E$1931,0)),0))</f>
        <v>4602.58</v>
      </c>
      <c r="V76" s="7"/>
      <c r="W76" s="7"/>
      <c r="X76" s="7"/>
      <c r="Y76" s="7"/>
      <c r="Z76" s="7"/>
    </row>
    <row r="77" customFormat="false" ht="15.75" hidden="false" customHeight="true" outlineLevel="0" collapsed="false">
      <c r="A77" s="8" t="s">
        <v>21</v>
      </c>
      <c r="B77" s="9" t="s">
        <v>22</v>
      </c>
      <c r="C77" s="8" t="s">
        <v>110</v>
      </c>
      <c r="D77" s="9" t="str">
        <f aca="false" t="array" ref="D77:D77">IF(C77="","",IFERROR(INDEX('CLM &amp; IM Mapping'!$B$2:$B$270,MATCH(TRIM(C77),'CLM &amp; IM Mapping'!$A$2:$A$270,0)),"Not Mapped"))</f>
        <v>Arun Raj</v>
      </c>
      <c r="E77" s="9" t="str">
        <f aca="false" t="array" ref="E77:E77">IF(C77="","",IFERROR(INDEX('CLM &amp; IM Mapping'!$C$2:$C$270,MATCH(TRIM(C77),'CLM &amp; IM Mapping'!$A$2:$A$270,0)),"Not Mapped"))</f>
        <v>Simon Manoharan</v>
      </c>
      <c r="F77" s="9" t="s">
        <v>24</v>
      </c>
      <c r="G77" s="10" t="n">
        <v>137</v>
      </c>
      <c r="H77" s="10" t="n">
        <v>14237</v>
      </c>
      <c r="I77" s="10" t="n">
        <v>0</v>
      </c>
      <c r="J77" s="10" t="n">
        <v>0</v>
      </c>
      <c r="K77" s="10" t="n">
        <v>1674</v>
      </c>
      <c r="L77" s="10" t="n">
        <v>0</v>
      </c>
      <c r="M77" s="10" t="n">
        <v>0</v>
      </c>
      <c r="N77" s="10" t="n">
        <v>0</v>
      </c>
      <c r="O77" s="10" t="n">
        <v>16049</v>
      </c>
      <c r="P77" s="11"/>
      <c r="Q77" s="11"/>
      <c r="R77" s="11"/>
      <c r="S77" s="11"/>
      <c r="T77" s="12" t="str">
        <f aca="false">IF($C77="","",IFERROR(INDEX('Aisle Loss Data'!$B$2:$B$1931,MATCH(TRIM($C77)&amp;"|1",'Aisle Loss Data'!$E$2:$E$1931,0)),"No Loss")&amp;IFERROR(","&amp;INDEX('Aisle Loss Data'!$B$2:$B$1931,MATCH(TRIM($C77)&amp;"|2",'Aisle Loss Data'!$E$2:$E$1931,0)),""))</f>
        <v>O,F</v>
      </c>
      <c r="U77" s="13" t="n">
        <f aca="false">IF($C77="","",IFERROR(INDEX('Aisle Loss Data'!$C$2:$C$1931,MATCH(TRIM($C77)&amp;"|1",'Aisle Loss Data'!$E$2:$E$1931,0)),0)+IFERROR(INDEX('Aisle Loss Data'!$C$2:$C$1931,MATCH(TRIM($C77)&amp;"|2",'Aisle Loss Data'!$E$2:$E$1931,0)),0))</f>
        <v>6820.36</v>
      </c>
      <c r="V77" s="7"/>
      <c r="W77" s="7"/>
      <c r="X77" s="7"/>
      <c r="Y77" s="7"/>
      <c r="Z77" s="7"/>
    </row>
    <row r="78" customFormat="false" ht="15.75" hidden="false" customHeight="true" outlineLevel="0" collapsed="false">
      <c r="A78" s="8" t="s">
        <v>21</v>
      </c>
      <c r="B78" s="9" t="s">
        <v>22</v>
      </c>
      <c r="C78" s="8" t="s">
        <v>111</v>
      </c>
      <c r="D78" s="9" t="str">
        <f aca="false" t="array" ref="D78:D78">IF(C78="","",IFERROR(INDEX('CLM &amp; IM Mapping'!$B$2:$B$270,MATCH(TRIM(C78),'CLM &amp; IM Mapping'!$A$2:$A$270,0)),"Not Mapped"))</f>
        <v>Suhas N</v>
      </c>
      <c r="E78" s="9" t="str">
        <f aca="false" t="array" ref="E78:E78">IF(C78="","",IFERROR(INDEX('CLM &amp; IM Mapping'!$C$2:$C$270,MATCH(TRIM(C78),'CLM &amp; IM Mapping'!$A$2:$A$270,0)),"Not Mapped"))</f>
        <v>Aravind S</v>
      </c>
      <c r="F78" s="9" t="s">
        <v>27</v>
      </c>
      <c r="G78" s="10" t="n">
        <v>-2744</v>
      </c>
      <c r="H78" s="10" t="n">
        <v>5055</v>
      </c>
      <c r="I78" s="10" t="n">
        <v>0</v>
      </c>
      <c r="J78" s="10" t="n">
        <v>75</v>
      </c>
      <c r="K78" s="10" t="n">
        <v>7309</v>
      </c>
      <c r="L78" s="10" t="n">
        <v>0</v>
      </c>
      <c r="M78" s="10" t="n">
        <v>5831</v>
      </c>
      <c r="N78" s="10" t="n">
        <v>0</v>
      </c>
      <c r="O78" s="10" t="n">
        <v>15527</v>
      </c>
      <c r="P78" s="11"/>
      <c r="Q78" s="11"/>
      <c r="R78" s="11"/>
      <c r="S78" s="11"/>
      <c r="T78" s="12" t="str">
        <f aca="false">IF($C78="","",IFERROR(INDEX('Aisle Loss Data'!$B$2:$B$1931,MATCH(TRIM($C78)&amp;"|1",'Aisle Loss Data'!$E$2:$E$1931,0)),"No Loss")&amp;IFERROR(","&amp;INDEX('Aisle Loss Data'!$B$2:$B$1931,MATCH(TRIM($C78)&amp;"|2",'Aisle Loss Data'!$E$2:$E$1931,0)),""))</f>
        <v>G,H</v>
      </c>
      <c r="U78" s="13" t="n">
        <f aca="false">IF($C78="","",IFERROR(INDEX('Aisle Loss Data'!$C$2:$C$1931,MATCH(TRIM($C78)&amp;"|1",'Aisle Loss Data'!$E$2:$E$1931,0)),0)+IFERROR(INDEX('Aisle Loss Data'!$C$2:$C$1931,MATCH(TRIM($C78)&amp;"|2",'Aisle Loss Data'!$E$2:$E$1931,0)),0))</f>
        <v>28157.78</v>
      </c>
      <c r="V78" s="7"/>
      <c r="W78" s="7"/>
      <c r="X78" s="7"/>
      <c r="Y78" s="7"/>
      <c r="Z78" s="7"/>
    </row>
    <row r="79" customFormat="false" ht="15.75" hidden="false" customHeight="true" outlineLevel="0" collapsed="false">
      <c r="A79" s="8" t="s">
        <v>21</v>
      </c>
      <c r="B79" s="9" t="s">
        <v>22</v>
      </c>
      <c r="C79" s="8" t="s">
        <v>112</v>
      </c>
      <c r="D79" s="9" t="str">
        <f aca="false" t="array" ref="D79:D79">IF(C79="","",IFERROR(INDEX('CLM &amp; IM Mapping'!$B$2:$B$270,MATCH(TRIM(C79),'CLM &amp; IM Mapping'!$A$2:$A$270,0)),"Not Mapped"))</f>
        <v>Akshay P</v>
      </c>
      <c r="E79" s="9" t="str">
        <f aca="false" t="array" ref="E79:E79">IF(C79="","",IFERROR(INDEX('CLM &amp; IM Mapping'!$C$2:$C$270,MATCH(TRIM(C79),'CLM &amp; IM Mapping'!$A$2:$A$270,0)),"Not Mapped"))</f>
        <v>Srittam Dhal</v>
      </c>
      <c r="F79" s="9" t="s">
        <v>27</v>
      </c>
      <c r="G79" s="10" t="n">
        <v>12137</v>
      </c>
      <c r="H79" s="10" t="n">
        <v>1776</v>
      </c>
      <c r="I79" s="10" t="n">
        <v>51</v>
      </c>
      <c r="J79" s="10" t="n">
        <v>111</v>
      </c>
      <c r="K79" s="10" t="n">
        <v>1054</v>
      </c>
      <c r="L79" s="10" t="n">
        <v>0</v>
      </c>
      <c r="M79" s="10" t="n">
        <v>0</v>
      </c>
      <c r="N79" s="10" t="n">
        <v>0</v>
      </c>
      <c r="O79" s="10" t="n">
        <v>15130</v>
      </c>
      <c r="P79" s="11"/>
      <c r="Q79" s="11"/>
      <c r="R79" s="11"/>
      <c r="S79" s="11"/>
      <c r="T79" s="12" t="str">
        <f aca="false">IF($C79="","",IFERROR(INDEX('Aisle Loss Data'!$B$2:$B$1931,MATCH(TRIM($C79)&amp;"|1",'Aisle Loss Data'!$E$2:$E$1931,0)),"No Loss")&amp;IFERROR(","&amp;INDEX('Aisle Loss Data'!$B$2:$B$1931,MATCH(TRIM($C79)&amp;"|2",'Aisle Loss Data'!$E$2:$E$1931,0)),""))</f>
        <v>K,J</v>
      </c>
      <c r="U79" s="13" t="n">
        <f aca="false">IF($C79="","",IFERROR(INDEX('Aisle Loss Data'!$C$2:$C$1931,MATCH(TRIM($C79)&amp;"|1",'Aisle Loss Data'!$E$2:$E$1931,0)),0)+IFERROR(INDEX('Aisle Loss Data'!$C$2:$C$1931,MATCH(TRIM($C79)&amp;"|2",'Aisle Loss Data'!$E$2:$E$1931,0)),0))</f>
        <v>14320.14</v>
      </c>
      <c r="V79" s="7"/>
      <c r="W79" s="7"/>
      <c r="X79" s="7"/>
      <c r="Y79" s="7"/>
      <c r="Z79" s="7"/>
    </row>
    <row r="80" customFormat="false" ht="15.75" hidden="false" customHeight="true" outlineLevel="0" collapsed="false">
      <c r="A80" s="8" t="s">
        <v>21</v>
      </c>
      <c r="B80" s="9" t="s">
        <v>22</v>
      </c>
      <c r="C80" s="8" t="s">
        <v>113</v>
      </c>
      <c r="D80" s="9" t="str">
        <f aca="false" t="array" ref="D80:D80">IF(C80="","",IFERROR(INDEX('CLM &amp; IM Mapping'!$B$2:$B$270,MATCH(TRIM(C80),'CLM &amp; IM Mapping'!$A$2:$A$270,0)),"Not Mapped"))</f>
        <v>Suhas N</v>
      </c>
      <c r="E80" s="9" t="str">
        <f aca="false" t="array" ref="E80:E80">IF(C80="","",IFERROR(INDEX('CLM &amp; IM Mapping'!$C$2:$C$270,MATCH(TRIM(C80),'CLM &amp; IM Mapping'!$A$2:$A$270,0)),"Not Mapped"))</f>
        <v>Aravind S</v>
      </c>
      <c r="F80" s="9" t="s">
        <v>27</v>
      </c>
      <c r="G80" s="10" t="n">
        <v>-1601</v>
      </c>
      <c r="H80" s="10" t="n">
        <v>1285</v>
      </c>
      <c r="I80" s="10" t="n">
        <v>161</v>
      </c>
      <c r="J80" s="10" t="n">
        <v>11109</v>
      </c>
      <c r="K80" s="10" t="n">
        <v>3740</v>
      </c>
      <c r="L80" s="10" t="n">
        <v>0</v>
      </c>
      <c r="M80" s="10" t="n">
        <v>0</v>
      </c>
      <c r="N80" s="10" t="n">
        <v>0</v>
      </c>
      <c r="O80" s="10" t="n">
        <v>14693</v>
      </c>
      <c r="P80" s="11"/>
      <c r="Q80" s="11"/>
      <c r="R80" s="11"/>
      <c r="S80" s="11"/>
      <c r="T80" s="12" t="str">
        <f aca="false">IF($C80="","",IFERROR(INDEX('Aisle Loss Data'!$B$2:$B$1931,MATCH(TRIM($C80)&amp;"|1",'Aisle Loss Data'!$E$2:$E$1931,0)),"No Loss")&amp;IFERROR(","&amp;INDEX('Aisle Loss Data'!$B$2:$B$1931,MATCH(TRIM($C80)&amp;"|2",'Aisle Loss Data'!$E$2:$E$1931,0)),""))</f>
        <v>N,C</v>
      </c>
      <c r="U80" s="13" t="n">
        <f aca="false">IF($C80="","",IFERROR(INDEX('Aisle Loss Data'!$C$2:$C$1931,MATCH(TRIM($C80)&amp;"|1",'Aisle Loss Data'!$E$2:$E$1931,0)),0)+IFERROR(INDEX('Aisle Loss Data'!$C$2:$C$1931,MATCH(TRIM($C80)&amp;"|2",'Aisle Loss Data'!$E$2:$E$1931,0)),0))</f>
        <v>8085.6</v>
      </c>
      <c r="V80" s="7"/>
      <c r="W80" s="7"/>
      <c r="X80" s="7"/>
      <c r="Y80" s="7"/>
      <c r="Z80" s="7"/>
    </row>
    <row r="81" customFormat="false" ht="15.75" hidden="false" customHeight="true" outlineLevel="0" collapsed="false">
      <c r="A81" s="8" t="s">
        <v>21</v>
      </c>
      <c r="B81" s="9" t="s">
        <v>22</v>
      </c>
      <c r="C81" s="8" t="s">
        <v>114</v>
      </c>
      <c r="D81" s="9" t="str">
        <f aca="false" t="array" ref="D81:D81">IF(C81="","",IFERROR(INDEX('CLM &amp; IM Mapping'!$B$2:$B$270,MATCH(TRIM(C81),'CLM &amp; IM Mapping'!$A$2:$A$270,0)),"Not Mapped"))</f>
        <v>Sundaresh S</v>
      </c>
      <c r="E81" s="9" t="str">
        <f aca="false" t="array" ref="E81:E81">IF(C81="","",IFERROR(INDEX('CLM &amp; IM Mapping'!$C$2:$C$270,MATCH(TRIM(C81),'CLM &amp; IM Mapping'!$A$2:$A$270,0)),"Not Mapped"))</f>
        <v>Un Mapped</v>
      </c>
      <c r="F81" s="9" t="s">
        <v>27</v>
      </c>
      <c r="G81" s="10" t="n">
        <v>10126</v>
      </c>
      <c r="H81" s="10" t="n">
        <v>1106</v>
      </c>
      <c r="I81" s="10" t="n">
        <v>0</v>
      </c>
      <c r="J81" s="10" t="n">
        <v>274</v>
      </c>
      <c r="K81" s="10" t="n">
        <v>184</v>
      </c>
      <c r="L81" s="10" t="n">
        <v>0</v>
      </c>
      <c r="M81" s="10" t="n">
        <v>2985</v>
      </c>
      <c r="N81" s="10" t="n">
        <v>0</v>
      </c>
      <c r="O81" s="10" t="n">
        <v>14674</v>
      </c>
      <c r="P81" s="11"/>
      <c r="Q81" s="11"/>
      <c r="R81" s="11"/>
      <c r="S81" s="11"/>
      <c r="T81" s="12" t="str">
        <f aca="false">IF($C81="","",IFERROR(INDEX('Aisle Loss Data'!$B$2:$B$1931,MATCH(TRIM($C81)&amp;"|1",'Aisle Loss Data'!$E$2:$E$1931,0)),"No Loss")&amp;IFERROR(","&amp;INDEX('Aisle Loss Data'!$B$2:$B$1931,MATCH(TRIM($C81)&amp;"|2",'Aisle Loss Data'!$E$2:$E$1931,0)),""))</f>
        <v>O,D</v>
      </c>
      <c r="U81" s="13" t="n">
        <f aca="false">IF($C81="","",IFERROR(INDEX('Aisle Loss Data'!$C$2:$C$1931,MATCH(TRIM($C81)&amp;"|1",'Aisle Loss Data'!$E$2:$E$1931,0)),0)+IFERROR(INDEX('Aisle Loss Data'!$C$2:$C$1931,MATCH(TRIM($C81)&amp;"|2",'Aisle Loss Data'!$E$2:$E$1931,0)),0))</f>
        <v>26226.77</v>
      </c>
      <c r="V81" s="7"/>
      <c r="W81" s="7"/>
      <c r="X81" s="7"/>
      <c r="Y81" s="7"/>
      <c r="Z81" s="7"/>
    </row>
    <row r="82" customFormat="false" ht="15.75" hidden="false" customHeight="true" outlineLevel="0" collapsed="false">
      <c r="A82" s="8" t="s">
        <v>21</v>
      </c>
      <c r="B82" s="9" t="s">
        <v>22</v>
      </c>
      <c r="C82" s="8" t="s">
        <v>115</v>
      </c>
      <c r="D82" s="9" t="str">
        <f aca="false" t="array" ref="D82:D82">IF(C82="","",IFERROR(INDEX('CLM &amp; IM Mapping'!$B$2:$B$270,MATCH(TRIM(C82),'CLM &amp; IM Mapping'!$A$2:$A$270,0)),"Not Mapped"))</f>
        <v>Suhas N</v>
      </c>
      <c r="E82" s="9" t="str">
        <f aca="false" t="array" ref="E82:E82">IF(C82="","",IFERROR(INDEX('CLM &amp; IM Mapping'!$C$2:$C$270,MATCH(TRIM(C82),'CLM &amp; IM Mapping'!$A$2:$A$270,0)),"Not Mapped"))</f>
        <v>Aravind S</v>
      </c>
      <c r="F82" s="9" t="s">
        <v>27</v>
      </c>
      <c r="G82" s="10" t="n">
        <v>2224</v>
      </c>
      <c r="H82" s="10" t="n">
        <v>8085</v>
      </c>
      <c r="I82" s="10" t="n">
        <v>0</v>
      </c>
      <c r="J82" s="10" t="n">
        <v>1589</v>
      </c>
      <c r="K82" s="10" t="n">
        <v>165</v>
      </c>
      <c r="L82" s="10" t="n">
        <v>0</v>
      </c>
      <c r="M82" s="10" t="n">
        <v>1514</v>
      </c>
      <c r="N82" s="10" t="n">
        <v>0</v>
      </c>
      <c r="O82" s="10" t="n">
        <v>13576</v>
      </c>
      <c r="P82" s="11"/>
      <c r="Q82" s="11"/>
      <c r="R82" s="11"/>
      <c r="S82" s="11"/>
      <c r="T82" s="12" t="str">
        <f aca="false">IF($C82="","",IFERROR(INDEX('Aisle Loss Data'!$B$2:$B$1931,MATCH(TRIM($C82)&amp;"|1",'Aisle Loss Data'!$E$2:$E$1931,0)),"No Loss")&amp;IFERROR(","&amp;INDEX('Aisle Loss Data'!$B$2:$B$1931,MATCH(TRIM($C82)&amp;"|2",'Aisle Loss Data'!$E$2:$E$1931,0)),""))</f>
        <v>L,B</v>
      </c>
      <c r="U82" s="13" t="n">
        <f aca="false">IF($C82="","",IFERROR(INDEX('Aisle Loss Data'!$C$2:$C$1931,MATCH(TRIM($C82)&amp;"|1",'Aisle Loss Data'!$E$2:$E$1931,0)),0)+IFERROR(INDEX('Aisle Loss Data'!$C$2:$C$1931,MATCH(TRIM($C82)&amp;"|2",'Aisle Loss Data'!$E$2:$E$1931,0)),0))</f>
        <v>6007.21</v>
      </c>
      <c r="V82" s="7"/>
      <c r="W82" s="7"/>
      <c r="X82" s="7"/>
      <c r="Y82" s="7"/>
      <c r="Z82" s="7"/>
    </row>
    <row r="83" customFormat="false" ht="15.75" hidden="false" customHeight="true" outlineLevel="0" collapsed="false">
      <c r="A83" s="8" t="s">
        <v>21</v>
      </c>
      <c r="B83" s="9" t="s">
        <v>22</v>
      </c>
      <c r="C83" s="8" t="s">
        <v>116</v>
      </c>
      <c r="D83" s="9" t="str">
        <f aca="false" t="array" ref="D83:D83">IF(C83="","",IFERROR(INDEX('CLM &amp; IM Mapping'!$B$2:$B$270,MATCH(TRIM(C83),'CLM &amp; IM Mapping'!$A$2:$A$270,0)),"Not Mapped"))</f>
        <v>Adhavan Subramani</v>
      </c>
      <c r="E83" s="9" t="str">
        <f aca="false" t="array" ref="E83:E83">IF(C83="","",IFERROR(INDEX('CLM &amp; IM Mapping'!$C$2:$C$270,MATCH(TRIM(C83),'CLM &amp; IM Mapping'!$A$2:$A$270,0)),"Not Mapped"))</f>
        <v>Mohammed Akbar</v>
      </c>
      <c r="F83" s="9" t="s">
        <v>27</v>
      </c>
      <c r="G83" s="10" t="n">
        <v>-6675</v>
      </c>
      <c r="H83" s="10" t="n">
        <v>16761</v>
      </c>
      <c r="I83" s="10" t="n">
        <v>928</v>
      </c>
      <c r="J83" s="10" t="n">
        <v>420</v>
      </c>
      <c r="K83" s="10" t="n">
        <v>1098</v>
      </c>
      <c r="L83" s="10" t="n">
        <v>0</v>
      </c>
      <c r="M83" s="10" t="n">
        <v>59</v>
      </c>
      <c r="N83" s="10" t="n">
        <v>330</v>
      </c>
      <c r="O83" s="10" t="n">
        <v>12922</v>
      </c>
      <c r="P83" s="11"/>
      <c r="Q83" s="11"/>
      <c r="R83" s="11"/>
      <c r="S83" s="11"/>
      <c r="T83" s="12" t="str">
        <f aca="false">IF($C83="","",IFERROR(INDEX('Aisle Loss Data'!$B$2:$B$1931,MATCH(TRIM($C83)&amp;"|1",'Aisle Loss Data'!$E$2:$E$1931,0)),"No Loss")&amp;IFERROR(","&amp;INDEX('Aisle Loss Data'!$B$2:$B$1931,MATCH(TRIM($C83)&amp;"|2",'Aisle Loss Data'!$E$2:$E$1931,0)),""))</f>
        <v>C,E</v>
      </c>
      <c r="U83" s="13" t="n">
        <f aca="false">IF($C83="","",IFERROR(INDEX('Aisle Loss Data'!$C$2:$C$1931,MATCH(TRIM($C83)&amp;"|1",'Aisle Loss Data'!$E$2:$E$1931,0)),0)+IFERROR(INDEX('Aisle Loss Data'!$C$2:$C$1931,MATCH(TRIM($C83)&amp;"|2",'Aisle Loss Data'!$E$2:$E$1931,0)),0))</f>
        <v>11428.81</v>
      </c>
      <c r="V83" s="7"/>
      <c r="W83" s="7"/>
      <c r="X83" s="7"/>
      <c r="Y83" s="7"/>
      <c r="Z83" s="7"/>
    </row>
    <row r="84" customFormat="false" ht="15.75" hidden="false" customHeight="true" outlineLevel="0" collapsed="false">
      <c r="A84" s="8" t="s">
        <v>21</v>
      </c>
      <c r="B84" s="9" t="s">
        <v>22</v>
      </c>
      <c r="C84" s="9" t="s">
        <v>117</v>
      </c>
      <c r="D84" s="9" t="str">
        <f aca="false" t="array" ref="D84:D84">IF(C84="","",IFERROR(INDEX('CLM &amp; IM Mapping'!$B$2:$B$270,MATCH(TRIM(C84),'CLM &amp; IM Mapping'!$A$2:$A$270,0)),"Not Mapped"))</f>
        <v>Arun Raj</v>
      </c>
      <c r="E84" s="9" t="str">
        <f aca="false" t="array" ref="E84:E84">IF(C84="","",IFERROR(INDEX('CLM &amp; IM Mapping'!$C$2:$C$270,MATCH(TRIM(C84),'CLM &amp; IM Mapping'!$A$2:$A$270,0)),"Not Mapped"))</f>
        <v>Simon Manoharan</v>
      </c>
      <c r="F84" s="9" t="s">
        <v>24</v>
      </c>
      <c r="G84" s="10" t="n">
        <v>-2075</v>
      </c>
      <c r="H84" s="10" t="n">
        <v>12709</v>
      </c>
      <c r="I84" s="10" t="n">
        <v>0</v>
      </c>
      <c r="J84" s="10" t="n">
        <v>0</v>
      </c>
      <c r="K84" s="10" t="n">
        <v>1301</v>
      </c>
      <c r="L84" s="10" t="n">
        <v>0</v>
      </c>
      <c r="M84" s="10" t="n">
        <v>0</v>
      </c>
      <c r="N84" s="10" t="n">
        <v>0</v>
      </c>
      <c r="O84" s="10" t="n">
        <v>11936</v>
      </c>
      <c r="P84" s="11"/>
      <c r="Q84" s="11"/>
      <c r="R84" s="11"/>
      <c r="S84" s="11"/>
      <c r="T84" s="12" t="str">
        <f aca="false">IF($C84="","",IFERROR(INDEX('Aisle Loss Data'!$B$2:$B$1931,MATCH(TRIM($C84)&amp;"|1",'Aisle Loss Data'!$E$2:$E$1931,0)),"No Loss")&amp;IFERROR(","&amp;INDEX('Aisle Loss Data'!$B$2:$B$1931,MATCH(TRIM($C84)&amp;"|2",'Aisle Loss Data'!$E$2:$E$1931,0)),""))</f>
        <v>D,R</v>
      </c>
      <c r="U84" s="13" t="n">
        <f aca="false">IF($C84="","",IFERROR(INDEX('Aisle Loss Data'!$C$2:$C$1931,MATCH(TRIM($C84)&amp;"|1",'Aisle Loss Data'!$E$2:$E$1931,0)),0)+IFERROR(INDEX('Aisle Loss Data'!$C$2:$C$1931,MATCH(TRIM($C84)&amp;"|2",'Aisle Loss Data'!$E$2:$E$1931,0)),0))</f>
        <v>12433.99</v>
      </c>
      <c r="V84" s="7"/>
      <c r="W84" s="7"/>
      <c r="X84" s="7"/>
      <c r="Y84" s="7"/>
      <c r="Z84" s="7"/>
    </row>
    <row r="85" customFormat="false" ht="15.75" hidden="false" customHeight="true" outlineLevel="0" collapsed="false">
      <c r="A85" s="8" t="s">
        <v>21</v>
      </c>
      <c r="B85" s="9" t="s">
        <v>22</v>
      </c>
      <c r="C85" s="8" t="s">
        <v>118</v>
      </c>
      <c r="D85" s="9" t="str">
        <f aca="false" t="array" ref="D85:D85">IF(C85="","",IFERROR(INDEX('CLM &amp; IM Mapping'!$B$2:$B$270,MATCH(TRIM(C85),'CLM &amp; IM Mapping'!$A$2:$A$270,0)),"Not Mapped"))</f>
        <v>Akshay P</v>
      </c>
      <c r="E85" s="9" t="str">
        <f aca="false" t="array" ref="E85:E85">IF(C85="","",IFERROR(INDEX('CLM &amp; IM Mapping'!$C$2:$C$270,MATCH(TRIM(C85),'CLM &amp; IM Mapping'!$A$2:$A$270,0)),"Not Mapped"))</f>
        <v>Srittam Dhal</v>
      </c>
      <c r="F85" s="9" t="s">
        <v>27</v>
      </c>
      <c r="G85" s="10" t="n">
        <v>-2729</v>
      </c>
      <c r="H85" s="10" t="n">
        <v>14097</v>
      </c>
      <c r="I85" s="10" t="n">
        <v>0</v>
      </c>
      <c r="J85" s="10" t="n">
        <v>0</v>
      </c>
      <c r="K85" s="10" t="n">
        <v>273</v>
      </c>
      <c r="L85" s="10" t="n">
        <v>0</v>
      </c>
      <c r="M85" s="10" t="n">
        <v>0</v>
      </c>
      <c r="N85" s="10" t="n">
        <v>0</v>
      </c>
      <c r="O85" s="10" t="n">
        <v>11641</v>
      </c>
      <c r="P85" s="11"/>
      <c r="Q85" s="11"/>
      <c r="R85" s="11"/>
      <c r="S85" s="11"/>
      <c r="T85" s="12" t="str">
        <f aca="false">IF($C85="","",IFERROR(INDEX('Aisle Loss Data'!$B$2:$B$1931,MATCH(TRIM($C85)&amp;"|1",'Aisle Loss Data'!$E$2:$E$1931,0)),"No Loss")&amp;IFERROR(","&amp;INDEX('Aisle Loss Data'!$B$2:$B$1931,MATCH(TRIM($C85)&amp;"|2",'Aisle Loss Data'!$E$2:$E$1931,0)),""))</f>
        <v>A,H</v>
      </c>
      <c r="U85" s="13" t="n">
        <f aca="false">IF($C85="","",IFERROR(INDEX('Aisle Loss Data'!$C$2:$C$1931,MATCH(TRIM($C85)&amp;"|1",'Aisle Loss Data'!$E$2:$E$1931,0)),0)+IFERROR(INDEX('Aisle Loss Data'!$C$2:$C$1931,MATCH(TRIM($C85)&amp;"|2",'Aisle Loss Data'!$E$2:$E$1931,0)),0))</f>
        <v>10829.4</v>
      </c>
      <c r="V85" s="7"/>
      <c r="W85" s="7"/>
      <c r="X85" s="7"/>
      <c r="Y85" s="7"/>
      <c r="Z85" s="7"/>
    </row>
    <row r="86" customFormat="false" ht="15.75" hidden="false" customHeight="true" outlineLevel="0" collapsed="false">
      <c r="A86" s="8" t="s">
        <v>21</v>
      </c>
      <c r="B86" s="9" t="s">
        <v>104</v>
      </c>
      <c r="C86" s="8" t="s">
        <v>119</v>
      </c>
      <c r="D86" s="9" t="str">
        <f aca="false" t="array" ref="D86:D86">IF(C86="","",IFERROR(INDEX('CLM &amp; IM Mapping'!$B$2:$B$270,MATCH(TRIM(C86),'CLM &amp; IM Mapping'!$A$2:$A$270,0)),"Not Mapped"))</f>
        <v>Vishnu V</v>
      </c>
      <c r="E86" s="9" t="str">
        <f aca="false" t="array" ref="E86:E86">IF(C86="","",IFERROR(INDEX('CLM &amp; IM Mapping'!$C$2:$C$270,MATCH(TRIM(C86),'CLM &amp; IM Mapping'!$A$2:$A$270,0)),"Not Mapped"))</f>
        <v>Arivind S</v>
      </c>
      <c r="F86" s="9" t="s">
        <v>27</v>
      </c>
      <c r="G86" s="10" t="n">
        <v>1004</v>
      </c>
      <c r="H86" s="10" t="n">
        <v>8174</v>
      </c>
      <c r="I86" s="10" t="n">
        <v>281</v>
      </c>
      <c r="J86" s="10" t="n">
        <v>1371</v>
      </c>
      <c r="K86" s="10" t="n">
        <v>507</v>
      </c>
      <c r="L86" s="10" t="n">
        <v>0</v>
      </c>
      <c r="M86" s="10" t="n">
        <v>0</v>
      </c>
      <c r="N86" s="10" t="n">
        <v>0</v>
      </c>
      <c r="O86" s="10" t="n">
        <v>11337</v>
      </c>
      <c r="P86" s="11"/>
      <c r="Q86" s="11"/>
      <c r="R86" s="11"/>
      <c r="S86" s="11"/>
      <c r="T86" s="12" t="str">
        <f aca="false">IF($C86="","",IFERROR(INDEX('Aisle Loss Data'!$B$2:$B$1931,MATCH(TRIM($C86)&amp;"|1",'Aisle Loss Data'!$E$2:$E$1931,0)),"No Loss")&amp;IFERROR(","&amp;INDEX('Aisle Loss Data'!$B$2:$B$1931,MATCH(TRIM($C86)&amp;"|2",'Aisle Loss Data'!$E$2:$E$1931,0)),""))</f>
        <v>A,F</v>
      </c>
      <c r="U86" s="13" t="n">
        <f aca="false">IF($C86="","",IFERROR(INDEX('Aisle Loss Data'!$C$2:$C$1931,MATCH(TRIM($C86)&amp;"|1",'Aisle Loss Data'!$E$2:$E$1931,0)),0)+IFERROR(INDEX('Aisle Loss Data'!$C$2:$C$1931,MATCH(TRIM($C86)&amp;"|2",'Aisle Loss Data'!$E$2:$E$1931,0)),0))</f>
        <v>5393.1</v>
      </c>
      <c r="V86" s="7"/>
      <c r="W86" s="7"/>
      <c r="X86" s="7"/>
      <c r="Y86" s="7"/>
      <c r="Z86" s="7"/>
    </row>
    <row r="87" customFormat="false" ht="15.75" hidden="false" customHeight="true" outlineLevel="0" collapsed="false">
      <c r="A87" s="8" t="s">
        <v>21</v>
      </c>
      <c r="B87" s="9" t="s">
        <v>22</v>
      </c>
      <c r="C87" s="8" t="s">
        <v>120</v>
      </c>
      <c r="D87" s="9" t="str">
        <f aca="false" t="array" ref="D87:D87">IF(C87="","",IFERROR(INDEX('CLM &amp; IM Mapping'!$B$2:$B$270,MATCH(TRIM(C87),'CLM &amp; IM Mapping'!$A$2:$A$270,0)),"Not Mapped"))</f>
        <v>Basil Scariya</v>
      </c>
      <c r="E87" s="9" t="str">
        <f aca="false" t="array" ref="E87:E87">IF(C87="","",IFERROR(INDEX('CLM &amp; IM Mapping'!$C$2:$C$270,MATCH(TRIM(C87),'CLM &amp; IM Mapping'!$A$2:$A$270,0)),"Not Mapped"))</f>
        <v>Prakash BS</v>
      </c>
      <c r="F87" s="9" t="s">
        <v>27</v>
      </c>
      <c r="G87" s="10" t="n">
        <v>-14853</v>
      </c>
      <c r="H87" s="10" t="n">
        <v>19035</v>
      </c>
      <c r="I87" s="10" t="n">
        <v>0</v>
      </c>
      <c r="J87" s="10" t="n">
        <v>873</v>
      </c>
      <c r="K87" s="10" t="n">
        <v>3511</v>
      </c>
      <c r="L87" s="10" t="n">
        <v>0</v>
      </c>
      <c r="M87" s="10" t="n">
        <v>2507</v>
      </c>
      <c r="N87" s="10" t="n">
        <v>0</v>
      </c>
      <c r="O87" s="10" t="n">
        <v>11074</v>
      </c>
      <c r="P87" s="11"/>
      <c r="Q87" s="11"/>
      <c r="R87" s="11"/>
      <c r="S87" s="11"/>
      <c r="T87" s="12" t="str">
        <f aca="false">IF($C87="","",IFERROR(INDEX('Aisle Loss Data'!$B$2:$B$1931,MATCH(TRIM($C87)&amp;"|1",'Aisle Loss Data'!$E$2:$E$1931,0)),"No Loss")&amp;IFERROR(","&amp;INDEX('Aisle Loss Data'!$B$2:$B$1931,MATCH(TRIM($C87)&amp;"|2",'Aisle Loss Data'!$E$2:$E$1931,0)),""))</f>
        <v>B,I</v>
      </c>
      <c r="U87" s="13" t="n">
        <f aca="false">IF($C87="","",IFERROR(INDEX('Aisle Loss Data'!$C$2:$C$1931,MATCH(TRIM($C87)&amp;"|1",'Aisle Loss Data'!$E$2:$E$1931,0)),0)+IFERROR(INDEX('Aisle Loss Data'!$C$2:$C$1931,MATCH(TRIM($C87)&amp;"|2",'Aisle Loss Data'!$E$2:$E$1931,0)),0))</f>
        <v>42936.83</v>
      </c>
      <c r="V87" s="7"/>
      <c r="W87" s="7"/>
      <c r="X87" s="7"/>
      <c r="Y87" s="7"/>
      <c r="Z87" s="7"/>
    </row>
    <row r="88" customFormat="false" ht="15.75" hidden="false" customHeight="true" outlineLevel="0" collapsed="false">
      <c r="A88" s="8" t="s">
        <v>21</v>
      </c>
      <c r="B88" s="9" t="s">
        <v>22</v>
      </c>
      <c r="C88" s="8" t="s">
        <v>121</v>
      </c>
      <c r="D88" s="9" t="str">
        <f aca="false" t="array" ref="D88:D88">IF(C88="","",IFERROR(INDEX('CLM &amp; IM Mapping'!$B$2:$B$270,MATCH(TRIM(C88),'CLM &amp; IM Mapping'!$A$2:$A$270,0)),"Not Mapped"))</f>
        <v>Raghavendra Vernekar</v>
      </c>
      <c r="E88" s="9" t="str">
        <f aca="false" t="array" ref="E88:E88">IF(C88="","",IFERROR(INDEX('CLM &amp; IM Mapping'!$C$2:$C$270,MATCH(TRIM(C88),'CLM &amp; IM Mapping'!$A$2:$A$270,0)),"Not Mapped"))</f>
        <v>Prakash BS</v>
      </c>
      <c r="F88" s="9" t="s">
        <v>27</v>
      </c>
      <c r="G88" s="10" t="n">
        <v>-29868</v>
      </c>
      <c r="H88" s="10" t="n">
        <v>39442</v>
      </c>
      <c r="I88" s="10" t="n">
        <v>156</v>
      </c>
      <c r="J88" s="10" t="n">
        <v>119</v>
      </c>
      <c r="K88" s="10" t="n">
        <v>1093</v>
      </c>
      <c r="L88" s="10" t="n">
        <v>0</v>
      </c>
      <c r="M88" s="10" t="n">
        <v>0</v>
      </c>
      <c r="N88" s="10" t="n">
        <v>0</v>
      </c>
      <c r="O88" s="10" t="n">
        <v>10941</v>
      </c>
      <c r="P88" s="11"/>
      <c r="Q88" s="11"/>
      <c r="R88" s="11"/>
      <c r="S88" s="11"/>
      <c r="T88" s="12" t="str">
        <f aca="false">IF($C88="","",IFERROR(INDEX('Aisle Loss Data'!$B$2:$B$1931,MATCH(TRIM($C88)&amp;"|1",'Aisle Loss Data'!$E$2:$E$1931,0)),"No Loss")&amp;IFERROR(","&amp;INDEX('Aisle Loss Data'!$B$2:$B$1931,MATCH(TRIM($C88)&amp;"|2",'Aisle Loss Data'!$E$2:$E$1931,0)),""))</f>
        <v>I,K</v>
      </c>
      <c r="U88" s="13" t="n">
        <f aca="false">IF($C88="","",IFERROR(INDEX('Aisle Loss Data'!$C$2:$C$1931,MATCH(TRIM($C88)&amp;"|1",'Aisle Loss Data'!$E$2:$E$1931,0)),0)+IFERROR(INDEX('Aisle Loss Data'!$C$2:$C$1931,MATCH(TRIM($C88)&amp;"|2",'Aisle Loss Data'!$E$2:$E$1931,0)),0))</f>
        <v>11502.53</v>
      </c>
      <c r="V88" s="7"/>
      <c r="W88" s="7"/>
      <c r="X88" s="7"/>
      <c r="Y88" s="7"/>
      <c r="Z88" s="7"/>
    </row>
    <row r="89" customFormat="false" ht="15.75" hidden="false" customHeight="true" outlineLevel="0" collapsed="false">
      <c r="A89" s="8" t="s">
        <v>21</v>
      </c>
      <c r="B89" s="9" t="s">
        <v>22</v>
      </c>
      <c r="C89" s="8" t="s">
        <v>122</v>
      </c>
      <c r="D89" s="9" t="str">
        <f aca="false" t="array" ref="D89:D89">IF(C89="","",IFERROR(INDEX('CLM &amp; IM Mapping'!$B$2:$B$270,MATCH(TRIM(C89),'CLM &amp; IM Mapping'!$A$2:$A$270,0)),"Not Mapped"))</f>
        <v>Raghavendra Vernekar</v>
      </c>
      <c r="E89" s="9" t="str">
        <f aca="false" t="array" ref="E89:E89">IF(C89="","",IFERROR(INDEX('CLM &amp; IM Mapping'!$C$2:$C$270,MATCH(TRIM(C89),'CLM &amp; IM Mapping'!$A$2:$A$270,0)),"Not Mapped"))</f>
        <v>Prakash BS</v>
      </c>
      <c r="F89" s="9" t="s">
        <v>27</v>
      </c>
      <c r="G89" s="10" t="n">
        <v>-2622</v>
      </c>
      <c r="H89" s="10" t="n">
        <v>11454</v>
      </c>
      <c r="I89" s="10" t="n">
        <v>0</v>
      </c>
      <c r="J89" s="10" t="n">
        <v>815</v>
      </c>
      <c r="K89" s="10" t="n">
        <v>408</v>
      </c>
      <c r="L89" s="10" t="n">
        <v>0</v>
      </c>
      <c r="M89" s="10" t="n">
        <v>0</v>
      </c>
      <c r="N89" s="10" t="n">
        <v>0</v>
      </c>
      <c r="O89" s="10" t="n">
        <v>10056</v>
      </c>
      <c r="P89" s="11"/>
      <c r="Q89" s="11"/>
      <c r="R89" s="11"/>
      <c r="S89" s="11"/>
      <c r="T89" s="12" t="str">
        <f aca="false">IF($C89="","",IFERROR(INDEX('Aisle Loss Data'!$B$2:$B$1931,MATCH(TRIM($C89)&amp;"|1",'Aisle Loss Data'!$E$2:$E$1931,0)),"No Loss")&amp;IFERROR(","&amp;INDEX('Aisle Loss Data'!$B$2:$B$1931,MATCH(TRIM($C89)&amp;"|2",'Aisle Loss Data'!$E$2:$E$1931,0)),""))</f>
        <v>F,K</v>
      </c>
      <c r="U89" s="13" t="n">
        <f aca="false">IF($C89="","",IFERROR(INDEX('Aisle Loss Data'!$C$2:$C$1931,MATCH(TRIM($C89)&amp;"|1",'Aisle Loss Data'!$E$2:$E$1931,0)),0)+IFERROR(INDEX('Aisle Loss Data'!$C$2:$C$1931,MATCH(TRIM($C89)&amp;"|2",'Aisle Loss Data'!$E$2:$E$1931,0)),0))</f>
        <v>5095.91</v>
      </c>
      <c r="V89" s="7"/>
      <c r="W89" s="7"/>
      <c r="X89" s="7"/>
      <c r="Y89" s="7"/>
      <c r="Z89" s="7"/>
    </row>
    <row r="90" customFormat="false" ht="15.75" hidden="false" customHeight="true" outlineLevel="0" collapsed="false">
      <c r="A90" s="8" t="s">
        <v>21</v>
      </c>
      <c r="B90" s="9" t="s">
        <v>123</v>
      </c>
      <c r="C90" s="8" t="s">
        <v>124</v>
      </c>
      <c r="D90" s="9" t="str">
        <f aca="false" t="array" ref="D90:D90">IF(C90="","",IFERROR(INDEX('CLM &amp; IM Mapping'!$B$2:$B$270,MATCH(TRIM(C90),'CLM &amp; IM Mapping'!$A$2:$A$270,0)),"Not Mapped"))</f>
        <v>Majid Kakatikar</v>
      </c>
      <c r="E90" s="9" t="str">
        <f aca="false" t="array" ref="E90:E90">IF(C90="","",IFERROR(INDEX('CLM &amp; IM Mapping'!$C$2:$C$270,MATCH(TRIM(C90),'CLM &amp; IM Mapping'!$A$2:$A$270,0)),"Not Mapped"))</f>
        <v>Kishor K</v>
      </c>
      <c r="F90" s="9" t="s">
        <v>27</v>
      </c>
      <c r="G90" s="10" t="n">
        <v>4667</v>
      </c>
      <c r="H90" s="10" t="n">
        <v>4363</v>
      </c>
      <c r="I90" s="10" t="n">
        <v>0</v>
      </c>
      <c r="J90" s="10" t="n">
        <v>430</v>
      </c>
      <c r="K90" s="10" t="n">
        <v>85</v>
      </c>
      <c r="L90" s="10" t="n">
        <v>0</v>
      </c>
      <c r="M90" s="10" t="n">
        <v>0</v>
      </c>
      <c r="N90" s="10" t="n">
        <v>0</v>
      </c>
      <c r="O90" s="10" t="n">
        <v>9545</v>
      </c>
      <c r="P90" s="11"/>
      <c r="Q90" s="11"/>
      <c r="R90" s="11"/>
      <c r="S90" s="11"/>
      <c r="T90" s="12" t="str">
        <f aca="false">IF($C90="","",IFERROR(INDEX('Aisle Loss Data'!$B$2:$B$1931,MATCH(TRIM($C90)&amp;"|1",'Aisle Loss Data'!$E$2:$E$1931,0)),"No Loss")&amp;IFERROR(","&amp;INDEX('Aisle Loss Data'!$B$2:$B$1931,MATCH(TRIM($C90)&amp;"|2",'Aisle Loss Data'!$E$2:$E$1931,0)),""))</f>
        <v>O,A</v>
      </c>
      <c r="U90" s="13" t="n">
        <f aca="false">IF($C90="","",IFERROR(INDEX('Aisle Loss Data'!$C$2:$C$1931,MATCH(TRIM($C90)&amp;"|1",'Aisle Loss Data'!$E$2:$E$1931,0)),0)+IFERROR(INDEX('Aisle Loss Data'!$C$2:$C$1931,MATCH(TRIM($C90)&amp;"|2",'Aisle Loss Data'!$E$2:$E$1931,0)),0))</f>
        <v>2469.88</v>
      </c>
      <c r="V90" s="7"/>
      <c r="W90" s="7"/>
      <c r="X90" s="7"/>
      <c r="Y90" s="7"/>
      <c r="Z90" s="7"/>
    </row>
    <row r="91" customFormat="false" ht="15.75" hidden="false" customHeight="true" outlineLevel="0" collapsed="false">
      <c r="A91" s="8" t="s">
        <v>21</v>
      </c>
      <c r="B91" s="9" t="s">
        <v>22</v>
      </c>
      <c r="C91" s="8" t="s">
        <v>125</v>
      </c>
      <c r="D91" s="9" t="str">
        <f aca="false" t="array" ref="D91:D91">IF(C91="","",IFERROR(INDEX('CLM &amp; IM Mapping'!$B$2:$B$270,MATCH(TRIM(C91),'CLM &amp; IM Mapping'!$A$2:$A$270,0)),"Not Mapped"))</f>
        <v>Adhavan Subramani</v>
      </c>
      <c r="E91" s="9" t="str">
        <f aca="false" t="array" ref="E91:E91">IF(C91="","",IFERROR(INDEX('CLM &amp; IM Mapping'!$C$2:$C$270,MATCH(TRIM(C91),'CLM &amp; IM Mapping'!$A$2:$A$270,0)),"Not Mapped"))</f>
        <v>Mohammed Akbar</v>
      </c>
      <c r="F91" s="9" t="s">
        <v>27</v>
      </c>
      <c r="G91" s="10" t="n">
        <v>-1394</v>
      </c>
      <c r="H91" s="10" t="n">
        <v>0</v>
      </c>
      <c r="I91" s="10" t="n">
        <v>0</v>
      </c>
      <c r="J91" s="10" t="n">
        <v>0</v>
      </c>
      <c r="K91" s="10" t="n">
        <v>2014</v>
      </c>
      <c r="L91" s="10" t="n">
        <v>0</v>
      </c>
      <c r="M91" s="10" t="n">
        <v>8853</v>
      </c>
      <c r="N91" s="10" t="n">
        <v>0</v>
      </c>
      <c r="O91" s="10" t="n">
        <v>9473</v>
      </c>
      <c r="P91" s="11"/>
      <c r="Q91" s="11"/>
      <c r="R91" s="11"/>
      <c r="S91" s="11"/>
      <c r="T91" s="12" t="str">
        <f aca="false">IF($C91="","",IFERROR(INDEX('Aisle Loss Data'!$B$2:$B$1931,MATCH(TRIM($C91)&amp;"|1",'Aisle Loss Data'!$E$2:$E$1931,0)),"No Loss")&amp;IFERROR(","&amp;INDEX('Aisle Loss Data'!$B$2:$B$1931,MATCH(TRIM($C91)&amp;"|2",'Aisle Loss Data'!$E$2:$E$1931,0)),""))</f>
        <v>K,I</v>
      </c>
      <c r="U91" s="13" t="n">
        <f aca="false">IF($C91="","",IFERROR(INDEX('Aisle Loss Data'!$C$2:$C$1931,MATCH(TRIM($C91)&amp;"|1",'Aisle Loss Data'!$E$2:$E$1931,0)),0)+IFERROR(INDEX('Aisle Loss Data'!$C$2:$C$1931,MATCH(TRIM($C91)&amp;"|2",'Aisle Loss Data'!$E$2:$E$1931,0)),0))</f>
        <v>3177.56</v>
      </c>
      <c r="V91" s="7"/>
      <c r="W91" s="7"/>
      <c r="X91" s="7"/>
      <c r="Y91" s="7"/>
      <c r="Z91" s="7"/>
    </row>
    <row r="92" customFormat="false" ht="15.75" hidden="false" customHeight="true" outlineLevel="0" collapsed="false">
      <c r="A92" s="8" t="s">
        <v>21</v>
      </c>
      <c r="B92" s="9" t="s">
        <v>22</v>
      </c>
      <c r="C92" s="8" t="s">
        <v>126</v>
      </c>
      <c r="D92" s="9" t="str">
        <f aca="false" t="array" ref="D92:D92">IF(C92="","",IFERROR(INDEX('CLM &amp; IM Mapping'!$B$2:$B$270,MATCH(TRIM(C92),'CLM &amp; IM Mapping'!$A$2:$A$270,0)),"Not Mapped"))</f>
        <v>Balaji G</v>
      </c>
      <c r="E92" s="9" t="str">
        <f aca="false" t="array" ref="E92:E92">IF(C92="","",IFERROR(INDEX('CLM &amp; IM Mapping'!$C$2:$C$270,MATCH(TRIM(C92),'CLM &amp; IM Mapping'!$A$2:$A$270,0)),"Not Mapped"))</f>
        <v>Mohammed Akbar</v>
      </c>
      <c r="F92" s="9" t="s">
        <v>27</v>
      </c>
      <c r="G92" s="10" t="n">
        <v>5392</v>
      </c>
      <c r="H92" s="10" t="n">
        <v>3343</v>
      </c>
      <c r="I92" s="10" t="n">
        <v>207</v>
      </c>
      <c r="J92" s="10" t="n">
        <v>0</v>
      </c>
      <c r="K92" s="10" t="n">
        <v>226</v>
      </c>
      <c r="L92" s="10" t="n">
        <v>0</v>
      </c>
      <c r="M92" s="10" t="n">
        <v>297</v>
      </c>
      <c r="N92" s="10" t="n">
        <v>0</v>
      </c>
      <c r="O92" s="10" t="n">
        <v>9465</v>
      </c>
      <c r="P92" s="11"/>
      <c r="Q92" s="11"/>
      <c r="R92" s="11"/>
      <c r="S92" s="11"/>
      <c r="T92" s="12" t="str">
        <f aca="false">IF($C92="","",IFERROR(INDEX('Aisle Loss Data'!$B$2:$B$1931,MATCH(TRIM($C92)&amp;"|1",'Aisle Loss Data'!$E$2:$E$1931,0)),"No Loss")&amp;IFERROR(","&amp;INDEX('Aisle Loss Data'!$B$2:$B$1931,MATCH(TRIM($C92)&amp;"|2",'Aisle Loss Data'!$E$2:$E$1931,0)),""))</f>
        <v>Q,A</v>
      </c>
      <c r="U92" s="13" t="n">
        <f aca="false">IF($C92="","",IFERROR(INDEX('Aisle Loss Data'!$C$2:$C$1931,MATCH(TRIM($C92)&amp;"|1",'Aisle Loss Data'!$E$2:$E$1931,0)),0)+IFERROR(INDEX('Aisle Loss Data'!$C$2:$C$1931,MATCH(TRIM($C92)&amp;"|2",'Aisle Loss Data'!$E$2:$E$1931,0)),0))</f>
        <v>4726.48</v>
      </c>
      <c r="V92" s="7"/>
      <c r="W92" s="7"/>
      <c r="X92" s="7"/>
      <c r="Y92" s="7"/>
      <c r="Z92" s="7"/>
    </row>
    <row r="93" customFormat="false" ht="15.75" hidden="false" customHeight="true" outlineLevel="0" collapsed="false">
      <c r="A93" s="8" t="s">
        <v>21</v>
      </c>
      <c r="B93" s="9" t="s">
        <v>22</v>
      </c>
      <c r="C93" s="8" t="s">
        <v>127</v>
      </c>
      <c r="D93" s="9" t="str">
        <f aca="false" t="array" ref="D93:D93">IF(C93="","",IFERROR(INDEX('CLM &amp; IM Mapping'!$B$2:$B$270,MATCH(TRIM(C93),'CLM &amp; IM Mapping'!$A$2:$A$270,0)),"Not Mapped"))</f>
        <v>Rizwan Ahmed</v>
      </c>
      <c r="E93" s="9" t="str">
        <f aca="false" t="array" ref="E93:E93">IF(C93="","",IFERROR(INDEX('CLM &amp; IM Mapping'!$C$2:$C$270,MATCH(TRIM(C93),'CLM &amp; IM Mapping'!$A$2:$A$270,0)),"Not Mapped"))</f>
        <v>Prakash BS</v>
      </c>
      <c r="F93" s="9" t="s">
        <v>27</v>
      </c>
      <c r="G93" s="10" t="n">
        <v>-8700</v>
      </c>
      <c r="H93" s="10" t="n">
        <v>11408</v>
      </c>
      <c r="I93" s="10" t="n">
        <v>0</v>
      </c>
      <c r="J93" s="10" t="n">
        <v>0</v>
      </c>
      <c r="K93" s="10" t="n">
        <v>6176</v>
      </c>
      <c r="L93" s="10" t="n">
        <v>0</v>
      </c>
      <c r="M93" s="10" t="n">
        <v>0</v>
      </c>
      <c r="N93" s="10" t="n">
        <v>0</v>
      </c>
      <c r="O93" s="10" t="n">
        <v>8883</v>
      </c>
      <c r="P93" s="11"/>
      <c r="Q93" s="11"/>
      <c r="R93" s="11"/>
      <c r="S93" s="11"/>
      <c r="T93" s="12" t="str">
        <f aca="false">IF($C93="","",IFERROR(INDEX('Aisle Loss Data'!$B$2:$B$1931,MATCH(TRIM($C93)&amp;"|1",'Aisle Loss Data'!$E$2:$E$1931,0)),"No Loss")&amp;IFERROR(","&amp;INDEX('Aisle Loss Data'!$B$2:$B$1931,MATCH(TRIM($C93)&amp;"|2",'Aisle Loss Data'!$E$2:$E$1931,0)),""))</f>
        <v>I,M</v>
      </c>
      <c r="U93" s="13" t="n">
        <f aca="false">IF($C93="","",IFERROR(INDEX('Aisle Loss Data'!$C$2:$C$1931,MATCH(TRIM($C93)&amp;"|1",'Aisle Loss Data'!$E$2:$E$1931,0)),0)+IFERROR(INDEX('Aisle Loss Data'!$C$2:$C$1931,MATCH(TRIM($C93)&amp;"|2",'Aisle Loss Data'!$E$2:$E$1931,0)),0))</f>
        <v>12269.26</v>
      </c>
      <c r="V93" s="7"/>
      <c r="W93" s="7"/>
      <c r="X93" s="7"/>
      <c r="Y93" s="7"/>
      <c r="Z93" s="7"/>
    </row>
    <row r="94" customFormat="false" ht="15.75" hidden="false" customHeight="true" outlineLevel="0" collapsed="false">
      <c r="A94" s="8" t="s">
        <v>21</v>
      </c>
      <c r="B94" s="9" t="s">
        <v>22</v>
      </c>
      <c r="C94" s="8" t="s">
        <v>128</v>
      </c>
      <c r="D94" s="9" t="str">
        <f aca="false" t="array" ref="D94:D94">IF(C94="","",IFERROR(INDEX('CLM &amp; IM Mapping'!$B$2:$B$270,MATCH(TRIM(C94),'CLM &amp; IM Mapping'!$A$2:$A$270,0)),"Not Mapped"))</f>
        <v>Arun Raj</v>
      </c>
      <c r="E94" s="9" t="str">
        <f aca="false" t="array" ref="E94:E94">IF(C94="","",IFERROR(INDEX('CLM &amp; IM Mapping'!$C$2:$C$270,MATCH(TRIM(C94),'CLM &amp; IM Mapping'!$A$2:$A$270,0)),"Not Mapped"))</f>
        <v>Simon Manoharan</v>
      </c>
      <c r="F94" s="9" t="s">
        <v>24</v>
      </c>
      <c r="G94" s="10" t="n">
        <v>-2019</v>
      </c>
      <c r="H94" s="10" t="n">
        <v>6545</v>
      </c>
      <c r="I94" s="10" t="n">
        <v>0</v>
      </c>
      <c r="J94" s="10" t="n">
        <v>272</v>
      </c>
      <c r="K94" s="10" t="n">
        <v>4026</v>
      </c>
      <c r="L94" s="10" t="n">
        <v>0</v>
      </c>
      <c r="M94" s="10" t="n">
        <v>0</v>
      </c>
      <c r="N94" s="10" t="n">
        <v>0</v>
      </c>
      <c r="O94" s="10" t="n">
        <v>8825</v>
      </c>
      <c r="P94" s="11"/>
      <c r="Q94" s="11"/>
      <c r="R94" s="11"/>
      <c r="S94" s="11"/>
      <c r="T94" s="12" t="str">
        <f aca="false">IF($C94="","",IFERROR(INDEX('Aisle Loss Data'!$B$2:$B$1931,MATCH(TRIM($C94)&amp;"|1",'Aisle Loss Data'!$E$2:$E$1931,0)),"No Loss")&amp;IFERROR(","&amp;INDEX('Aisle Loss Data'!$B$2:$B$1931,MATCH(TRIM($C94)&amp;"|2",'Aisle Loss Data'!$E$2:$E$1931,0)),""))</f>
        <v>D,E</v>
      </c>
      <c r="U94" s="13" t="n">
        <f aca="false">IF($C94="","",IFERROR(INDEX('Aisle Loss Data'!$C$2:$C$1931,MATCH(TRIM($C94)&amp;"|1",'Aisle Loss Data'!$E$2:$E$1931,0)),0)+IFERROR(INDEX('Aisle Loss Data'!$C$2:$C$1931,MATCH(TRIM($C94)&amp;"|2",'Aisle Loss Data'!$E$2:$E$1931,0)),0))</f>
        <v>6812.52</v>
      </c>
      <c r="V94" s="7"/>
      <c r="W94" s="7"/>
      <c r="X94" s="7"/>
      <c r="Y94" s="7"/>
      <c r="Z94" s="7"/>
    </row>
    <row r="95" customFormat="false" ht="15.75" hidden="false" customHeight="true" outlineLevel="0" collapsed="false">
      <c r="A95" s="8" t="s">
        <v>21</v>
      </c>
      <c r="B95" s="9" t="s">
        <v>104</v>
      </c>
      <c r="C95" s="8" t="s">
        <v>129</v>
      </c>
      <c r="D95" s="9" t="str">
        <f aca="false" t="array" ref="D95:D95">IF(C95="","",IFERROR(INDEX('CLM &amp; IM Mapping'!$B$2:$B$270,MATCH(TRIM(C95),'CLM &amp; IM Mapping'!$A$2:$A$270,0)),"Not Mapped"))</f>
        <v>Vishnu V</v>
      </c>
      <c r="E95" s="9" t="str">
        <f aca="false" t="array" ref="E95:E95">IF(C95="","",IFERROR(INDEX('CLM &amp; IM Mapping'!$C$2:$C$270,MATCH(TRIM(C95),'CLM &amp; IM Mapping'!$A$2:$A$270,0)),"Not Mapped"))</f>
        <v>Arivind S</v>
      </c>
      <c r="F95" s="9" t="s">
        <v>27</v>
      </c>
      <c r="G95" s="10" t="n">
        <v>-3369</v>
      </c>
      <c r="H95" s="10" t="n">
        <v>10805</v>
      </c>
      <c r="I95" s="10" t="n">
        <v>748</v>
      </c>
      <c r="J95" s="10" t="n">
        <v>0</v>
      </c>
      <c r="K95" s="10" t="n">
        <v>535</v>
      </c>
      <c r="L95" s="10" t="n">
        <v>0</v>
      </c>
      <c r="M95" s="10" t="n">
        <v>0</v>
      </c>
      <c r="N95" s="10" t="n">
        <v>0</v>
      </c>
      <c r="O95" s="10" t="n">
        <v>8719</v>
      </c>
      <c r="P95" s="11"/>
      <c r="Q95" s="11"/>
      <c r="R95" s="11"/>
      <c r="S95" s="11"/>
      <c r="T95" s="12" t="str">
        <f aca="false">IF($C95="","",IFERROR(INDEX('Aisle Loss Data'!$B$2:$B$1931,MATCH(TRIM($C95)&amp;"|1",'Aisle Loss Data'!$E$2:$E$1931,0)),"No Loss")&amp;IFERROR(","&amp;INDEX('Aisle Loss Data'!$B$2:$B$1931,MATCH(TRIM($C95)&amp;"|2",'Aisle Loss Data'!$E$2:$E$1931,0)),""))</f>
        <v>B,D</v>
      </c>
      <c r="U95" s="13" t="n">
        <f aca="false">IF($C95="","",IFERROR(INDEX('Aisle Loss Data'!$C$2:$C$1931,MATCH(TRIM($C95)&amp;"|1",'Aisle Loss Data'!$E$2:$E$1931,0)),0)+IFERROR(INDEX('Aisle Loss Data'!$C$2:$C$1931,MATCH(TRIM($C95)&amp;"|2",'Aisle Loss Data'!$E$2:$E$1931,0)),0))</f>
        <v>9957.71</v>
      </c>
      <c r="V95" s="7"/>
      <c r="W95" s="7"/>
      <c r="X95" s="7"/>
      <c r="Y95" s="7"/>
      <c r="Z95" s="7"/>
    </row>
    <row r="96" customFormat="false" ht="15.75" hidden="false" customHeight="true" outlineLevel="0" collapsed="false">
      <c r="A96" s="8" t="s">
        <v>21</v>
      </c>
      <c r="B96" s="9" t="s">
        <v>130</v>
      </c>
      <c r="C96" s="8" t="s">
        <v>131</v>
      </c>
      <c r="D96" s="9" t="str">
        <f aca="false" t="array" ref="D96:D96">IF(C96="","",IFERROR(INDEX('CLM &amp; IM Mapping'!$B$2:$B$270,MATCH(TRIM(C96),'CLM &amp; IM Mapping'!$A$2:$A$270,0)),"Not Mapped"))</f>
        <v>Santhosha M</v>
      </c>
      <c r="E96" s="9" t="str">
        <f aca="false" t="array" ref="E96:E96">IF(C96="","",IFERROR(INDEX('CLM &amp; IM Mapping'!$C$2:$C$270,MATCH(TRIM(C96),'CLM &amp; IM Mapping'!$A$2:$A$270,0)),"Not Mapped"))</f>
        <v>Aravind S</v>
      </c>
      <c r="F96" s="9" t="s">
        <v>27</v>
      </c>
      <c r="G96" s="10" t="n">
        <v>8097</v>
      </c>
      <c r="H96" s="10" t="n">
        <v>424</v>
      </c>
      <c r="I96" s="10" t="n">
        <v>0</v>
      </c>
      <c r="J96" s="10" t="n">
        <v>0</v>
      </c>
      <c r="K96" s="10" t="n">
        <v>132</v>
      </c>
      <c r="L96" s="10" t="n">
        <v>0</v>
      </c>
      <c r="M96" s="10" t="n">
        <v>0</v>
      </c>
      <c r="N96" s="10" t="n">
        <v>0</v>
      </c>
      <c r="O96" s="10" t="n">
        <v>8653</v>
      </c>
      <c r="P96" s="11"/>
      <c r="Q96" s="11"/>
      <c r="R96" s="11"/>
      <c r="S96" s="11"/>
      <c r="T96" s="12" t="str">
        <f aca="false">IF($C96="","",IFERROR(INDEX('Aisle Loss Data'!$B$2:$B$1931,MATCH(TRIM($C96)&amp;"|1",'Aisle Loss Data'!$E$2:$E$1931,0)),"No Loss")&amp;IFERROR(","&amp;INDEX('Aisle Loss Data'!$B$2:$B$1931,MATCH(TRIM($C96)&amp;"|2",'Aisle Loss Data'!$E$2:$E$1931,0)),""))</f>
        <v>E,K</v>
      </c>
      <c r="U96" s="13" t="n">
        <f aca="false">IF($C96="","",IFERROR(INDEX('Aisle Loss Data'!$C$2:$C$1931,MATCH(TRIM($C96)&amp;"|1",'Aisle Loss Data'!$E$2:$E$1931,0)),0)+IFERROR(INDEX('Aisle Loss Data'!$C$2:$C$1931,MATCH(TRIM($C96)&amp;"|2",'Aisle Loss Data'!$E$2:$E$1931,0)),0))</f>
        <v>14889.46</v>
      </c>
      <c r="V96" s="7"/>
      <c r="W96" s="7"/>
      <c r="X96" s="7"/>
      <c r="Y96" s="7"/>
      <c r="Z96" s="7"/>
    </row>
    <row r="97" customFormat="false" ht="15.75" hidden="false" customHeight="true" outlineLevel="0" collapsed="false">
      <c r="A97" s="8" t="s">
        <v>21</v>
      </c>
      <c r="B97" s="9" t="s">
        <v>22</v>
      </c>
      <c r="C97" s="8" t="s">
        <v>132</v>
      </c>
      <c r="D97" s="9" t="str">
        <f aca="false" t="array" ref="D97:D97">IF(C97="","",IFERROR(INDEX('CLM &amp; IM Mapping'!$B$2:$B$270,MATCH(TRIM(C97),'CLM &amp; IM Mapping'!$A$2:$A$270,0)),"Not Mapped"))</f>
        <v>Rizwan Ahmed</v>
      </c>
      <c r="E97" s="9" t="str">
        <f aca="false" t="array" ref="E97:E97">IF(C97="","",IFERROR(INDEX('CLM &amp; IM Mapping'!$C$2:$C$270,MATCH(TRIM(C97),'CLM &amp; IM Mapping'!$A$2:$A$270,0)),"Not Mapped"))</f>
        <v>Un Mapped</v>
      </c>
      <c r="F97" s="9" t="s">
        <v>27</v>
      </c>
      <c r="G97" s="10" t="n">
        <v>5407</v>
      </c>
      <c r="H97" s="10" t="n">
        <v>2745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8152</v>
      </c>
      <c r="P97" s="11"/>
      <c r="Q97" s="11"/>
      <c r="R97" s="11"/>
      <c r="S97" s="11"/>
      <c r="T97" s="12" t="str">
        <f aca="false">IF($C97="","",IFERROR(INDEX('Aisle Loss Data'!$B$2:$B$1931,MATCH(TRIM($C97)&amp;"|1",'Aisle Loss Data'!$E$2:$E$1931,0)),"No Loss")&amp;IFERROR(","&amp;INDEX('Aisle Loss Data'!$B$2:$B$1931,MATCH(TRIM($C97)&amp;"|2",'Aisle Loss Data'!$E$2:$E$1931,0)),""))</f>
        <v>P,B</v>
      </c>
      <c r="U97" s="13" t="n">
        <f aca="false">IF($C97="","",IFERROR(INDEX('Aisle Loss Data'!$C$2:$C$1931,MATCH(TRIM($C97)&amp;"|1",'Aisle Loss Data'!$E$2:$E$1931,0)),0)+IFERROR(INDEX('Aisle Loss Data'!$C$2:$C$1931,MATCH(TRIM($C97)&amp;"|2",'Aisle Loss Data'!$E$2:$E$1931,0)),0))</f>
        <v>3995.58</v>
      </c>
      <c r="V97" s="7"/>
      <c r="W97" s="7"/>
      <c r="X97" s="7"/>
      <c r="Y97" s="7"/>
      <c r="Z97" s="7"/>
    </row>
    <row r="98" customFormat="false" ht="15.75" hidden="false" customHeight="true" outlineLevel="0" collapsed="false">
      <c r="A98" s="8" t="s">
        <v>21</v>
      </c>
      <c r="B98" s="9" t="s">
        <v>22</v>
      </c>
      <c r="C98" s="9" t="s">
        <v>133</v>
      </c>
      <c r="D98" s="9" t="str">
        <f aca="false" t="array" ref="D98:D98">IF(C98="","",IFERROR(INDEX('CLM &amp; IM Mapping'!$B$2:$B$270,MATCH(TRIM(C98),'CLM &amp; IM Mapping'!$A$2:$A$270,0)),"Not Mapped"))</f>
        <v>Balaji G</v>
      </c>
      <c r="E98" s="9" t="str">
        <f aca="false" t="array" ref="E98:E98">IF(C98="","",IFERROR(INDEX('CLM &amp; IM Mapping'!$C$2:$C$270,MATCH(TRIM(C98),'CLM &amp; IM Mapping'!$A$2:$A$270,0)),"Not Mapped"))</f>
        <v>Mohammed Akbar</v>
      </c>
      <c r="F98" s="9" t="s">
        <v>27</v>
      </c>
      <c r="G98" s="10" t="n">
        <v>3821</v>
      </c>
      <c r="H98" s="10" t="n">
        <v>3869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7689</v>
      </c>
      <c r="P98" s="11"/>
      <c r="Q98" s="11"/>
      <c r="R98" s="11"/>
      <c r="S98" s="11"/>
      <c r="T98" s="12" t="str">
        <f aca="false">IF($C98="","",IFERROR(INDEX('Aisle Loss Data'!$B$2:$B$1931,MATCH(TRIM($C98)&amp;"|1",'Aisle Loss Data'!$E$2:$E$1931,0)),"No Loss")&amp;IFERROR(","&amp;INDEX('Aisle Loss Data'!$B$2:$B$1931,MATCH(TRIM($C98)&amp;"|2",'Aisle Loss Data'!$E$2:$E$1931,0)),""))</f>
        <v>M,C</v>
      </c>
      <c r="U98" s="13" t="n">
        <f aca="false">IF($C98="","",IFERROR(INDEX('Aisle Loss Data'!$C$2:$C$1931,MATCH(TRIM($C98)&amp;"|1",'Aisle Loss Data'!$E$2:$E$1931,0)),0)+IFERROR(INDEX('Aisle Loss Data'!$C$2:$C$1931,MATCH(TRIM($C98)&amp;"|2",'Aisle Loss Data'!$E$2:$E$1931,0)),0))</f>
        <v>13543.88</v>
      </c>
      <c r="V98" s="7"/>
      <c r="W98" s="7"/>
      <c r="X98" s="7"/>
      <c r="Y98" s="7"/>
      <c r="Z98" s="7"/>
    </row>
    <row r="99" customFormat="false" ht="15.75" hidden="false" customHeight="true" outlineLevel="0" collapsed="false">
      <c r="A99" s="8" t="s">
        <v>21</v>
      </c>
      <c r="B99" s="9" t="s">
        <v>22</v>
      </c>
      <c r="C99" s="8" t="s">
        <v>134</v>
      </c>
      <c r="D99" s="9" t="str">
        <f aca="false" t="array" ref="D99:D99">IF(C99="","",IFERROR(INDEX('CLM &amp; IM Mapping'!$B$2:$B$270,MATCH(TRIM(C99),'CLM &amp; IM Mapping'!$A$2:$A$270,0)),"Not Mapped"))</f>
        <v>Balaji G</v>
      </c>
      <c r="E99" s="9" t="str">
        <f aca="false" t="array" ref="E99:E99">IF(C99="","",IFERROR(INDEX('CLM &amp; IM Mapping'!$C$2:$C$270,MATCH(TRIM(C99),'CLM &amp; IM Mapping'!$A$2:$A$270,0)),"Not Mapped"))</f>
        <v>Mohammed Akbar</v>
      </c>
      <c r="F99" s="9" t="s">
        <v>27</v>
      </c>
      <c r="G99" s="10" t="n">
        <v>-482</v>
      </c>
      <c r="H99" s="10" t="n">
        <v>7047</v>
      </c>
      <c r="I99" s="10" t="n">
        <v>0</v>
      </c>
      <c r="J99" s="10" t="n">
        <v>0</v>
      </c>
      <c r="K99" s="10" t="n">
        <v>970</v>
      </c>
      <c r="L99" s="10" t="n">
        <v>0</v>
      </c>
      <c r="M99" s="10" t="n">
        <v>0</v>
      </c>
      <c r="N99" s="10" t="n">
        <v>0</v>
      </c>
      <c r="O99" s="10" t="n">
        <v>7536</v>
      </c>
      <c r="P99" s="11"/>
      <c r="Q99" s="11"/>
      <c r="R99" s="11"/>
      <c r="S99" s="11"/>
      <c r="T99" s="12" t="str">
        <f aca="false">IF($C99="","",IFERROR(INDEX('Aisle Loss Data'!$B$2:$B$1931,MATCH(TRIM($C99)&amp;"|1",'Aisle Loss Data'!$E$2:$E$1931,0)),"No Loss")&amp;IFERROR(","&amp;INDEX('Aisle Loss Data'!$B$2:$B$1931,MATCH(TRIM($C99)&amp;"|2",'Aisle Loss Data'!$E$2:$E$1931,0)),""))</f>
        <v>J,F</v>
      </c>
      <c r="U99" s="13" t="n">
        <f aca="false">IF($C99="","",IFERROR(INDEX('Aisle Loss Data'!$C$2:$C$1931,MATCH(TRIM($C99)&amp;"|1",'Aisle Loss Data'!$E$2:$E$1931,0)),0)+IFERROR(INDEX('Aisle Loss Data'!$C$2:$C$1931,MATCH(TRIM($C99)&amp;"|2",'Aisle Loss Data'!$E$2:$E$1931,0)),0))</f>
        <v>8299.73</v>
      </c>
      <c r="V99" s="7"/>
      <c r="W99" s="7"/>
      <c r="X99" s="7"/>
      <c r="Y99" s="7"/>
      <c r="Z99" s="7"/>
    </row>
    <row r="100" customFormat="false" ht="15.75" hidden="false" customHeight="true" outlineLevel="0" collapsed="false">
      <c r="A100" s="8" t="s">
        <v>21</v>
      </c>
      <c r="B100" s="9" t="s">
        <v>22</v>
      </c>
      <c r="C100" s="8" t="s">
        <v>135</v>
      </c>
      <c r="D100" s="9" t="str">
        <f aca="false" t="array" ref="D100:D100">IF(C100="","",IFERROR(INDEX('CLM &amp; IM Mapping'!$B$2:$B$270,MATCH(TRIM(C100),'CLM &amp; IM Mapping'!$A$2:$A$270,0)),"Not Mapped"))</f>
        <v>Sundaresh S</v>
      </c>
      <c r="E100" s="9" t="str">
        <f aca="false" t="array" ref="E100:E100">IF(C100="","",IFERROR(INDEX('CLM &amp; IM Mapping'!$C$2:$C$270,MATCH(TRIM(C100),'CLM &amp; IM Mapping'!$A$2:$A$270,0)),"Not Mapped"))</f>
        <v>Un Mapped</v>
      </c>
      <c r="F100" s="9" t="s">
        <v>27</v>
      </c>
      <c r="G100" s="10" t="n">
        <v>-2061</v>
      </c>
      <c r="H100" s="10" t="n">
        <v>8363</v>
      </c>
      <c r="I100" s="10" t="n">
        <v>0</v>
      </c>
      <c r="J100" s="10" t="n">
        <v>916</v>
      </c>
      <c r="K100" s="10" t="n">
        <v>119</v>
      </c>
      <c r="L100" s="10" t="n">
        <v>0</v>
      </c>
      <c r="M100" s="10" t="n">
        <v>0</v>
      </c>
      <c r="N100" s="10" t="n">
        <v>0</v>
      </c>
      <c r="O100" s="10" t="n">
        <v>7336</v>
      </c>
      <c r="P100" s="11"/>
      <c r="Q100" s="11"/>
      <c r="R100" s="11"/>
      <c r="S100" s="11"/>
      <c r="T100" s="12" t="str">
        <f aca="false">IF($C100="","",IFERROR(INDEX('Aisle Loss Data'!$B$2:$B$1931,MATCH(TRIM($C100)&amp;"|1",'Aisle Loss Data'!$E$2:$E$1931,0)),"No Loss")&amp;IFERROR(","&amp;INDEX('Aisle Loss Data'!$B$2:$B$1931,MATCH(TRIM($C100)&amp;"|2",'Aisle Loss Data'!$E$2:$E$1931,0)),""))</f>
        <v>I,A</v>
      </c>
      <c r="U100" s="13" t="n">
        <f aca="false">IF($C100="","",IFERROR(INDEX('Aisle Loss Data'!$C$2:$C$1931,MATCH(TRIM($C100)&amp;"|1",'Aisle Loss Data'!$E$2:$E$1931,0)),0)+IFERROR(INDEX('Aisle Loss Data'!$C$2:$C$1931,MATCH(TRIM($C100)&amp;"|2",'Aisle Loss Data'!$E$2:$E$1931,0)),0))</f>
        <v>10123.28</v>
      </c>
      <c r="V100" s="7"/>
      <c r="W100" s="7"/>
      <c r="X100" s="7"/>
      <c r="Y100" s="7"/>
      <c r="Z100" s="7"/>
    </row>
    <row r="101" customFormat="false" ht="15.75" hidden="false" customHeight="true" outlineLevel="0" collapsed="false">
      <c r="A101" s="8" t="s">
        <v>21</v>
      </c>
      <c r="B101" s="9" t="s">
        <v>22</v>
      </c>
      <c r="C101" s="8" t="s">
        <v>136</v>
      </c>
      <c r="D101" s="9" t="str">
        <f aca="false" t="array" ref="D101:D101">IF(C101="","",IFERROR(INDEX('CLM &amp; IM Mapping'!$B$2:$B$270,MATCH(TRIM(C101),'CLM &amp; IM Mapping'!$A$2:$A$270,0)),"Not Mapped"))</f>
        <v>Arun Raj</v>
      </c>
      <c r="E101" s="9" t="str">
        <f aca="false" t="array" ref="E101:E101">IF(C101="","",IFERROR(INDEX('CLM &amp; IM Mapping'!$C$2:$C$270,MATCH(TRIM(C101),'CLM &amp; IM Mapping'!$A$2:$A$270,0)),"Not Mapped"))</f>
        <v>Simon Manoharan</v>
      </c>
      <c r="F101" s="9" t="s">
        <v>24</v>
      </c>
      <c r="G101" s="10" t="n">
        <v>-10424</v>
      </c>
      <c r="H101" s="10" t="n">
        <v>14667</v>
      </c>
      <c r="I101" s="10" t="n">
        <v>0</v>
      </c>
      <c r="J101" s="10" t="n">
        <v>1081</v>
      </c>
      <c r="K101" s="10" t="n">
        <v>1977</v>
      </c>
      <c r="L101" s="10" t="n">
        <v>0</v>
      </c>
      <c r="M101" s="10" t="n">
        <v>0</v>
      </c>
      <c r="N101" s="10" t="n">
        <v>0</v>
      </c>
      <c r="O101" s="10" t="n">
        <v>7301</v>
      </c>
      <c r="P101" s="11"/>
      <c r="Q101" s="11"/>
      <c r="R101" s="11"/>
      <c r="S101" s="11"/>
      <c r="T101" s="12" t="str">
        <f aca="false">IF($C101="","",IFERROR(INDEX('Aisle Loss Data'!$B$2:$B$1931,MATCH(TRIM($C101)&amp;"|1",'Aisle Loss Data'!$E$2:$E$1931,0)),"No Loss")&amp;IFERROR(","&amp;INDEX('Aisle Loss Data'!$B$2:$B$1931,MATCH(TRIM($C101)&amp;"|2",'Aisle Loss Data'!$E$2:$E$1931,0)),""))</f>
        <v>N,M</v>
      </c>
      <c r="U101" s="13" t="n">
        <f aca="false">IF($C101="","",IFERROR(INDEX('Aisle Loss Data'!$C$2:$C$1931,MATCH(TRIM($C101)&amp;"|1",'Aisle Loss Data'!$E$2:$E$1931,0)),0)+IFERROR(INDEX('Aisle Loss Data'!$C$2:$C$1931,MATCH(TRIM($C101)&amp;"|2",'Aisle Loss Data'!$E$2:$E$1931,0)),0))</f>
        <v>10056.35</v>
      </c>
      <c r="V101" s="7"/>
      <c r="W101" s="7"/>
      <c r="X101" s="7"/>
      <c r="Y101" s="7"/>
      <c r="Z101" s="7"/>
    </row>
    <row r="102" customFormat="false" ht="15.75" hidden="false" customHeight="true" outlineLevel="0" collapsed="false">
      <c r="A102" s="8" t="s">
        <v>21</v>
      </c>
      <c r="B102" s="9" t="s">
        <v>22</v>
      </c>
      <c r="C102" s="8" t="s">
        <v>137</v>
      </c>
      <c r="D102" s="9" t="str">
        <f aca="false" t="array" ref="D102:D102">IF(C102="","",IFERROR(INDEX('CLM &amp; IM Mapping'!$B$2:$B$270,MATCH(TRIM(C102),'CLM &amp; IM Mapping'!$A$2:$A$270,0)),"Not Mapped"))</f>
        <v>Akshay P</v>
      </c>
      <c r="E102" s="9" t="str">
        <f aca="false" t="array" ref="E102:E102">IF(C102="","",IFERROR(INDEX('CLM &amp; IM Mapping'!$C$2:$C$270,MATCH(TRIM(C102),'CLM &amp; IM Mapping'!$A$2:$A$270,0)),"Not Mapped"))</f>
        <v>Srittam Dhal</v>
      </c>
      <c r="F102" s="9" t="s">
        <v>27</v>
      </c>
      <c r="G102" s="10" t="n">
        <v>-1395</v>
      </c>
      <c r="H102" s="10" t="n">
        <v>8104</v>
      </c>
      <c r="I102" s="10" t="n">
        <v>0</v>
      </c>
      <c r="J102" s="10" t="n">
        <v>0</v>
      </c>
      <c r="K102" s="10" t="n">
        <v>573</v>
      </c>
      <c r="L102" s="10" t="n">
        <v>0</v>
      </c>
      <c r="M102" s="10" t="n">
        <v>0</v>
      </c>
      <c r="N102" s="10" t="n">
        <v>0</v>
      </c>
      <c r="O102" s="10" t="n">
        <v>7282</v>
      </c>
      <c r="P102" s="11"/>
      <c r="Q102" s="11"/>
      <c r="R102" s="11"/>
      <c r="S102" s="11"/>
      <c r="T102" s="12" t="str">
        <f aca="false">IF($C102="","",IFERROR(INDEX('Aisle Loss Data'!$B$2:$B$1931,MATCH(TRIM($C102)&amp;"|1",'Aisle Loss Data'!$E$2:$E$1931,0)),"No Loss")&amp;IFERROR(","&amp;INDEX('Aisle Loss Data'!$B$2:$B$1931,MATCH(TRIM($C102)&amp;"|2",'Aisle Loss Data'!$E$2:$E$1931,0)),""))</f>
        <v>C,D</v>
      </c>
      <c r="U102" s="13" t="n">
        <f aca="false">IF($C102="","",IFERROR(INDEX('Aisle Loss Data'!$C$2:$C$1931,MATCH(TRIM($C102)&amp;"|1",'Aisle Loss Data'!$E$2:$E$1931,0)),0)+IFERROR(INDEX('Aisle Loss Data'!$C$2:$C$1931,MATCH(TRIM($C102)&amp;"|2",'Aisle Loss Data'!$E$2:$E$1931,0)),0))</f>
        <v>16486.75</v>
      </c>
      <c r="V102" s="7"/>
      <c r="W102" s="7"/>
      <c r="X102" s="7"/>
      <c r="Y102" s="7"/>
      <c r="Z102" s="7"/>
    </row>
    <row r="103" customFormat="false" ht="15.75" hidden="false" customHeight="true" outlineLevel="0" collapsed="false">
      <c r="A103" s="8" t="s">
        <v>21</v>
      </c>
      <c r="B103" s="9" t="s">
        <v>22</v>
      </c>
      <c r="C103" s="8" t="s">
        <v>138</v>
      </c>
      <c r="D103" s="9" t="str">
        <f aca="false" t="array" ref="D103:D103">IF(C103="","",IFERROR(INDEX('CLM &amp; IM Mapping'!$B$2:$B$270,MATCH(TRIM(C103),'CLM &amp; IM Mapping'!$A$2:$A$270,0)),"Not Mapped"))</f>
        <v>Ashwath S</v>
      </c>
      <c r="E103" s="9" t="str">
        <f aca="false" t="array" ref="E103:E103">IF(C103="","",IFERROR(INDEX('CLM &amp; IM Mapping'!$C$2:$C$270,MATCH(TRIM(C103),'CLM &amp; IM Mapping'!$A$2:$A$270,0)),"Not Mapped"))</f>
        <v>Kantha Kumar</v>
      </c>
      <c r="F103" s="9" t="s">
        <v>27</v>
      </c>
      <c r="G103" s="10" t="n">
        <v>5711</v>
      </c>
      <c r="H103" s="10" t="n">
        <v>629</v>
      </c>
      <c r="I103" s="10" t="n">
        <v>0</v>
      </c>
      <c r="J103" s="10" t="n">
        <v>0</v>
      </c>
      <c r="K103" s="10" t="n">
        <v>590</v>
      </c>
      <c r="L103" s="10" t="n">
        <v>0</v>
      </c>
      <c r="M103" s="10" t="n">
        <v>219</v>
      </c>
      <c r="N103" s="10" t="n">
        <v>0</v>
      </c>
      <c r="O103" s="10" t="n">
        <v>7149</v>
      </c>
      <c r="P103" s="11"/>
      <c r="Q103" s="11"/>
      <c r="R103" s="11"/>
      <c r="S103" s="11"/>
      <c r="T103" s="12" t="str">
        <f aca="false">IF($C103="","",IFERROR(INDEX('Aisle Loss Data'!$B$2:$B$1931,MATCH(TRIM($C103)&amp;"|1",'Aisle Loss Data'!$E$2:$E$1931,0)),"No Loss")&amp;IFERROR(","&amp;INDEX('Aisle Loss Data'!$B$2:$B$1931,MATCH(TRIM($C103)&amp;"|2",'Aisle Loss Data'!$E$2:$E$1931,0)),""))</f>
        <v>G,H</v>
      </c>
      <c r="U103" s="13" t="n">
        <f aca="false">IF($C103="","",IFERROR(INDEX('Aisle Loss Data'!$C$2:$C$1931,MATCH(TRIM($C103)&amp;"|1",'Aisle Loss Data'!$E$2:$E$1931,0)),0)+IFERROR(INDEX('Aisle Loss Data'!$C$2:$C$1931,MATCH(TRIM($C103)&amp;"|2",'Aisle Loss Data'!$E$2:$E$1931,0)),0))</f>
        <v>11541.26</v>
      </c>
      <c r="V103" s="7"/>
      <c r="W103" s="7"/>
      <c r="X103" s="7"/>
      <c r="Y103" s="7"/>
      <c r="Z103" s="7"/>
    </row>
    <row r="104" customFormat="false" ht="15.75" hidden="false" customHeight="true" outlineLevel="0" collapsed="false">
      <c r="A104" s="8" t="s">
        <v>21</v>
      </c>
      <c r="B104" s="9" t="s">
        <v>22</v>
      </c>
      <c r="C104" s="8" t="s">
        <v>139</v>
      </c>
      <c r="D104" s="9" t="str">
        <f aca="false" t="array" ref="D104:D104">IF(C104="","",IFERROR(INDEX('CLM &amp; IM Mapping'!$B$2:$B$270,MATCH(TRIM(C104),'CLM &amp; IM Mapping'!$A$2:$A$270,0)),"Not Mapped"))</f>
        <v>Mohaideen DH</v>
      </c>
      <c r="E104" s="9" t="str">
        <f aca="false" t="array" ref="E104:E104">IF(C104="","",IFERROR(INDEX('CLM &amp; IM Mapping'!$C$2:$C$270,MATCH(TRIM(C104),'CLM &amp; IM Mapping'!$A$2:$A$270,0)),"Not Mapped"))</f>
        <v>Mohammed Akbar</v>
      </c>
      <c r="F104" s="9" t="s">
        <v>27</v>
      </c>
      <c r="G104" s="10" t="n">
        <v>805</v>
      </c>
      <c r="H104" s="10" t="n">
        <v>3126</v>
      </c>
      <c r="I104" s="10" t="n">
        <v>0</v>
      </c>
      <c r="J104" s="10" t="n">
        <v>180</v>
      </c>
      <c r="K104" s="10" t="n">
        <v>16</v>
      </c>
      <c r="L104" s="10" t="n">
        <v>0</v>
      </c>
      <c r="M104" s="10" t="n">
        <v>2753</v>
      </c>
      <c r="N104" s="10" t="n">
        <v>0</v>
      </c>
      <c r="O104" s="10" t="n">
        <v>6880</v>
      </c>
      <c r="P104" s="11"/>
      <c r="Q104" s="11"/>
      <c r="R104" s="11"/>
      <c r="S104" s="11"/>
      <c r="T104" s="12" t="str">
        <f aca="false">IF($C104="","",IFERROR(INDEX('Aisle Loss Data'!$B$2:$B$1931,MATCH(TRIM($C104)&amp;"|1",'Aisle Loss Data'!$E$2:$E$1931,0)),"No Loss")&amp;IFERROR(","&amp;INDEX('Aisle Loss Data'!$B$2:$B$1931,MATCH(TRIM($C104)&amp;"|2",'Aisle Loss Data'!$E$2:$E$1931,0)),""))</f>
        <v>I,E</v>
      </c>
      <c r="U104" s="13" t="n">
        <f aca="false">IF($C104="","",IFERROR(INDEX('Aisle Loss Data'!$C$2:$C$1931,MATCH(TRIM($C104)&amp;"|1",'Aisle Loss Data'!$E$2:$E$1931,0)),0)+IFERROR(INDEX('Aisle Loss Data'!$C$2:$C$1931,MATCH(TRIM($C104)&amp;"|2",'Aisle Loss Data'!$E$2:$E$1931,0)),0))</f>
        <v>7328.32</v>
      </c>
      <c r="V104" s="7"/>
      <c r="W104" s="7"/>
      <c r="X104" s="7"/>
      <c r="Y104" s="7"/>
      <c r="Z104" s="7"/>
    </row>
    <row r="105" customFormat="false" ht="15.75" hidden="false" customHeight="true" outlineLevel="0" collapsed="false">
      <c r="A105" s="8" t="s">
        <v>21</v>
      </c>
      <c r="B105" s="9" t="s">
        <v>22</v>
      </c>
      <c r="C105" s="8" t="s">
        <v>140</v>
      </c>
      <c r="D105" s="9" t="str">
        <f aca="false" t="array" ref="D105:D105">IF(C105="","",IFERROR(INDEX('CLM &amp; IM Mapping'!$B$2:$B$270,MATCH(TRIM(C105),'CLM &amp; IM Mapping'!$A$2:$A$270,0)),"Not Mapped"))</f>
        <v>Suhas N</v>
      </c>
      <c r="E105" s="9" t="str">
        <f aca="false" t="array" ref="E105:E105">IF(C105="","",IFERROR(INDEX('CLM &amp; IM Mapping'!$C$2:$C$270,MATCH(TRIM(C105),'CLM &amp; IM Mapping'!$A$2:$A$270,0)),"Not Mapped"))</f>
        <v>Aravind S</v>
      </c>
      <c r="F105" s="9" t="s">
        <v>27</v>
      </c>
      <c r="G105" s="10" t="n">
        <v>-5788</v>
      </c>
      <c r="H105" s="10" t="n">
        <v>5360</v>
      </c>
      <c r="I105" s="10" t="n">
        <v>0</v>
      </c>
      <c r="J105" s="10" t="n">
        <v>6955</v>
      </c>
      <c r="K105" s="10" t="n">
        <v>142</v>
      </c>
      <c r="L105" s="10" t="n">
        <v>0</v>
      </c>
      <c r="M105" s="10" t="n">
        <v>0</v>
      </c>
      <c r="N105" s="10" t="n">
        <v>0</v>
      </c>
      <c r="O105" s="10" t="n">
        <v>6668</v>
      </c>
      <c r="P105" s="11"/>
      <c r="Q105" s="11"/>
      <c r="R105" s="11"/>
      <c r="S105" s="11"/>
      <c r="T105" s="12" t="str">
        <f aca="false">IF($C105="","",IFERROR(INDEX('Aisle Loss Data'!$B$2:$B$1931,MATCH(TRIM($C105)&amp;"|1",'Aisle Loss Data'!$E$2:$E$1931,0)),"No Loss")&amp;IFERROR(","&amp;INDEX('Aisle Loss Data'!$B$2:$B$1931,MATCH(TRIM($C105)&amp;"|2",'Aisle Loss Data'!$E$2:$E$1931,0)),""))</f>
        <v>B,A</v>
      </c>
      <c r="U105" s="13" t="n">
        <f aca="false">IF($C105="","",IFERROR(INDEX('Aisle Loss Data'!$C$2:$C$1931,MATCH(TRIM($C105)&amp;"|1",'Aisle Loss Data'!$E$2:$E$1931,0)),0)+IFERROR(INDEX('Aisle Loss Data'!$C$2:$C$1931,MATCH(TRIM($C105)&amp;"|2",'Aisle Loss Data'!$E$2:$E$1931,0)),0))</f>
        <v>7938.17</v>
      </c>
      <c r="V105" s="7"/>
      <c r="W105" s="7"/>
      <c r="X105" s="7"/>
      <c r="Y105" s="7"/>
      <c r="Z105" s="7"/>
    </row>
    <row r="106" customFormat="false" ht="15.75" hidden="false" customHeight="true" outlineLevel="0" collapsed="false">
      <c r="A106" s="8" t="s">
        <v>21</v>
      </c>
      <c r="B106" s="9" t="s">
        <v>22</v>
      </c>
      <c r="C106" s="8" t="s">
        <v>141</v>
      </c>
      <c r="D106" s="9" t="str">
        <f aca="false" t="array" ref="D106:D106">IF(C106="","",IFERROR(INDEX('CLM &amp; IM Mapping'!$B$2:$B$270,MATCH(TRIM(C106),'CLM &amp; IM Mapping'!$A$2:$A$270,0)),"Not Mapped"))</f>
        <v>Manoj Kj</v>
      </c>
      <c r="E106" s="9" t="str">
        <f aca="false" t="array" ref="E106:E106">IF(C106="","",IFERROR(INDEX('CLM &amp; IM Mapping'!$C$2:$C$270,MATCH(TRIM(C106),'CLM &amp; IM Mapping'!$A$2:$A$270,0)),"Not Mapped"))</f>
        <v>Srittam Dhal</v>
      </c>
      <c r="F106" s="9" t="s">
        <v>27</v>
      </c>
      <c r="G106" s="10" t="n">
        <v>5734</v>
      </c>
      <c r="H106" s="10" t="n">
        <v>198</v>
      </c>
      <c r="I106" s="10" t="n">
        <v>0</v>
      </c>
      <c r="J106" s="10" t="n">
        <v>240</v>
      </c>
      <c r="K106" s="10" t="n">
        <v>340</v>
      </c>
      <c r="L106" s="10" t="n">
        <v>0</v>
      </c>
      <c r="M106" s="10" t="n">
        <v>0</v>
      </c>
      <c r="N106" s="10" t="n">
        <v>0</v>
      </c>
      <c r="O106" s="10" t="n">
        <v>6512</v>
      </c>
      <c r="P106" s="11"/>
      <c r="Q106" s="11"/>
      <c r="R106" s="11"/>
      <c r="S106" s="11"/>
      <c r="T106" s="12" t="str">
        <f aca="false">IF($C106="","",IFERROR(INDEX('Aisle Loss Data'!$B$2:$B$1931,MATCH(TRIM($C106)&amp;"|1",'Aisle Loss Data'!$E$2:$E$1931,0)),"No Loss")&amp;IFERROR(","&amp;INDEX('Aisle Loss Data'!$B$2:$B$1931,MATCH(TRIM($C106)&amp;"|2",'Aisle Loss Data'!$E$2:$E$1931,0)),""))</f>
        <v>J,H</v>
      </c>
      <c r="U106" s="13" t="n">
        <f aca="false">IF($C106="","",IFERROR(INDEX('Aisle Loss Data'!$C$2:$C$1931,MATCH(TRIM($C106)&amp;"|1",'Aisle Loss Data'!$E$2:$E$1931,0)),0)+IFERROR(INDEX('Aisle Loss Data'!$C$2:$C$1931,MATCH(TRIM($C106)&amp;"|2",'Aisle Loss Data'!$E$2:$E$1931,0)),0))</f>
        <v>15619.68</v>
      </c>
      <c r="V106" s="7"/>
      <c r="W106" s="7"/>
      <c r="X106" s="7"/>
      <c r="Y106" s="7"/>
      <c r="Z106" s="7"/>
    </row>
    <row r="107" customFormat="false" ht="15.75" hidden="false" customHeight="true" outlineLevel="0" collapsed="false">
      <c r="A107" s="8" t="s">
        <v>21</v>
      </c>
      <c r="B107" s="9" t="s">
        <v>22</v>
      </c>
      <c r="C107" s="8" t="s">
        <v>142</v>
      </c>
      <c r="D107" s="9" t="str">
        <f aca="false" t="array" ref="D107:D107">IF(C107="","",IFERROR(INDEX('CLM &amp; IM Mapping'!$B$2:$B$270,MATCH(TRIM(C107),'CLM &amp; IM Mapping'!$A$2:$A$270,0)),"Not Mapped"))</f>
        <v>Balaji G</v>
      </c>
      <c r="E107" s="9" t="str">
        <f aca="false" t="array" ref="E107:E107">IF(C107="","",IFERROR(INDEX('CLM &amp; IM Mapping'!$C$2:$C$270,MATCH(TRIM(C107),'CLM &amp; IM Mapping'!$A$2:$A$270,0)),"Not Mapped"))</f>
        <v>Mohammed Akbar</v>
      </c>
      <c r="F107" s="9" t="s">
        <v>27</v>
      </c>
      <c r="G107" s="10" t="n">
        <v>1235</v>
      </c>
      <c r="H107" s="10" t="n">
        <v>3422</v>
      </c>
      <c r="I107" s="10" t="n">
        <v>0</v>
      </c>
      <c r="J107" s="10" t="n">
        <v>1307</v>
      </c>
      <c r="K107" s="10" t="n">
        <v>418</v>
      </c>
      <c r="L107" s="10" t="n">
        <v>0</v>
      </c>
      <c r="M107" s="10" t="n">
        <v>0</v>
      </c>
      <c r="N107" s="10" t="n">
        <v>0</v>
      </c>
      <c r="O107" s="10" t="n">
        <v>6380</v>
      </c>
      <c r="P107" s="11"/>
      <c r="Q107" s="11"/>
      <c r="R107" s="11"/>
      <c r="S107" s="11"/>
      <c r="T107" s="12" t="str">
        <f aca="false">IF($C107="","",IFERROR(INDEX('Aisle Loss Data'!$B$2:$B$1931,MATCH(TRIM($C107)&amp;"|1",'Aisle Loss Data'!$E$2:$E$1931,0)),"No Loss")&amp;IFERROR(","&amp;INDEX('Aisle Loss Data'!$B$2:$B$1931,MATCH(TRIM($C107)&amp;"|2",'Aisle Loss Data'!$E$2:$E$1931,0)),""))</f>
        <v>F,E</v>
      </c>
      <c r="U107" s="13" t="n">
        <f aca="false">IF($C107="","",IFERROR(INDEX('Aisle Loss Data'!$C$2:$C$1931,MATCH(TRIM($C107)&amp;"|1",'Aisle Loss Data'!$E$2:$E$1931,0)),0)+IFERROR(INDEX('Aisle Loss Data'!$C$2:$C$1931,MATCH(TRIM($C107)&amp;"|2",'Aisle Loss Data'!$E$2:$E$1931,0)),0))</f>
        <v>4300.38</v>
      </c>
      <c r="V107" s="7"/>
      <c r="W107" s="7"/>
      <c r="X107" s="7"/>
      <c r="Y107" s="7"/>
      <c r="Z107" s="7"/>
    </row>
    <row r="108" customFormat="false" ht="15.75" hidden="false" customHeight="true" outlineLevel="0" collapsed="false">
      <c r="A108" s="8" t="s">
        <v>21</v>
      </c>
      <c r="B108" s="9" t="s">
        <v>22</v>
      </c>
      <c r="C108" s="8" t="s">
        <v>143</v>
      </c>
      <c r="D108" s="9" t="str">
        <f aca="false" t="array" ref="D108:D108">IF(C108="","",IFERROR(INDEX('CLM &amp; IM Mapping'!$B$2:$B$270,MATCH(TRIM(C108),'CLM &amp; IM Mapping'!$A$2:$A$270,0)),"Not Mapped"))</f>
        <v>Ravishankar gowda</v>
      </c>
      <c r="E108" s="9" t="str">
        <f aca="false" t="array" ref="E108:E108">IF(C108="","",IFERROR(INDEX('CLM &amp; IM Mapping'!$C$2:$C$270,MATCH(TRIM(C108),'CLM &amp; IM Mapping'!$A$2:$A$270,0)),"Not Mapped"))</f>
        <v>Kishor K</v>
      </c>
      <c r="F108" s="9" t="s">
        <v>27</v>
      </c>
      <c r="G108" s="10" t="n">
        <v>-1590</v>
      </c>
      <c r="H108" s="10" t="n">
        <v>6841</v>
      </c>
      <c r="I108" s="10" t="n">
        <v>0</v>
      </c>
      <c r="J108" s="10" t="n">
        <v>882</v>
      </c>
      <c r="K108" s="10" t="n">
        <v>209</v>
      </c>
      <c r="L108" s="10" t="n">
        <v>0</v>
      </c>
      <c r="M108" s="10" t="n">
        <v>0</v>
      </c>
      <c r="N108" s="10" t="n">
        <v>0</v>
      </c>
      <c r="O108" s="10" t="n">
        <v>6342</v>
      </c>
      <c r="P108" s="11"/>
      <c r="Q108" s="11"/>
      <c r="R108" s="11"/>
      <c r="S108" s="11"/>
      <c r="T108" s="12" t="str">
        <f aca="false">IF($C108="","",IFERROR(INDEX('Aisle Loss Data'!$B$2:$B$1931,MATCH(TRIM($C108)&amp;"|1",'Aisle Loss Data'!$E$2:$E$1931,0)),"No Loss")&amp;IFERROR(","&amp;INDEX('Aisle Loss Data'!$B$2:$B$1931,MATCH(TRIM($C108)&amp;"|2",'Aisle Loss Data'!$E$2:$E$1931,0)),""))</f>
        <v>M,L</v>
      </c>
      <c r="U108" s="13" t="n">
        <f aca="false">IF($C108="","",IFERROR(INDEX('Aisle Loss Data'!$C$2:$C$1931,MATCH(TRIM($C108)&amp;"|1",'Aisle Loss Data'!$E$2:$E$1931,0)),0)+IFERROR(INDEX('Aisle Loss Data'!$C$2:$C$1931,MATCH(TRIM($C108)&amp;"|2",'Aisle Loss Data'!$E$2:$E$1931,0)),0))</f>
        <v>10448.15</v>
      </c>
      <c r="V108" s="7"/>
      <c r="W108" s="7"/>
      <c r="X108" s="7"/>
      <c r="Y108" s="7"/>
      <c r="Z108" s="7"/>
    </row>
    <row r="109" customFormat="false" ht="15.75" hidden="false" customHeight="true" outlineLevel="0" collapsed="false">
      <c r="A109" s="8" t="s">
        <v>21</v>
      </c>
      <c r="B109" s="9" t="s">
        <v>99</v>
      </c>
      <c r="C109" s="8" t="s">
        <v>144</v>
      </c>
      <c r="D109" s="9" t="str">
        <f aca="false" t="array" ref="D109:D109">IF(C109="","",IFERROR(INDEX('CLM &amp; IM Mapping'!$B$2:$B$270,MATCH(TRIM(C109),'CLM &amp; IM Mapping'!$A$2:$A$270,0)),"Not Mapped"))</f>
        <v>Bangareppa CS</v>
      </c>
      <c r="E109" s="9" t="str">
        <f aca="false" t="array" ref="E109:E109">IF(C109="","",IFERROR(INDEX('CLM &amp; IM Mapping'!$C$2:$C$270,MATCH(TRIM(C109),'CLM &amp; IM Mapping'!$A$2:$A$270,0)),"Not Mapped"))</f>
        <v>Kishor K</v>
      </c>
      <c r="F109" s="9" t="s">
        <v>27</v>
      </c>
      <c r="G109" s="10" t="n">
        <v>3745</v>
      </c>
      <c r="H109" s="10" t="n">
        <v>2119</v>
      </c>
      <c r="I109" s="10" t="n">
        <v>0</v>
      </c>
      <c r="J109" s="10" t="n">
        <v>36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5899</v>
      </c>
      <c r="P109" s="11"/>
      <c r="Q109" s="11"/>
      <c r="R109" s="11"/>
      <c r="S109" s="11"/>
      <c r="T109" s="12" t="str">
        <f aca="false">IF($C109="","",IFERROR(INDEX('Aisle Loss Data'!$B$2:$B$1931,MATCH(TRIM($C109)&amp;"|1",'Aisle Loss Data'!$E$2:$E$1931,0)),"No Loss")&amp;IFERROR(","&amp;INDEX('Aisle Loss Data'!$B$2:$B$1931,MATCH(TRIM($C109)&amp;"|2",'Aisle Loss Data'!$E$2:$E$1931,0)),""))</f>
        <v>L,C</v>
      </c>
      <c r="U109" s="13" t="n">
        <f aca="false">IF($C109="","",IFERROR(INDEX('Aisle Loss Data'!$C$2:$C$1931,MATCH(TRIM($C109)&amp;"|1",'Aisle Loss Data'!$E$2:$E$1931,0)),0)+IFERROR(INDEX('Aisle Loss Data'!$C$2:$C$1931,MATCH(TRIM($C109)&amp;"|2",'Aisle Loss Data'!$E$2:$E$1931,0)),0))</f>
        <v>2903.89</v>
      </c>
      <c r="V109" s="7"/>
      <c r="W109" s="7"/>
      <c r="X109" s="7"/>
      <c r="Y109" s="7"/>
      <c r="Z109" s="7"/>
    </row>
    <row r="110" customFormat="false" ht="15.75" hidden="false" customHeight="true" outlineLevel="0" collapsed="false">
      <c r="A110" s="8" t="s">
        <v>21</v>
      </c>
      <c r="B110" s="9" t="s">
        <v>145</v>
      </c>
      <c r="C110" s="9" t="s">
        <v>146</v>
      </c>
      <c r="D110" s="9" t="str">
        <f aca="false" t="array" ref="D110:D110">IF(C110="","",IFERROR(INDEX('CLM &amp; IM Mapping'!$B$2:$B$270,MATCH(TRIM(C110),'CLM &amp; IM Mapping'!$A$2:$A$270,0)),"Not Mapped"))</f>
        <v>John Britto</v>
      </c>
      <c r="E110" s="9" t="str">
        <f aca="false" t="array" ref="E110:E110">IF(C110="","",IFERROR(INDEX('CLM &amp; IM Mapping'!$C$2:$C$270,MATCH(TRIM(C110),'CLM &amp; IM Mapping'!$A$2:$A$270,0)),"Not Mapped"))</f>
        <v>Aravind S</v>
      </c>
      <c r="F110" s="9" t="s">
        <v>27</v>
      </c>
      <c r="G110" s="10" t="n">
        <v>4157</v>
      </c>
      <c r="H110" s="10" t="n">
        <v>487</v>
      </c>
      <c r="I110" s="10" t="n">
        <v>0</v>
      </c>
      <c r="J110" s="10" t="n">
        <v>191</v>
      </c>
      <c r="K110" s="10" t="n">
        <v>666</v>
      </c>
      <c r="L110" s="10" t="n">
        <v>0</v>
      </c>
      <c r="M110" s="10" t="n">
        <v>0</v>
      </c>
      <c r="N110" s="10" t="n">
        <v>0</v>
      </c>
      <c r="O110" s="10" t="n">
        <v>5501</v>
      </c>
      <c r="P110" s="11"/>
      <c r="Q110" s="11"/>
      <c r="R110" s="11"/>
      <c r="S110" s="11"/>
      <c r="T110" s="12" t="str">
        <f aca="false">IF($C110="","",IFERROR(INDEX('Aisle Loss Data'!$B$2:$B$1931,MATCH(TRIM($C110)&amp;"|1",'Aisle Loss Data'!$E$2:$E$1931,0)),"No Loss")&amp;IFERROR(","&amp;INDEX('Aisle Loss Data'!$B$2:$B$1931,MATCH(TRIM($C110)&amp;"|2",'Aisle Loss Data'!$E$2:$E$1931,0)),""))</f>
        <v>A,B</v>
      </c>
      <c r="U110" s="13" t="n">
        <f aca="false">IF($C110="","",IFERROR(INDEX('Aisle Loss Data'!$C$2:$C$1931,MATCH(TRIM($C110)&amp;"|1",'Aisle Loss Data'!$E$2:$E$1931,0)),0)+IFERROR(INDEX('Aisle Loss Data'!$C$2:$C$1931,MATCH(TRIM($C110)&amp;"|2",'Aisle Loss Data'!$E$2:$E$1931,0)),0))</f>
        <v>4593.18</v>
      </c>
      <c r="V110" s="7"/>
      <c r="W110" s="7"/>
      <c r="X110" s="7"/>
      <c r="Y110" s="7"/>
      <c r="Z110" s="7"/>
    </row>
    <row r="111" customFormat="false" ht="15.75" hidden="false" customHeight="true" outlineLevel="0" collapsed="false">
      <c r="A111" s="8" t="s">
        <v>21</v>
      </c>
      <c r="B111" s="9" t="s">
        <v>22</v>
      </c>
      <c r="C111" s="8" t="s">
        <v>147</v>
      </c>
      <c r="D111" s="9" t="str">
        <f aca="false" t="array" ref="D111:D111">IF(C111="","",IFERROR(INDEX('CLM &amp; IM Mapping'!$B$2:$B$270,MATCH(TRIM(C111),'CLM &amp; IM Mapping'!$A$2:$A$270,0)),"Not Mapped"))</f>
        <v>Manjunatha V</v>
      </c>
      <c r="E111" s="9" t="str">
        <f aca="false" t="array" ref="E111:E111">IF(C111="","",IFERROR(INDEX('CLM &amp; IM Mapping'!$C$2:$C$270,MATCH(TRIM(C111),'CLM &amp; IM Mapping'!$A$2:$A$270,0)),"Not Mapped"))</f>
        <v>Un Mapped</v>
      </c>
      <c r="F111" s="9" t="s">
        <v>27</v>
      </c>
      <c r="G111" s="10" t="n">
        <v>-1563</v>
      </c>
      <c r="H111" s="10" t="n">
        <v>6067</v>
      </c>
      <c r="I111" s="10" t="n">
        <v>414</v>
      </c>
      <c r="J111" s="10" t="n">
        <v>227</v>
      </c>
      <c r="K111" s="10" t="n">
        <v>169</v>
      </c>
      <c r="L111" s="10" t="n">
        <v>0</v>
      </c>
      <c r="M111" s="10" t="n">
        <v>0</v>
      </c>
      <c r="N111" s="10" t="n">
        <v>0</v>
      </c>
      <c r="O111" s="10" t="n">
        <v>5314</v>
      </c>
      <c r="P111" s="11"/>
      <c r="Q111" s="11"/>
      <c r="R111" s="11"/>
      <c r="S111" s="11"/>
      <c r="T111" s="12" t="str">
        <f aca="false">IF($C111="","",IFERROR(INDEX('Aisle Loss Data'!$B$2:$B$1931,MATCH(TRIM($C111)&amp;"|1",'Aisle Loss Data'!$E$2:$E$1931,0)),"No Loss")&amp;IFERROR(","&amp;INDEX('Aisle Loss Data'!$B$2:$B$1931,MATCH(TRIM($C111)&amp;"|2",'Aisle Loss Data'!$E$2:$E$1931,0)),""))</f>
        <v>A,D</v>
      </c>
      <c r="U111" s="13" t="n">
        <f aca="false">IF($C111="","",IFERROR(INDEX('Aisle Loss Data'!$C$2:$C$1931,MATCH(TRIM($C111)&amp;"|1",'Aisle Loss Data'!$E$2:$E$1931,0)),0)+IFERROR(INDEX('Aisle Loss Data'!$C$2:$C$1931,MATCH(TRIM($C111)&amp;"|2",'Aisle Loss Data'!$E$2:$E$1931,0)),0))</f>
        <v>10699.69</v>
      </c>
      <c r="V111" s="7"/>
      <c r="W111" s="7"/>
      <c r="X111" s="7"/>
      <c r="Y111" s="7"/>
      <c r="Z111" s="7"/>
    </row>
    <row r="112" customFormat="false" ht="15.75" hidden="false" customHeight="true" outlineLevel="0" collapsed="false">
      <c r="A112" s="8" t="s">
        <v>21</v>
      </c>
      <c r="B112" s="9" t="s">
        <v>22</v>
      </c>
      <c r="C112" s="8" t="s">
        <v>148</v>
      </c>
      <c r="D112" s="9" t="str">
        <f aca="false" t="array" ref="D112:D112">IF(C112="","",IFERROR(INDEX('CLM &amp; IM Mapping'!$B$2:$B$270,MATCH(TRIM(C112),'CLM &amp; IM Mapping'!$A$2:$A$270,0)),"Not Mapped"))</f>
        <v>Narasimhamurthy R</v>
      </c>
      <c r="E112" s="9" t="str">
        <f aca="false" t="array" ref="E112:E112">IF(C112="","",IFERROR(INDEX('CLM &amp; IM Mapping'!$C$2:$C$270,MATCH(TRIM(C112),'CLM &amp; IM Mapping'!$A$2:$A$270,0)),"Not Mapped"))</f>
        <v>Kishor K</v>
      </c>
      <c r="F112" s="9" t="s">
        <v>27</v>
      </c>
      <c r="G112" s="10" t="n">
        <v>1067</v>
      </c>
      <c r="H112" s="10" t="n">
        <v>3758</v>
      </c>
      <c r="I112" s="10" t="n">
        <v>0</v>
      </c>
      <c r="J112" s="10" t="n">
        <v>0</v>
      </c>
      <c r="K112" s="10" t="n">
        <v>332</v>
      </c>
      <c r="L112" s="10" t="n">
        <v>0</v>
      </c>
      <c r="M112" s="10" t="n">
        <v>0</v>
      </c>
      <c r="N112" s="10" t="n">
        <v>0</v>
      </c>
      <c r="O112" s="10" t="n">
        <v>5158</v>
      </c>
      <c r="P112" s="11"/>
      <c r="Q112" s="11"/>
      <c r="R112" s="11"/>
      <c r="S112" s="11"/>
      <c r="T112" s="12" t="str">
        <f aca="false">IF($C112="","",IFERROR(INDEX('Aisle Loss Data'!$B$2:$B$1931,MATCH(TRIM($C112)&amp;"|1",'Aisle Loss Data'!$E$2:$E$1931,0)),"No Loss")&amp;IFERROR(","&amp;INDEX('Aisle Loss Data'!$B$2:$B$1931,MATCH(TRIM($C112)&amp;"|2",'Aisle Loss Data'!$E$2:$E$1931,0)),""))</f>
        <v>C,K</v>
      </c>
      <c r="U112" s="13" t="n">
        <f aca="false">IF($C112="","",IFERROR(INDEX('Aisle Loss Data'!$C$2:$C$1931,MATCH(TRIM($C112)&amp;"|1",'Aisle Loss Data'!$E$2:$E$1931,0)),0)+IFERROR(INDEX('Aisle Loss Data'!$C$2:$C$1931,MATCH(TRIM($C112)&amp;"|2",'Aisle Loss Data'!$E$2:$E$1931,0)),0))</f>
        <v>11499.86</v>
      </c>
      <c r="V112" s="7"/>
      <c r="W112" s="7"/>
      <c r="X112" s="7"/>
      <c r="Y112" s="7"/>
      <c r="Z112" s="7"/>
    </row>
    <row r="113" customFormat="false" ht="15.75" hidden="false" customHeight="true" outlineLevel="0" collapsed="false">
      <c r="A113" s="8" t="s">
        <v>21</v>
      </c>
      <c r="B113" s="9" t="s">
        <v>22</v>
      </c>
      <c r="C113" s="8" t="s">
        <v>149</v>
      </c>
      <c r="D113" s="9" t="str">
        <f aca="false" t="array" ref="D113:D113">IF(C113="","",IFERROR(INDEX('CLM &amp; IM Mapping'!$B$2:$B$270,MATCH(TRIM(C113),'CLM &amp; IM Mapping'!$A$2:$A$270,0)),"Not Mapped"))</f>
        <v>Ashwath S</v>
      </c>
      <c r="E113" s="9" t="str">
        <f aca="false" t="array" ref="E113:E113">IF(C113="","",IFERROR(INDEX('CLM &amp; IM Mapping'!$C$2:$C$270,MATCH(TRIM(C113),'CLM &amp; IM Mapping'!$A$2:$A$270,0)),"Not Mapped"))</f>
        <v>Kantha Kumar</v>
      </c>
      <c r="F113" s="9" t="s">
        <v>27</v>
      </c>
      <c r="G113" s="10" t="n">
        <v>-2982</v>
      </c>
      <c r="H113" s="10" t="n">
        <v>6814</v>
      </c>
      <c r="I113" s="10" t="n">
        <v>0</v>
      </c>
      <c r="J113" s="10" t="n">
        <v>732</v>
      </c>
      <c r="K113" s="10" t="n">
        <v>357</v>
      </c>
      <c r="L113" s="10" t="n">
        <v>0</v>
      </c>
      <c r="M113" s="10" t="n">
        <v>0</v>
      </c>
      <c r="N113" s="10" t="n">
        <v>0</v>
      </c>
      <c r="O113" s="10" t="n">
        <v>4921</v>
      </c>
      <c r="P113" s="11"/>
      <c r="Q113" s="11"/>
      <c r="R113" s="11"/>
      <c r="S113" s="11"/>
      <c r="T113" s="12" t="str">
        <f aca="false">IF($C113="","",IFERROR(INDEX('Aisle Loss Data'!$B$2:$B$1931,MATCH(TRIM($C113)&amp;"|1",'Aisle Loss Data'!$E$2:$E$1931,0)),"No Loss")&amp;IFERROR(","&amp;INDEX('Aisle Loss Data'!$B$2:$B$1931,MATCH(TRIM($C113)&amp;"|2",'Aisle Loss Data'!$E$2:$E$1931,0)),""))</f>
        <v>E,A</v>
      </c>
      <c r="U113" s="13" t="n">
        <f aca="false">IF($C113="","",IFERROR(INDEX('Aisle Loss Data'!$C$2:$C$1931,MATCH(TRIM($C113)&amp;"|1",'Aisle Loss Data'!$E$2:$E$1931,0)),0)+IFERROR(INDEX('Aisle Loss Data'!$C$2:$C$1931,MATCH(TRIM($C113)&amp;"|2",'Aisle Loss Data'!$E$2:$E$1931,0)),0))</f>
        <v>7151.44</v>
      </c>
      <c r="V113" s="7"/>
      <c r="W113" s="7"/>
      <c r="X113" s="7"/>
      <c r="Y113" s="7"/>
      <c r="Z113" s="7"/>
    </row>
    <row r="114" customFormat="false" ht="15.75" hidden="false" customHeight="true" outlineLevel="0" collapsed="false">
      <c r="A114" s="8" t="s">
        <v>21</v>
      </c>
      <c r="B114" s="9" t="s">
        <v>22</v>
      </c>
      <c r="C114" s="8" t="s">
        <v>150</v>
      </c>
      <c r="D114" s="9" t="str">
        <f aca="false" t="array" ref="D114:D114">IF(C114="","",IFERROR(INDEX('CLM &amp; IM Mapping'!$B$2:$B$270,MATCH(TRIM(C114),'CLM &amp; IM Mapping'!$A$2:$A$270,0)),"Not Mapped"))</f>
        <v>Manjunatha V</v>
      </c>
      <c r="E114" s="9" t="str">
        <f aca="false" t="array" ref="E114:E114">IF(C114="","",IFERROR(INDEX('CLM &amp; IM Mapping'!$C$2:$C$270,MATCH(TRIM(C114),'CLM &amp; IM Mapping'!$A$2:$A$270,0)),"Not Mapped"))</f>
        <v>Un Mapped</v>
      </c>
      <c r="F114" s="9" t="s">
        <v>27</v>
      </c>
      <c r="G114" s="10" t="n">
        <v>-3573</v>
      </c>
      <c r="H114" s="10" t="n">
        <v>8200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4627</v>
      </c>
      <c r="P114" s="11"/>
      <c r="Q114" s="11"/>
      <c r="R114" s="11"/>
      <c r="S114" s="11"/>
      <c r="T114" s="12" t="str">
        <f aca="false">IF($C114="","",IFERROR(INDEX('Aisle Loss Data'!$B$2:$B$1931,MATCH(TRIM($C114)&amp;"|1",'Aisle Loss Data'!$E$2:$E$1931,0)),"No Loss")&amp;IFERROR(","&amp;INDEX('Aisle Loss Data'!$B$2:$B$1931,MATCH(TRIM($C114)&amp;"|2",'Aisle Loss Data'!$E$2:$E$1931,0)),""))</f>
        <v>D,E</v>
      </c>
      <c r="U114" s="13" t="n">
        <f aca="false">IF($C114="","",IFERROR(INDEX('Aisle Loss Data'!$C$2:$C$1931,MATCH(TRIM($C114)&amp;"|1",'Aisle Loss Data'!$E$2:$E$1931,0)),0)+IFERROR(INDEX('Aisle Loss Data'!$C$2:$C$1931,MATCH(TRIM($C114)&amp;"|2",'Aisle Loss Data'!$E$2:$E$1931,0)),0))</f>
        <v>6205.48</v>
      </c>
      <c r="V114" s="7"/>
      <c r="W114" s="7"/>
      <c r="X114" s="7"/>
      <c r="Y114" s="7"/>
      <c r="Z114" s="7"/>
    </row>
    <row r="115" customFormat="false" ht="15.75" hidden="false" customHeight="true" outlineLevel="0" collapsed="false">
      <c r="A115" s="8" t="s">
        <v>21</v>
      </c>
      <c r="B115" s="9" t="s">
        <v>22</v>
      </c>
      <c r="C115" s="8" t="s">
        <v>151</v>
      </c>
      <c r="D115" s="9" t="str">
        <f aca="false" t="array" ref="D115:D115">IF(C115="","",IFERROR(INDEX('CLM &amp; IM Mapping'!$B$2:$B$270,MATCH(TRIM(C115),'CLM &amp; IM Mapping'!$A$2:$A$270,0)),"Not Mapped"))</f>
        <v>Manoj Kj</v>
      </c>
      <c r="E115" s="9" t="str">
        <f aca="false" t="array" ref="E115:E115">IF(C115="","",IFERROR(INDEX('CLM &amp; IM Mapping'!$C$2:$C$270,MATCH(TRIM(C115),'CLM &amp; IM Mapping'!$A$2:$A$270,0)),"Not Mapped"))</f>
        <v>Srittam Dhal</v>
      </c>
      <c r="F115" s="9" t="s">
        <v>27</v>
      </c>
      <c r="G115" s="10" t="n">
        <v>-7353</v>
      </c>
      <c r="H115" s="10" t="n">
        <v>11485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260</v>
      </c>
      <c r="N115" s="10" t="n">
        <v>0</v>
      </c>
      <c r="O115" s="10" t="n">
        <v>4392</v>
      </c>
      <c r="P115" s="11"/>
      <c r="Q115" s="11"/>
      <c r="R115" s="11"/>
      <c r="S115" s="11"/>
      <c r="T115" s="12" t="str">
        <f aca="false">IF($C115="","",IFERROR(INDEX('Aisle Loss Data'!$B$2:$B$1931,MATCH(TRIM($C115)&amp;"|1",'Aisle Loss Data'!$E$2:$E$1931,0)),"No Loss")&amp;IFERROR(","&amp;INDEX('Aisle Loss Data'!$B$2:$B$1931,MATCH(TRIM($C115)&amp;"|2",'Aisle Loss Data'!$E$2:$E$1931,0)),""))</f>
        <v>I,L</v>
      </c>
      <c r="U115" s="13" t="n">
        <f aca="false">IF($C115="","",IFERROR(INDEX('Aisle Loss Data'!$C$2:$C$1931,MATCH(TRIM($C115)&amp;"|1",'Aisle Loss Data'!$E$2:$E$1931,0)),0)+IFERROR(INDEX('Aisle Loss Data'!$C$2:$C$1931,MATCH(TRIM($C115)&amp;"|2",'Aisle Loss Data'!$E$2:$E$1931,0)),0))</f>
        <v>10044.78</v>
      </c>
      <c r="V115" s="7"/>
      <c r="W115" s="7"/>
      <c r="X115" s="7"/>
      <c r="Y115" s="7"/>
      <c r="Z115" s="7"/>
    </row>
    <row r="116" customFormat="false" ht="15.75" hidden="false" customHeight="true" outlineLevel="0" collapsed="false">
      <c r="A116" s="8" t="s">
        <v>21</v>
      </c>
      <c r="B116" s="9" t="s">
        <v>22</v>
      </c>
      <c r="C116" s="8" t="s">
        <v>152</v>
      </c>
      <c r="D116" s="9" t="str">
        <f aca="false" t="array" ref="D116:D116">IF(C116="","",IFERROR(INDEX('CLM &amp; IM Mapping'!$B$2:$B$270,MATCH(TRIM(C116),'CLM &amp; IM Mapping'!$A$2:$A$270,0)),"Not Mapped"))</f>
        <v>Basil Scariya</v>
      </c>
      <c r="E116" s="9" t="str">
        <f aca="false" t="array" ref="E116:E116">IF(C116="","",IFERROR(INDEX('CLM &amp; IM Mapping'!$C$2:$C$270,MATCH(TRIM(C116),'CLM &amp; IM Mapping'!$A$2:$A$270,0)),"Not Mapped"))</f>
        <v>Prakash BS</v>
      </c>
      <c r="F116" s="9" t="s">
        <v>27</v>
      </c>
      <c r="G116" s="10" t="n">
        <v>-2327</v>
      </c>
      <c r="H116" s="10" t="n">
        <v>6483</v>
      </c>
      <c r="I116" s="10" t="n">
        <v>0</v>
      </c>
      <c r="J116" s="10" t="n">
        <v>107</v>
      </c>
      <c r="K116" s="10" t="n">
        <v>124</v>
      </c>
      <c r="L116" s="10" t="n">
        <v>0</v>
      </c>
      <c r="M116" s="10" t="n">
        <v>0</v>
      </c>
      <c r="N116" s="10" t="n">
        <v>0</v>
      </c>
      <c r="O116" s="10" t="n">
        <v>4387</v>
      </c>
      <c r="P116" s="11"/>
      <c r="Q116" s="11"/>
      <c r="R116" s="11"/>
      <c r="S116" s="11"/>
      <c r="T116" s="12" t="str">
        <f aca="false">IF($C116="","",IFERROR(INDEX('Aisle Loss Data'!$B$2:$B$1931,MATCH(TRIM($C116)&amp;"|1",'Aisle Loss Data'!$E$2:$E$1931,0)),"No Loss")&amp;IFERROR(","&amp;INDEX('Aisle Loss Data'!$B$2:$B$1931,MATCH(TRIM($C116)&amp;"|2",'Aisle Loss Data'!$E$2:$E$1931,0)),""))</f>
        <v>P,S</v>
      </c>
      <c r="U116" s="13" t="n">
        <f aca="false">IF($C116="","",IFERROR(INDEX('Aisle Loss Data'!$C$2:$C$1931,MATCH(TRIM($C116)&amp;"|1",'Aisle Loss Data'!$E$2:$E$1931,0)),0)+IFERROR(INDEX('Aisle Loss Data'!$C$2:$C$1931,MATCH(TRIM($C116)&amp;"|2",'Aisle Loss Data'!$E$2:$E$1931,0)),0))</f>
        <v>4680.37</v>
      </c>
      <c r="V116" s="7"/>
      <c r="W116" s="7"/>
      <c r="X116" s="7"/>
      <c r="Y116" s="7"/>
      <c r="Z116" s="7"/>
    </row>
    <row r="117" customFormat="false" ht="15.75" hidden="false" customHeight="true" outlineLevel="0" collapsed="false">
      <c r="A117" s="8" t="s">
        <v>21</v>
      </c>
      <c r="B117" s="9" t="s">
        <v>104</v>
      </c>
      <c r="C117" s="8" t="s">
        <v>153</v>
      </c>
      <c r="D117" s="9" t="str">
        <f aca="false" t="array" ref="D117:D117">IF(C117="","",IFERROR(INDEX('CLM &amp; IM Mapping'!$B$2:$B$270,MATCH(TRIM(C117),'CLM &amp; IM Mapping'!$A$2:$A$270,0)),"Not Mapped"))</f>
        <v>Vishnu V</v>
      </c>
      <c r="E117" s="9" t="str">
        <f aca="false" t="array" ref="E117:E117">IF(C117="","",IFERROR(INDEX('CLM &amp; IM Mapping'!$C$2:$C$270,MATCH(TRIM(C117),'CLM &amp; IM Mapping'!$A$2:$A$270,0)),"Not Mapped"))</f>
        <v>Arivind S</v>
      </c>
      <c r="F117" s="9" t="s">
        <v>27</v>
      </c>
      <c r="G117" s="10" t="n">
        <v>-5122</v>
      </c>
      <c r="H117" s="10" t="n">
        <v>9454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4332</v>
      </c>
      <c r="P117" s="11"/>
      <c r="Q117" s="11"/>
      <c r="R117" s="11"/>
      <c r="S117" s="11"/>
      <c r="T117" s="12" t="str">
        <f aca="false">IF($C117="","",IFERROR(INDEX('Aisle Loss Data'!$B$2:$B$1931,MATCH(TRIM($C117)&amp;"|1",'Aisle Loss Data'!$E$2:$E$1931,0)),"No Loss")&amp;IFERROR(","&amp;INDEX('Aisle Loss Data'!$B$2:$B$1931,MATCH(TRIM($C117)&amp;"|2",'Aisle Loss Data'!$E$2:$E$1931,0)),""))</f>
        <v>A,G</v>
      </c>
      <c r="U117" s="13" t="n">
        <f aca="false">IF($C117="","",IFERROR(INDEX('Aisle Loss Data'!$C$2:$C$1931,MATCH(TRIM($C117)&amp;"|1",'Aisle Loss Data'!$E$2:$E$1931,0)),0)+IFERROR(INDEX('Aisle Loss Data'!$C$2:$C$1931,MATCH(TRIM($C117)&amp;"|2",'Aisle Loss Data'!$E$2:$E$1931,0)),0))</f>
        <v>4428.13</v>
      </c>
      <c r="V117" s="7"/>
      <c r="W117" s="7"/>
      <c r="X117" s="7"/>
      <c r="Y117" s="7"/>
      <c r="Z117" s="7"/>
    </row>
    <row r="118" customFormat="false" ht="15.75" hidden="false" customHeight="true" outlineLevel="0" collapsed="false">
      <c r="A118" s="8" t="s">
        <v>21</v>
      </c>
      <c r="B118" s="9" t="s">
        <v>22</v>
      </c>
      <c r="C118" s="8" t="s">
        <v>154</v>
      </c>
      <c r="D118" s="9" t="str">
        <f aca="false" t="array" ref="D118:D118">IF(C118="","",IFERROR(INDEX('CLM &amp; IM Mapping'!$B$2:$B$270,MATCH(TRIM(C118),'CLM &amp; IM Mapping'!$A$2:$A$270,0)),"Not Mapped"))</f>
        <v>Akshay P</v>
      </c>
      <c r="E118" s="9" t="str">
        <f aca="false" t="array" ref="E118:E118">IF(C118="","",IFERROR(INDEX('CLM &amp; IM Mapping'!$C$2:$C$270,MATCH(TRIM(C118),'CLM &amp; IM Mapping'!$A$2:$A$270,0)),"Not Mapped"))</f>
        <v>Srittam Dhal</v>
      </c>
      <c r="F118" s="9" t="s">
        <v>27</v>
      </c>
      <c r="G118" s="10" t="n">
        <v>-7256</v>
      </c>
      <c r="H118" s="10" t="n">
        <v>9465</v>
      </c>
      <c r="I118" s="10" t="n">
        <v>0</v>
      </c>
      <c r="J118" s="10" t="n">
        <v>0</v>
      </c>
      <c r="K118" s="10" t="n">
        <v>2002</v>
      </c>
      <c r="L118" s="10" t="n">
        <v>0</v>
      </c>
      <c r="M118" s="10" t="n">
        <v>0</v>
      </c>
      <c r="N118" s="10" t="n">
        <v>0</v>
      </c>
      <c r="O118" s="10" t="n">
        <v>4210</v>
      </c>
      <c r="P118" s="11"/>
      <c r="Q118" s="11"/>
      <c r="R118" s="11"/>
      <c r="S118" s="11"/>
      <c r="T118" s="12" t="str">
        <f aca="false">IF($C118="","",IFERROR(INDEX('Aisle Loss Data'!$B$2:$B$1931,MATCH(TRIM($C118)&amp;"|1",'Aisle Loss Data'!$E$2:$E$1931,0)),"No Loss")&amp;IFERROR(","&amp;INDEX('Aisle Loss Data'!$B$2:$B$1931,MATCH(TRIM($C118)&amp;"|2",'Aisle Loss Data'!$E$2:$E$1931,0)),""))</f>
        <v>P,O</v>
      </c>
      <c r="U118" s="13" t="n">
        <f aca="false">IF($C118="","",IFERROR(INDEX('Aisle Loss Data'!$C$2:$C$1931,MATCH(TRIM($C118)&amp;"|1",'Aisle Loss Data'!$E$2:$E$1931,0)),0)+IFERROR(INDEX('Aisle Loss Data'!$C$2:$C$1931,MATCH(TRIM($C118)&amp;"|2",'Aisle Loss Data'!$E$2:$E$1931,0)),0))</f>
        <v>34640.04</v>
      </c>
      <c r="V118" s="7"/>
      <c r="W118" s="7"/>
      <c r="X118" s="7"/>
      <c r="Y118" s="7"/>
      <c r="Z118" s="7"/>
    </row>
    <row r="119" customFormat="false" ht="15.75" hidden="false" customHeight="true" outlineLevel="0" collapsed="false">
      <c r="A119" s="8" t="s">
        <v>21</v>
      </c>
      <c r="B119" s="9" t="s">
        <v>145</v>
      </c>
      <c r="C119" s="8" t="s">
        <v>155</v>
      </c>
      <c r="D119" s="9" t="str">
        <f aca="false" t="array" ref="D119:D119">IF(C119="","",IFERROR(INDEX('CLM &amp; IM Mapping'!$B$2:$B$270,MATCH(TRIM(C119),'CLM &amp; IM Mapping'!$A$2:$A$270,0)),"Not Mapped"))</f>
        <v>John Britto</v>
      </c>
      <c r="E119" s="9" t="str">
        <f aca="false" t="array" ref="E119:E119">IF(C119="","",IFERROR(INDEX('CLM &amp; IM Mapping'!$C$2:$C$270,MATCH(TRIM(C119),'CLM &amp; IM Mapping'!$A$2:$A$270,0)),"Not Mapped"))</f>
        <v>Aravind S</v>
      </c>
      <c r="F119" s="9" t="s">
        <v>27</v>
      </c>
      <c r="G119" s="10" t="n">
        <v>2784</v>
      </c>
      <c r="H119" s="10" t="n">
        <v>1073</v>
      </c>
      <c r="I119" s="10" t="n">
        <v>0</v>
      </c>
      <c r="J119" s="10" t="n">
        <v>0</v>
      </c>
      <c r="K119" s="10" t="n">
        <v>295</v>
      </c>
      <c r="L119" s="10" t="n">
        <v>0</v>
      </c>
      <c r="M119" s="10" t="n">
        <v>0</v>
      </c>
      <c r="N119" s="10" t="n">
        <v>0</v>
      </c>
      <c r="O119" s="10" t="n">
        <v>4151</v>
      </c>
      <c r="P119" s="11"/>
      <c r="Q119" s="11"/>
      <c r="R119" s="11"/>
      <c r="S119" s="11"/>
      <c r="T119" s="12" t="str">
        <f aca="false">IF($C119="","",IFERROR(INDEX('Aisle Loss Data'!$B$2:$B$1931,MATCH(TRIM($C119)&amp;"|1",'Aisle Loss Data'!$E$2:$E$1931,0)),"No Loss")&amp;IFERROR(","&amp;INDEX('Aisle Loss Data'!$B$2:$B$1931,MATCH(TRIM($C119)&amp;"|2",'Aisle Loss Data'!$E$2:$E$1931,0)),""))</f>
        <v>A,F</v>
      </c>
      <c r="U119" s="13" t="n">
        <f aca="false">IF($C119="","",IFERROR(INDEX('Aisle Loss Data'!$C$2:$C$1931,MATCH(TRIM($C119)&amp;"|1",'Aisle Loss Data'!$E$2:$E$1931,0)),0)+IFERROR(INDEX('Aisle Loss Data'!$C$2:$C$1931,MATCH(TRIM($C119)&amp;"|2",'Aisle Loss Data'!$E$2:$E$1931,0)),0))</f>
        <v>5980.84</v>
      </c>
      <c r="V119" s="7"/>
      <c r="W119" s="7"/>
      <c r="X119" s="7"/>
      <c r="Y119" s="7"/>
      <c r="Z119" s="7"/>
    </row>
    <row r="120" customFormat="false" ht="15.75" hidden="false" customHeight="true" outlineLevel="0" collapsed="false">
      <c r="A120" s="8" t="s">
        <v>21</v>
      </c>
      <c r="B120" s="9" t="s">
        <v>22</v>
      </c>
      <c r="C120" s="8" t="s">
        <v>156</v>
      </c>
      <c r="D120" s="9" t="str">
        <f aca="false" t="array" ref="D120:D120">IF(C120="","",IFERROR(INDEX('CLM &amp; IM Mapping'!$B$2:$B$270,MATCH(TRIM(C120),'CLM &amp; IM Mapping'!$A$2:$A$270,0)),"Not Mapped"))</f>
        <v>Ashwath S</v>
      </c>
      <c r="E120" s="9" t="str">
        <f aca="false" t="array" ref="E120:E120">IF(C120="","",IFERROR(INDEX('CLM &amp; IM Mapping'!$C$2:$C$270,MATCH(TRIM(C120),'CLM &amp; IM Mapping'!$A$2:$A$270,0)),"Not Mapped"))</f>
        <v>Kantha Kumar</v>
      </c>
      <c r="F120" s="9" t="s">
        <v>27</v>
      </c>
      <c r="G120" s="10" t="n">
        <v>-6644</v>
      </c>
      <c r="H120" s="10" t="n">
        <v>7146</v>
      </c>
      <c r="I120" s="10" t="n">
        <v>1302</v>
      </c>
      <c r="J120" s="10" t="n">
        <v>2188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3992</v>
      </c>
      <c r="P120" s="11"/>
      <c r="Q120" s="11"/>
      <c r="R120" s="11"/>
      <c r="S120" s="11"/>
      <c r="T120" s="12" t="str">
        <f aca="false">IF($C120="","",IFERROR(INDEX('Aisle Loss Data'!$B$2:$B$1931,MATCH(TRIM($C120)&amp;"|1",'Aisle Loss Data'!$E$2:$E$1931,0)),"No Loss")&amp;IFERROR(","&amp;INDEX('Aisle Loss Data'!$B$2:$B$1931,MATCH(TRIM($C120)&amp;"|2",'Aisle Loss Data'!$E$2:$E$1931,0)),""))</f>
        <v>G,D</v>
      </c>
      <c r="U120" s="13" t="n">
        <f aca="false">IF($C120="","",IFERROR(INDEX('Aisle Loss Data'!$C$2:$C$1931,MATCH(TRIM($C120)&amp;"|1",'Aisle Loss Data'!$E$2:$E$1931,0)),0)+IFERROR(INDEX('Aisle Loss Data'!$C$2:$C$1931,MATCH(TRIM($C120)&amp;"|2",'Aisle Loss Data'!$E$2:$E$1931,0)),0))</f>
        <v>4288.53</v>
      </c>
      <c r="V120" s="7"/>
      <c r="W120" s="7"/>
      <c r="X120" s="7"/>
      <c r="Y120" s="7"/>
      <c r="Z120" s="7"/>
    </row>
    <row r="121" customFormat="false" ht="15.75" hidden="false" customHeight="true" outlineLevel="0" collapsed="false">
      <c r="A121" s="8" t="s">
        <v>21</v>
      </c>
      <c r="B121" s="9" t="s">
        <v>22</v>
      </c>
      <c r="C121" s="8" t="s">
        <v>157</v>
      </c>
      <c r="D121" s="9" t="str">
        <f aca="false" t="array" ref="D121:D121">IF(C121="","",IFERROR(INDEX('CLM &amp; IM Mapping'!$B$2:$B$270,MATCH(TRIM(C121),'CLM &amp; IM Mapping'!$A$2:$A$270,0)),"Not Mapped"))</f>
        <v>Ashwath S</v>
      </c>
      <c r="E121" s="9" t="str">
        <f aca="false" t="array" ref="E121:E121">IF(C121="","",IFERROR(INDEX('CLM &amp; IM Mapping'!$C$2:$C$270,MATCH(TRIM(C121),'CLM &amp; IM Mapping'!$A$2:$A$270,0)),"Not Mapped"))</f>
        <v>Kantha Kumar</v>
      </c>
      <c r="F121" s="9" t="s">
        <v>27</v>
      </c>
      <c r="G121" s="10" t="n">
        <v>-1423</v>
      </c>
      <c r="H121" s="10" t="n">
        <v>3189</v>
      </c>
      <c r="I121" s="10" t="n">
        <v>0</v>
      </c>
      <c r="J121" s="10" t="n">
        <v>1771</v>
      </c>
      <c r="K121" s="10" t="n">
        <v>99</v>
      </c>
      <c r="L121" s="10" t="n">
        <v>0</v>
      </c>
      <c r="M121" s="10" t="n">
        <v>0</v>
      </c>
      <c r="N121" s="10" t="n">
        <v>0</v>
      </c>
      <c r="O121" s="10" t="n">
        <v>3636</v>
      </c>
      <c r="P121" s="11"/>
      <c r="Q121" s="11"/>
      <c r="R121" s="11"/>
      <c r="S121" s="11"/>
      <c r="T121" s="12" t="str">
        <f aca="false">IF($C121="","",IFERROR(INDEX('Aisle Loss Data'!$B$2:$B$1931,MATCH(TRIM($C121)&amp;"|1",'Aisle Loss Data'!$E$2:$E$1931,0)),"No Loss")&amp;IFERROR(","&amp;INDEX('Aisle Loss Data'!$B$2:$B$1931,MATCH(TRIM($C121)&amp;"|2",'Aisle Loss Data'!$E$2:$E$1931,0)),""))</f>
        <v>I,G</v>
      </c>
      <c r="U121" s="13" t="n">
        <f aca="false">IF($C121="","",IFERROR(INDEX('Aisle Loss Data'!$C$2:$C$1931,MATCH(TRIM($C121)&amp;"|1",'Aisle Loss Data'!$E$2:$E$1931,0)),0)+IFERROR(INDEX('Aisle Loss Data'!$C$2:$C$1931,MATCH(TRIM($C121)&amp;"|2",'Aisle Loss Data'!$E$2:$E$1931,0)),0))</f>
        <v>20759.33</v>
      </c>
      <c r="V121" s="7"/>
      <c r="W121" s="7"/>
      <c r="X121" s="7"/>
      <c r="Y121" s="7"/>
      <c r="Z121" s="7"/>
    </row>
    <row r="122" customFormat="false" ht="15.75" hidden="false" customHeight="true" outlineLevel="0" collapsed="false">
      <c r="A122" s="8" t="s">
        <v>21</v>
      </c>
      <c r="B122" s="9" t="s">
        <v>104</v>
      </c>
      <c r="C122" s="9" t="s">
        <v>158</v>
      </c>
      <c r="D122" s="9" t="str">
        <f aca="false" t="array" ref="D122:D122">IF(C122="","",IFERROR(INDEX('CLM &amp; IM Mapping'!$B$2:$B$270,MATCH(TRIM(C122),'CLM &amp; IM Mapping'!$A$2:$A$270,0)),"Not Mapped"))</f>
        <v>Vishnu V</v>
      </c>
      <c r="E122" s="9" t="str">
        <f aca="false" t="array" ref="E122:E122">IF(C122="","",IFERROR(INDEX('CLM &amp; IM Mapping'!$C$2:$C$270,MATCH(TRIM(C122),'CLM &amp; IM Mapping'!$A$2:$A$270,0)),"Not Mapped"))</f>
        <v>Arivind S</v>
      </c>
      <c r="F122" s="9" t="s">
        <v>27</v>
      </c>
      <c r="G122" s="10" t="n">
        <v>632</v>
      </c>
      <c r="H122" s="10" t="n">
        <v>2776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3408</v>
      </c>
      <c r="P122" s="11"/>
      <c r="Q122" s="11"/>
      <c r="R122" s="11"/>
      <c r="S122" s="11"/>
      <c r="T122" s="12" t="str">
        <f aca="false">IF($C122="","",IFERROR(INDEX('Aisle Loss Data'!$B$2:$B$1931,MATCH(TRIM($C122)&amp;"|1",'Aisle Loss Data'!$E$2:$E$1931,0)),"No Loss")&amp;IFERROR(","&amp;INDEX('Aisle Loss Data'!$B$2:$B$1931,MATCH(TRIM($C122)&amp;"|2",'Aisle Loss Data'!$E$2:$E$1931,0)),""))</f>
        <v>H,K</v>
      </c>
      <c r="U122" s="13" t="n">
        <f aca="false">IF($C122="","",IFERROR(INDEX('Aisle Loss Data'!$C$2:$C$1931,MATCH(TRIM($C122)&amp;"|1",'Aisle Loss Data'!$E$2:$E$1931,0)),0)+IFERROR(INDEX('Aisle Loss Data'!$C$2:$C$1931,MATCH(TRIM($C122)&amp;"|2",'Aisle Loss Data'!$E$2:$E$1931,0)),0))</f>
        <v>12632.57</v>
      </c>
      <c r="V122" s="7"/>
      <c r="W122" s="7"/>
      <c r="X122" s="7"/>
      <c r="Y122" s="7"/>
      <c r="Z122" s="7"/>
    </row>
    <row r="123" customFormat="false" ht="15.75" hidden="false" customHeight="true" outlineLevel="0" collapsed="false">
      <c r="A123" s="8" t="s">
        <v>21</v>
      </c>
      <c r="B123" s="9" t="s">
        <v>130</v>
      </c>
      <c r="C123" s="8" t="s">
        <v>159</v>
      </c>
      <c r="D123" s="9" t="str">
        <f aca="false" t="array" ref="D123:D123">IF(C123="","",IFERROR(INDEX('CLM &amp; IM Mapping'!$B$2:$B$270,MATCH(TRIM(C123),'CLM &amp; IM Mapping'!$A$2:$A$270,0)),"Not Mapped"))</f>
        <v>Santhosha M</v>
      </c>
      <c r="E123" s="9" t="str">
        <f aca="false" t="array" ref="E123:E123">IF(C123="","",IFERROR(INDEX('CLM &amp; IM Mapping'!$C$2:$C$270,MATCH(TRIM(C123),'CLM &amp; IM Mapping'!$A$2:$A$270,0)),"Not Mapped"))</f>
        <v>Aravind S</v>
      </c>
      <c r="F123" s="9" t="s">
        <v>27</v>
      </c>
      <c r="G123" s="10" t="n">
        <v>3322</v>
      </c>
      <c r="H123" s="10" t="n">
        <v>0</v>
      </c>
      <c r="I123" s="10" t="n">
        <v>0</v>
      </c>
      <c r="J123" s="10" t="n">
        <v>0</v>
      </c>
      <c r="K123" s="10" t="n">
        <v>70</v>
      </c>
      <c r="L123" s="10" t="n">
        <v>0</v>
      </c>
      <c r="M123" s="10" t="n">
        <v>0</v>
      </c>
      <c r="N123" s="10" t="n">
        <v>0</v>
      </c>
      <c r="O123" s="10" t="n">
        <v>3391</v>
      </c>
      <c r="P123" s="11"/>
      <c r="Q123" s="11"/>
      <c r="R123" s="11"/>
      <c r="S123" s="11"/>
      <c r="T123" s="12" t="str">
        <f aca="false">IF($C123="","",IFERROR(INDEX('Aisle Loss Data'!$B$2:$B$1931,MATCH(TRIM($C123)&amp;"|1",'Aisle Loss Data'!$E$2:$E$1931,0)),"No Loss")&amp;IFERROR(","&amp;INDEX('Aisle Loss Data'!$B$2:$B$1931,MATCH(TRIM($C123)&amp;"|2",'Aisle Loss Data'!$E$2:$E$1931,0)),""))</f>
        <v>H,N</v>
      </c>
      <c r="U123" s="13" t="n">
        <f aca="false">IF($C123="","",IFERROR(INDEX('Aisle Loss Data'!$C$2:$C$1931,MATCH(TRIM($C123)&amp;"|1",'Aisle Loss Data'!$E$2:$E$1931,0)),0)+IFERROR(INDEX('Aisle Loss Data'!$C$2:$C$1931,MATCH(TRIM($C123)&amp;"|2",'Aisle Loss Data'!$E$2:$E$1931,0)),0))</f>
        <v>3812.05</v>
      </c>
      <c r="V123" s="7"/>
      <c r="W123" s="7"/>
      <c r="X123" s="7"/>
      <c r="Y123" s="7"/>
      <c r="Z123" s="7"/>
    </row>
    <row r="124" customFormat="false" ht="15.75" hidden="false" customHeight="true" outlineLevel="0" collapsed="false">
      <c r="A124" s="8" t="s">
        <v>21</v>
      </c>
      <c r="B124" s="9" t="s">
        <v>22</v>
      </c>
      <c r="C124" s="9" t="s">
        <v>160</v>
      </c>
      <c r="D124" s="9" t="str">
        <f aca="false" t="array" ref="D124:D124">IF(C124="","",IFERROR(INDEX('CLM &amp; IM Mapping'!$B$2:$B$270,MATCH(TRIM(C124),'CLM &amp; IM Mapping'!$A$2:$A$270,0)),"Not Mapped"))</f>
        <v>Suhas N</v>
      </c>
      <c r="E124" s="9" t="str">
        <f aca="false" t="array" ref="E124:E124">IF(C124="","",IFERROR(INDEX('CLM &amp; IM Mapping'!$C$2:$C$270,MATCH(TRIM(C124),'CLM &amp; IM Mapping'!$A$2:$A$270,0)),"Not Mapped"))</f>
        <v>Aravind S</v>
      </c>
      <c r="F124" s="9" t="s">
        <v>27</v>
      </c>
      <c r="G124" s="10" t="n">
        <v>2986</v>
      </c>
      <c r="H124" s="10" t="n">
        <v>0</v>
      </c>
      <c r="I124" s="10" t="n">
        <v>0</v>
      </c>
      <c r="J124" s="10" t="n">
        <v>0</v>
      </c>
      <c r="K124" s="10" t="n">
        <v>144</v>
      </c>
      <c r="L124" s="10" t="n">
        <v>0</v>
      </c>
      <c r="M124" s="10" t="n">
        <v>0</v>
      </c>
      <c r="N124" s="10" t="n">
        <v>0</v>
      </c>
      <c r="O124" s="10" t="n">
        <v>3130</v>
      </c>
      <c r="P124" s="11"/>
      <c r="Q124" s="11"/>
      <c r="R124" s="11"/>
      <c r="S124" s="11"/>
      <c r="T124" s="12" t="str">
        <f aca="false">IF($C124="","",IFERROR(INDEX('Aisle Loss Data'!$B$2:$B$1931,MATCH(TRIM($C124)&amp;"|1",'Aisle Loss Data'!$E$2:$E$1931,0)),"No Loss")&amp;IFERROR(","&amp;INDEX('Aisle Loss Data'!$B$2:$B$1931,MATCH(TRIM($C124)&amp;"|2",'Aisle Loss Data'!$E$2:$E$1931,0)),""))</f>
        <v>M,G</v>
      </c>
      <c r="U124" s="13" t="n">
        <f aca="false">IF($C124="","",IFERROR(INDEX('Aisle Loss Data'!$C$2:$C$1931,MATCH(TRIM($C124)&amp;"|1",'Aisle Loss Data'!$E$2:$E$1931,0)),0)+IFERROR(INDEX('Aisle Loss Data'!$C$2:$C$1931,MATCH(TRIM($C124)&amp;"|2",'Aisle Loss Data'!$E$2:$E$1931,0)),0))</f>
        <v>6681.73</v>
      </c>
      <c r="V124" s="7"/>
      <c r="W124" s="7"/>
      <c r="X124" s="7"/>
      <c r="Y124" s="7"/>
      <c r="Z124" s="7"/>
    </row>
    <row r="125" customFormat="false" ht="15.75" hidden="false" customHeight="true" outlineLevel="0" collapsed="false">
      <c r="A125" s="8" t="s">
        <v>21</v>
      </c>
      <c r="B125" s="9" t="s">
        <v>22</v>
      </c>
      <c r="C125" s="8" t="s">
        <v>161</v>
      </c>
      <c r="D125" s="9" t="str">
        <f aca="false" t="array" ref="D125:D125">IF(C125="","",IFERROR(INDEX('CLM &amp; IM Mapping'!$B$2:$B$270,MATCH(TRIM(C125),'CLM &amp; IM Mapping'!$A$2:$A$270,0)),"Not Mapped"))</f>
        <v>Ashwath S</v>
      </c>
      <c r="E125" s="9" t="str">
        <f aca="false" t="array" ref="E125:E125">IF(C125="","",IFERROR(INDEX('CLM &amp; IM Mapping'!$C$2:$C$270,MATCH(TRIM(C125),'CLM &amp; IM Mapping'!$A$2:$A$270,0)),"Not Mapped"))</f>
        <v>Kantha Kumar</v>
      </c>
      <c r="F125" s="9" t="s">
        <v>27</v>
      </c>
      <c r="G125" s="10" t="n">
        <v>1551</v>
      </c>
      <c r="H125" s="10" t="n">
        <v>792</v>
      </c>
      <c r="I125" s="10" t="n">
        <v>0</v>
      </c>
      <c r="J125" s="10" t="n">
        <v>0</v>
      </c>
      <c r="K125" s="10" t="n">
        <v>426</v>
      </c>
      <c r="L125" s="10" t="n">
        <v>0</v>
      </c>
      <c r="M125" s="10" t="n">
        <v>0</v>
      </c>
      <c r="N125" s="10" t="n">
        <v>0</v>
      </c>
      <c r="O125" s="10" t="n">
        <v>2770</v>
      </c>
      <c r="P125" s="11"/>
      <c r="Q125" s="11"/>
      <c r="R125" s="11"/>
      <c r="S125" s="11"/>
      <c r="T125" s="12" t="str">
        <f aca="false">IF($C125="","",IFERROR(INDEX('Aisle Loss Data'!$B$2:$B$1931,MATCH(TRIM($C125)&amp;"|1",'Aisle Loss Data'!$E$2:$E$1931,0)),"No Loss")&amp;IFERROR(","&amp;INDEX('Aisle Loss Data'!$B$2:$B$1931,MATCH(TRIM($C125)&amp;"|2",'Aisle Loss Data'!$E$2:$E$1931,0)),""))</f>
        <v>H,I</v>
      </c>
      <c r="U125" s="13" t="n">
        <f aca="false">IF($C125="","",IFERROR(INDEX('Aisle Loss Data'!$C$2:$C$1931,MATCH(TRIM($C125)&amp;"|1",'Aisle Loss Data'!$E$2:$E$1931,0)),0)+IFERROR(INDEX('Aisle Loss Data'!$C$2:$C$1931,MATCH(TRIM($C125)&amp;"|2",'Aisle Loss Data'!$E$2:$E$1931,0)),0))</f>
        <v>5520.17</v>
      </c>
      <c r="V125" s="7"/>
      <c r="W125" s="7"/>
      <c r="X125" s="7"/>
      <c r="Y125" s="7"/>
      <c r="Z125" s="7"/>
    </row>
    <row r="126" customFormat="false" ht="15.75" hidden="false" customHeight="true" outlineLevel="0" collapsed="false">
      <c r="A126" s="8" t="s">
        <v>21</v>
      </c>
      <c r="B126" s="9" t="s">
        <v>22</v>
      </c>
      <c r="C126" s="8" t="s">
        <v>162</v>
      </c>
      <c r="D126" s="9" t="str">
        <f aca="false" t="array" ref="D126:D126">IF(C126="","",IFERROR(INDEX('CLM &amp; IM Mapping'!$B$2:$B$270,MATCH(TRIM(C126),'CLM &amp; IM Mapping'!$A$2:$A$270,0)),"Not Mapped"))</f>
        <v>Vijay M</v>
      </c>
      <c r="E126" s="9" t="str">
        <f aca="false" t="array" ref="E126:E126">IF(C126="","",IFERROR(INDEX('CLM &amp; IM Mapping'!$C$2:$C$270,MATCH(TRIM(C126),'CLM &amp; IM Mapping'!$A$2:$A$270,0)),"Not Mapped"))</f>
        <v>Kantha Kumar</v>
      </c>
      <c r="F126" s="9" t="s">
        <v>27</v>
      </c>
      <c r="G126" s="10" t="n">
        <v>-17737</v>
      </c>
      <c r="H126" s="10" t="n">
        <v>18120</v>
      </c>
      <c r="I126" s="10" t="n">
        <v>166</v>
      </c>
      <c r="J126" s="10" t="n">
        <v>1924</v>
      </c>
      <c r="K126" s="10" t="n">
        <v>232</v>
      </c>
      <c r="L126" s="10" t="n">
        <v>0</v>
      </c>
      <c r="M126" s="10" t="n">
        <v>0</v>
      </c>
      <c r="N126" s="10" t="n">
        <v>0</v>
      </c>
      <c r="O126" s="10" t="n">
        <v>2706</v>
      </c>
      <c r="P126" s="11"/>
      <c r="Q126" s="11"/>
      <c r="R126" s="11"/>
      <c r="S126" s="11"/>
      <c r="T126" s="12" t="str">
        <f aca="false">IF($C126="","",IFERROR(INDEX('Aisle Loss Data'!$B$2:$B$1931,MATCH(TRIM($C126)&amp;"|1",'Aisle Loss Data'!$E$2:$E$1931,0)),"No Loss")&amp;IFERROR(","&amp;INDEX('Aisle Loss Data'!$B$2:$B$1931,MATCH(TRIM($C126)&amp;"|2",'Aisle Loss Data'!$E$2:$E$1931,0)),""))</f>
        <v>G,L</v>
      </c>
      <c r="U126" s="13" t="n">
        <f aca="false">IF($C126="","",IFERROR(INDEX('Aisle Loss Data'!$C$2:$C$1931,MATCH(TRIM($C126)&amp;"|1",'Aisle Loss Data'!$E$2:$E$1931,0)),0)+IFERROR(INDEX('Aisle Loss Data'!$C$2:$C$1931,MATCH(TRIM($C126)&amp;"|2",'Aisle Loss Data'!$E$2:$E$1931,0)),0))</f>
        <v>14672.04</v>
      </c>
      <c r="V126" s="7"/>
      <c r="W126" s="7"/>
      <c r="X126" s="7"/>
      <c r="Y126" s="7"/>
      <c r="Z126" s="7"/>
    </row>
    <row r="127" customFormat="false" ht="15.75" hidden="false" customHeight="true" outlineLevel="0" collapsed="false">
      <c r="A127" s="8" t="s">
        <v>21</v>
      </c>
      <c r="B127" s="9" t="s">
        <v>22</v>
      </c>
      <c r="C127" s="9" t="s">
        <v>163</v>
      </c>
      <c r="D127" s="9" t="str">
        <f aca="false" t="array" ref="D127:D127">IF(C127="","",IFERROR(INDEX('CLM &amp; IM Mapping'!$B$2:$B$270,MATCH(TRIM(C127),'CLM &amp; IM Mapping'!$A$2:$A$270,0)),"Not Mapped"))</f>
        <v>Basil Scariya</v>
      </c>
      <c r="E127" s="9" t="str">
        <f aca="false" t="array" ref="E127:E127">IF(C127="","",IFERROR(INDEX('CLM &amp; IM Mapping'!$C$2:$C$270,MATCH(TRIM(C127),'CLM &amp; IM Mapping'!$A$2:$A$270,0)),"Not Mapped"))</f>
        <v>Prakash BS</v>
      </c>
      <c r="F127" s="9" t="s">
        <v>27</v>
      </c>
      <c r="G127" s="10" t="n">
        <v>-5301</v>
      </c>
      <c r="H127" s="10" t="n">
        <v>7662</v>
      </c>
      <c r="I127" s="10" t="n">
        <v>0</v>
      </c>
      <c r="J127" s="10" t="n">
        <v>98</v>
      </c>
      <c r="K127" s="10" t="n">
        <v>222</v>
      </c>
      <c r="L127" s="10" t="n">
        <v>0</v>
      </c>
      <c r="M127" s="10" t="n">
        <v>0</v>
      </c>
      <c r="N127" s="10" t="n">
        <v>0</v>
      </c>
      <c r="O127" s="10" t="n">
        <v>2681</v>
      </c>
      <c r="P127" s="11"/>
      <c r="Q127" s="11"/>
      <c r="R127" s="11"/>
      <c r="S127" s="11"/>
      <c r="T127" s="12" t="str">
        <f aca="false">IF($C127="","",IFERROR(INDEX('Aisle Loss Data'!$B$2:$B$1931,MATCH(TRIM($C127)&amp;"|1",'Aisle Loss Data'!$E$2:$E$1931,0)),"No Loss")&amp;IFERROR(","&amp;INDEX('Aisle Loss Data'!$B$2:$B$1931,MATCH(TRIM($C127)&amp;"|2",'Aisle Loss Data'!$E$2:$E$1931,0)),""))</f>
        <v>D,F</v>
      </c>
      <c r="U127" s="13" t="n">
        <f aca="false">IF($C127="","",IFERROR(INDEX('Aisle Loss Data'!$C$2:$C$1931,MATCH(TRIM($C127)&amp;"|1",'Aisle Loss Data'!$E$2:$E$1931,0)),0)+IFERROR(INDEX('Aisle Loss Data'!$C$2:$C$1931,MATCH(TRIM($C127)&amp;"|2",'Aisle Loss Data'!$E$2:$E$1931,0)),0))</f>
        <v>8829.69</v>
      </c>
      <c r="V127" s="7"/>
      <c r="W127" s="7"/>
      <c r="X127" s="7"/>
      <c r="Y127" s="7"/>
      <c r="Z127" s="7"/>
    </row>
    <row r="128" customFormat="false" ht="15.75" hidden="false" customHeight="true" outlineLevel="0" collapsed="false">
      <c r="A128" s="8" t="s">
        <v>21</v>
      </c>
      <c r="B128" s="9" t="s">
        <v>22</v>
      </c>
      <c r="C128" s="8" t="s">
        <v>164</v>
      </c>
      <c r="D128" s="9" t="str">
        <f aca="false" t="array" ref="D128:D128">IF(C128="","",IFERROR(INDEX('CLM &amp; IM Mapping'!$B$2:$B$270,MATCH(TRIM(C128),'CLM &amp; IM Mapping'!$A$2:$A$270,0)),"Not Mapped"))</f>
        <v>Akshay P</v>
      </c>
      <c r="E128" s="9" t="str">
        <f aca="false" t="array" ref="E128:E128">IF(C128="","",IFERROR(INDEX('CLM &amp; IM Mapping'!$C$2:$C$270,MATCH(TRIM(C128),'CLM &amp; IM Mapping'!$A$2:$A$270,0)),"Not Mapped"))</f>
        <v>Srittam Dhal</v>
      </c>
      <c r="F128" s="9" t="s">
        <v>27</v>
      </c>
      <c r="G128" s="10" t="n">
        <v>1510</v>
      </c>
      <c r="H128" s="10" t="n">
        <v>33</v>
      </c>
      <c r="I128" s="10" t="n">
        <v>38</v>
      </c>
      <c r="J128" s="10" t="n">
        <v>94</v>
      </c>
      <c r="K128" s="10" t="n">
        <v>658</v>
      </c>
      <c r="L128" s="10" t="n">
        <v>0</v>
      </c>
      <c r="M128" s="10" t="n">
        <v>0</v>
      </c>
      <c r="N128" s="10" t="n">
        <v>0</v>
      </c>
      <c r="O128" s="10" t="n">
        <v>2332</v>
      </c>
      <c r="P128" s="11"/>
      <c r="Q128" s="11"/>
      <c r="R128" s="11"/>
      <c r="S128" s="11"/>
      <c r="T128" s="12" t="str">
        <f aca="false">IF($C128="","",IFERROR(INDEX('Aisle Loss Data'!$B$2:$B$1931,MATCH(TRIM($C128)&amp;"|1",'Aisle Loss Data'!$E$2:$E$1931,0)),"No Loss")&amp;IFERROR(","&amp;INDEX('Aisle Loss Data'!$B$2:$B$1931,MATCH(TRIM($C128)&amp;"|2",'Aisle Loss Data'!$E$2:$E$1931,0)),""))</f>
        <v>B,H</v>
      </c>
      <c r="U128" s="13" t="n">
        <f aca="false">IF($C128="","",IFERROR(INDEX('Aisle Loss Data'!$C$2:$C$1931,MATCH(TRIM($C128)&amp;"|1",'Aisle Loss Data'!$E$2:$E$1931,0)),0)+IFERROR(INDEX('Aisle Loss Data'!$C$2:$C$1931,MATCH(TRIM($C128)&amp;"|2",'Aisle Loss Data'!$E$2:$E$1931,0)),0))</f>
        <v>3831.84</v>
      </c>
      <c r="V128" s="7"/>
      <c r="W128" s="7"/>
      <c r="X128" s="7"/>
      <c r="Y128" s="7"/>
      <c r="Z128" s="7"/>
    </row>
    <row r="129" customFormat="false" ht="15.75" hidden="false" customHeight="true" outlineLevel="0" collapsed="false">
      <c r="A129" s="8" t="s">
        <v>21</v>
      </c>
      <c r="B129" s="9" t="s">
        <v>165</v>
      </c>
      <c r="C129" s="8" t="s">
        <v>166</v>
      </c>
      <c r="D129" s="9" t="str">
        <f aca="false" t="array" ref="D129:D129">IF(C129="","",IFERROR(INDEX('CLM &amp; IM Mapping'!$B$2:$B$270,MATCH(TRIM(C129),'CLM &amp; IM Mapping'!$A$2:$A$270,0)),"Not Mapped"))</f>
        <v>Akshay P</v>
      </c>
      <c r="E129" s="9" t="str">
        <f aca="false" t="array" ref="E129:E129">IF(C129="","",IFERROR(INDEX('CLM &amp; IM Mapping'!$C$2:$C$270,MATCH(TRIM(C129),'CLM &amp; IM Mapping'!$A$2:$A$270,0)),"Not Mapped"))</f>
        <v>Srittam Dhal</v>
      </c>
      <c r="F129" s="9" t="s">
        <v>27</v>
      </c>
      <c r="G129" s="10" t="n">
        <v>1775</v>
      </c>
      <c r="H129" s="10" t="n">
        <v>511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2287</v>
      </c>
      <c r="P129" s="11"/>
      <c r="Q129" s="11"/>
      <c r="R129" s="11"/>
      <c r="S129" s="11"/>
      <c r="T129" s="12" t="str">
        <f aca="false">IF($C129="","",IFERROR(INDEX('Aisle Loss Data'!$B$2:$B$1931,MATCH(TRIM($C129)&amp;"|1",'Aisle Loss Data'!$E$2:$E$1931,0)),"No Loss")&amp;IFERROR(","&amp;INDEX('Aisle Loss Data'!$B$2:$B$1931,MATCH(TRIM($C129)&amp;"|2",'Aisle Loss Data'!$E$2:$E$1931,0)),""))</f>
        <v>H,A</v>
      </c>
      <c r="U129" s="13" t="n">
        <f aca="false">IF($C129="","",IFERROR(INDEX('Aisle Loss Data'!$C$2:$C$1931,MATCH(TRIM($C129)&amp;"|1",'Aisle Loss Data'!$E$2:$E$1931,0)),0)+IFERROR(INDEX('Aisle Loss Data'!$C$2:$C$1931,MATCH(TRIM($C129)&amp;"|2",'Aisle Loss Data'!$E$2:$E$1931,0)),0))</f>
        <v>3584.69</v>
      </c>
      <c r="V129" s="7"/>
      <c r="W129" s="7"/>
      <c r="X129" s="7"/>
      <c r="Y129" s="7"/>
      <c r="Z129" s="7"/>
    </row>
    <row r="130" customFormat="false" ht="15.75" hidden="false" customHeight="true" outlineLevel="0" collapsed="false">
      <c r="A130" s="8" t="s">
        <v>21</v>
      </c>
      <c r="B130" s="9" t="s">
        <v>22</v>
      </c>
      <c r="C130" s="8" t="s">
        <v>167</v>
      </c>
      <c r="D130" s="9" t="str">
        <f aca="false" t="array" ref="D130:D130">IF(C130="","",IFERROR(INDEX('CLM &amp; IM Mapping'!$B$2:$B$270,MATCH(TRIM(C130),'CLM &amp; IM Mapping'!$A$2:$A$270,0)),"Not Mapped"))</f>
        <v>Ravishankar gowda</v>
      </c>
      <c r="E130" s="9" t="str">
        <f aca="false" t="array" ref="E130:E130">IF(C130="","",IFERROR(INDEX('CLM &amp; IM Mapping'!$C$2:$C$270,MATCH(TRIM(C130),'CLM &amp; IM Mapping'!$A$2:$A$270,0)),"Not Mapped"))</f>
        <v>Kishor K</v>
      </c>
      <c r="F130" s="9" t="s">
        <v>27</v>
      </c>
      <c r="G130" s="10" t="n">
        <v>-1992</v>
      </c>
      <c r="H130" s="10" t="n">
        <v>3967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1975</v>
      </c>
      <c r="P130" s="11"/>
      <c r="Q130" s="11"/>
      <c r="R130" s="11"/>
      <c r="S130" s="11"/>
      <c r="T130" s="12" t="str">
        <f aca="false">IF($C130="","",IFERROR(INDEX('Aisle Loss Data'!$B$2:$B$1931,MATCH(TRIM($C130)&amp;"|1",'Aisle Loss Data'!$E$2:$E$1931,0)),"No Loss")&amp;IFERROR(","&amp;INDEX('Aisle Loss Data'!$B$2:$B$1931,MATCH(TRIM($C130)&amp;"|2",'Aisle Loss Data'!$E$2:$E$1931,0)),""))</f>
        <v>M,K</v>
      </c>
      <c r="U130" s="13" t="n">
        <f aca="false">IF($C130="","",IFERROR(INDEX('Aisle Loss Data'!$C$2:$C$1931,MATCH(TRIM($C130)&amp;"|1",'Aisle Loss Data'!$E$2:$E$1931,0)),0)+IFERROR(INDEX('Aisle Loss Data'!$C$2:$C$1931,MATCH(TRIM($C130)&amp;"|2",'Aisle Loss Data'!$E$2:$E$1931,0)),0))</f>
        <v>12347.45</v>
      </c>
      <c r="V130" s="7"/>
      <c r="W130" s="7"/>
      <c r="X130" s="7"/>
      <c r="Y130" s="7"/>
      <c r="Z130" s="7"/>
    </row>
    <row r="131" customFormat="false" ht="15.75" hidden="false" customHeight="true" outlineLevel="0" collapsed="false">
      <c r="A131" s="8" t="s">
        <v>21</v>
      </c>
      <c r="B131" s="9" t="s">
        <v>22</v>
      </c>
      <c r="C131" s="8" t="s">
        <v>168</v>
      </c>
      <c r="D131" s="9" t="str">
        <f aca="false" t="array" ref="D131:D131">IF(C131="","",IFERROR(INDEX('CLM &amp; IM Mapping'!$B$2:$B$270,MATCH(TRIM(C131),'CLM &amp; IM Mapping'!$A$2:$A$270,0)),"Not Mapped"))</f>
        <v>Saddam Hussain</v>
      </c>
      <c r="E131" s="9" t="str">
        <f aca="false" t="array" ref="E131:E131">IF(C131="","",IFERROR(INDEX('CLM &amp; IM Mapping'!$C$2:$C$270,MATCH(TRIM(C131),'CLM &amp; IM Mapping'!$A$2:$A$270,0)),"Not Mapped"))</f>
        <v>Un Mapped</v>
      </c>
      <c r="F131" s="9" t="s">
        <v>27</v>
      </c>
      <c r="G131" s="10" t="n">
        <v>-5011</v>
      </c>
      <c r="H131" s="10" t="n">
        <v>6387</v>
      </c>
      <c r="I131" s="10" t="n">
        <v>0</v>
      </c>
      <c r="J131" s="10" t="n">
        <v>0</v>
      </c>
      <c r="K131" s="10" t="n">
        <v>441</v>
      </c>
      <c r="L131" s="10" t="n">
        <v>0</v>
      </c>
      <c r="M131" s="10" t="n">
        <v>0</v>
      </c>
      <c r="N131" s="10" t="n">
        <v>0</v>
      </c>
      <c r="O131" s="10" t="n">
        <v>1817</v>
      </c>
      <c r="P131" s="11"/>
      <c r="Q131" s="11"/>
      <c r="R131" s="11"/>
      <c r="S131" s="11"/>
      <c r="T131" s="12" t="str">
        <f aca="false">IF($C131="","",IFERROR(INDEX('Aisle Loss Data'!$B$2:$B$1931,MATCH(TRIM($C131)&amp;"|1",'Aisle Loss Data'!$E$2:$E$1931,0)),"No Loss")&amp;IFERROR(","&amp;INDEX('Aisle Loss Data'!$B$2:$B$1931,MATCH(TRIM($C131)&amp;"|2",'Aisle Loss Data'!$E$2:$E$1931,0)),""))</f>
        <v>N,D</v>
      </c>
      <c r="U131" s="13" t="n">
        <f aca="false">IF($C131="","",IFERROR(INDEX('Aisle Loss Data'!$C$2:$C$1931,MATCH(TRIM($C131)&amp;"|1",'Aisle Loss Data'!$E$2:$E$1931,0)),0)+IFERROR(INDEX('Aisle Loss Data'!$C$2:$C$1931,MATCH(TRIM($C131)&amp;"|2",'Aisle Loss Data'!$E$2:$E$1931,0)),0))</f>
        <v>4173.63</v>
      </c>
      <c r="V131" s="7"/>
      <c r="W131" s="7"/>
      <c r="X131" s="7"/>
      <c r="Y131" s="7"/>
      <c r="Z131" s="7"/>
    </row>
    <row r="132" customFormat="false" ht="15.75" hidden="false" customHeight="true" outlineLevel="0" collapsed="false">
      <c r="A132" s="8" t="s">
        <v>21</v>
      </c>
      <c r="B132" s="9" t="s">
        <v>22</v>
      </c>
      <c r="C132" s="8" t="s">
        <v>169</v>
      </c>
      <c r="D132" s="9" t="str">
        <f aca="false" t="array" ref="D132:D132">IF(C132="","",IFERROR(INDEX('CLM &amp; IM Mapping'!$B$2:$B$270,MATCH(TRIM(C132),'CLM &amp; IM Mapping'!$A$2:$A$270,0)),"Not Mapped"))</f>
        <v>Arun Raj</v>
      </c>
      <c r="E132" s="9" t="str">
        <f aca="false" t="array" ref="E132:E132">IF(C132="","",IFERROR(INDEX('CLM &amp; IM Mapping'!$C$2:$C$270,MATCH(TRIM(C132),'CLM &amp; IM Mapping'!$A$2:$A$270,0)),"Not Mapped"))</f>
        <v>Simon Manoharan</v>
      </c>
      <c r="F132" s="9" t="s">
        <v>24</v>
      </c>
      <c r="G132" s="10" t="n">
        <v>-20840</v>
      </c>
      <c r="H132" s="10" t="n">
        <v>22589</v>
      </c>
      <c r="I132" s="10" t="n">
        <v>0</v>
      </c>
      <c r="J132" s="10" t="n">
        <v>0</v>
      </c>
      <c r="K132" s="10" t="n">
        <v>33</v>
      </c>
      <c r="L132" s="10" t="n">
        <v>0</v>
      </c>
      <c r="M132" s="10" t="n">
        <v>0</v>
      </c>
      <c r="N132" s="10" t="n">
        <v>0</v>
      </c>
      <c r="O132" s="10" t="n">
        <v>1782</v>
      </c>
      <c r="P132" s="11"/>
      <c r="Q132" s="11"/>
      <c r="R132" s="11"/>
      <c r="S132" s="11"/>
      <c r="T132" s="12" t="str">
        <f aca="false">IF($C132="","",IFERROR(INDEX('Aisle Loss Data'!$B$2:$B$1931,MATCH(TRIM($C132)&amp;"|1",'Aisle Loss Data'!$E$2:$E$1931,0)),"No Loss")&amp;IFERROR(","&amp;INDEX('Aisle Loss Data'!$B$2:$B$1931,MATCH(TRIM($C132)&amp;"|2",'Aisle Loss Data'!$E$2:$E$1931,0)),""))</f>
        <v>I,L</v>
      </c>
      <c r="U132" s="13" t="n">
        <f aca="false">IF($C132="","",IFERROR(INDEX('Aisle Loss Data'!$C$2:$C$1931,MATCH(TRIM($C132)&amp;"|1",'Aisle Loss Data'!$E$2:$E$1931,0)),0)+IFERROR(INDEX('Aisle Loss Data'!$C$2:$C$1931,MATCH(TRIM($C132)&amp;"|2",'Aisle Loss Data'!$E$2:$E$1931,0)),0))</f>
        <v>14299.87</v>
      </c>
      <c r="V132" s="7"/>
      <c r="W132" s="7"/>
      <c r="X132" s="7"/>
      <c r="Y132" s="7"/>
      <c r="Z132" s="7"/>
    </row>
    <row r="133" customFormat="false" ht="15.75" hidden="false" customHeight="true" outlineLevel="0" collapsed="false">
      <c r="A133" s="8" t="s">
        <v>21</v>
      </c>
      <c r="B133" s="9" t="s">
        <v>145</v>
      </c>
      <c r="C133" s="8" t="s">
        <v>170</v>
      </c>
      <c r="D133" s="9" t="str">
        <f aca="false" t="array" ref="D133:D133">IF(C133="","",IFERROR(INDEX('CLM &amp; IM Mapping'!$B$2:$B$270,MATCH(TRIM(C133),'CLM &amp; IM Mapping'!$A$2:$A$270,0)),"Not Mapped"))</f>
        <v>John Britto</v>
      </c>
      <c r="E133" s="9" t="str">
        <f aca="false" t="array" ref="E133:E133">IF(C133="","",IFERROR(INDEX('CLM &amp; IM Mapping'!$C$2:$C$270,MATCH(TRIM(C133),'CLM &amp; IM Mapping'!$A$2:$A$270,0)),"Not Mapped"))</f>
        <v>Aravind S</v>
      </c>
      <c r="F133" s="9" t="s">
        <v>27</v>
      </c>
      <c r="G133" s="10" t="n">
        <v>-3148</v>
      </c>
      <c r="H133" s="10" t="n">
        <v>4674</v>
      </c>
      <c r="I133" s="10" t="n">
        <v>0</v>
      </c>
      <c r="J133" s="10" t="n">
        <v>0</v>
      </c>
      <c r="K133" s="10" t="n">
        <v>176</v>
      </c>
      <c r="L133" s="10" t="n">
        <v>0</v>
      </c>
      <c r="M133" s="10" t="n">
        <v>0</v>
      </c>
      <c r="N133" s="10" t="n">
        <v>0</v>
      </c>
      <c r="O133" s="10" t="n">
        <v>1702</v>
      </c>
      <c r="P133" s="11"/>
      <c r="Q133" s="11"/>
      <c r="R133" s="11"/>
      <c r="S133" s="11"/>
      <c r="T133" s="12" t="str">
        <f aca="false">IF($C133="","",IFERROR(INDEX('Aisle Loss Data'!$B$2:$B$1931,MATCH(TRIM($C133)&amp;"|1",'Aisle Loss Data'!$E$2:$E$1931,0)),"No Loss")&amp;IFERROR(","&amp;INDEX('Aisle Loss Data'!$B$2:$B$1931,MATCH(TRIM($C133)&amp;"|2",'Aisle Loss Data'!$E$2:$E$1931,0)),""))</f>
        <v>A,C</v>
      </c>
      <c r="U133" s="13" t="n">
        <f aca="false">IF($C133="","",IFERROR(INDEX('Aisle Loss Data'!$C$2:$C$1931,MATCH(TRIM($C133)&amp;"|1",'Aisle Loss Data'!$E$2:$E$1931,0)),0)+IFERROR(INDEX('Aisle Loss Data'!$C$2:$C$1931,MATCH(TRIM($C133)&amp;"|2",'Aisle Loss Data'!$E$2:$E$1931,0)),0))</f>
        <v>4788.73</v>
      </c>
      <c r="V133" s="7"/>
      <c r="W133" s="7"/>
      <c r="X133" s="7"/>
      <c r="Y133" s="7"/>
      <c r="Z133" s="7"/>
    </row>
    <row r="134" customFormat="false" ht="15.75" hidden="false" customHeight="true" outlineLevel="0" collapsed="false">
      <c r="A134" s="8" t="s">
        <v>21</v>
      </c>
      <c r="B134" s="9" t="s">
        <v>22</v>
      </c>
      <c r="C134" s="8" t="s">
        <v>171</v>
      </c>
      <c r="D134" s="9" t="str">
        <f aca="false" t="array" ref="D134:D134">IF(C134="","",IFERROR(INDEX('CLM &amp; IM Mapping'!$B$2:$B$270,MATCH(TRIM(C134),'CLM &amp; IM Mapping'!$A$2:$A$270,0)),"Not Mapped"))</f>
        <v>Saddam Hussain</v>
      </c>
      <c r="E134" s="9" t="str">
        <f aca="false" t="array" ref="E134:E134">IF(C134="","",IFERROR(INDEX('CLM &amp; IM Mapping'!$C$2:$C$270,MATCH(TRIM(C134),'CLM &amp; IM Mapping'!$A$2:$A$270,0)),"Not Mapped"))</f>
        <v>Un Mapped</v>
      </c>
      <c r="F134" s="9" t="s">
        <v>27</v>
      </c>
      <c r="G134" s="10" t="n">
        <v>-9935</v>
      </c>
      <c r="H134" s="10" t="n">
        <v>4383</v>
      </c>
      <c r="I134" s="10" t="n">
        <v>0</v>
      </c>
      <c r="J134" s="10" t="n">
        <v>2991</v>
      </c>
      <c r="K134" s="10" t="n">
        <v>339</v>
      </c>
      <c r="L134" s="10" t="n">
        <v>0</v>
      </c>
      <c r="M134" s="10" t="n">
        <v>3750</v>
      </c>
      <c r="N134" s="10" t="n">
        <v>0</v>
      </c>
      <c r="O134" s="10" t="n">
        <v>1528</v>
      </c>
      <c r="P134" s="11"/>
      <c r="Q134" s="11"/>
      <c r="R134" s="11"/>
      <c r="S134" s="11"/>
      <c r="T134" s="12" t="str">
        <f aca="false">IF($C134="","",IFERROR(INDEX('Aisle Loss Data'!$B$2:$B$1931,MATCH(TRIM($C134)&amp;"|1",'Aisle Loss Data'!$E$2:$E$1931,0)),"No Loss")&amp;IFERROR(","&amp;INDEX('Aisle Loss Data'!$B$2:$B$1931,MATCH(TRIM($C134)&amp;"|2",'Aisle Loss Data'!$E$2:$E$1931,0)),""))</f>
        <v>D,A</v>
      </c>
      <c r="U134" s="13" t="n">
        <f aca="false">IF($C134="","",IFERROR(INDEX('Aisle Loss Data'!$C$2:$C$1931,MATCH(TRIM($C134)&amp;"|1",'Aisle Loss Data'!$E$2:$E$1931,0)),0)+IFERROR(INDEX('Aisle Loss Data'!$C$2:$C$1931,MATCH(TRIM($C134)&amp;"|2",'Aisle Loss Data'!$E$2:$E$1931,0)),0))</f>
        <v>1693.62</v>
      </c>
      <c r="V134" s="7"/>
      <c r="W134" s="7"/>
      <c r="X134" s="7"/>
      <c r="Y134" s="7"/>
      <c r="Z134" s="7"/>
    </row>
    <row r="135" customFormat="false" ht="15.75" hidden="false" customHeight="true" outlineLevel="0" collapsed="false">
      <c r="A135" s="8" t="s">
        <v>21</v>
      </c>
      <c r="B135" s="9" t="s">
        <v>22</v>
      </c>
      <c r="C135" s="8" t="s">
        <v>172</v>
      </c>
      <c r="D135" s="9" t="str">
        <f aca="false" t="array" ref="D135:D135">IF(C135="","",IFERROR(INDEX('CLM &amp; IM Mapping'!$B$2:$B$270,MATCH(TRIM(C135),'CLM &amp; IM Mapping'!$A$2:$A$270,0)),"Not Mapped"))</f>
        <v>Arun Raj</v>
      </c>
      <c r="E135" s="9" t="str">
        <f aca="false" t="array" ref="E135:E135">IF(C135="","",IFERROR(INDEX('CLM &amp; IM Mapping'!$C$2:$C$270,MATCH(TRIM(C135),'CLM &amp; IM Mapping'!$A$2:$A$270,0)),"Not Mapped"))</f>
        <v>Simon Manoharan</v>
      </c>
      <c r="F135" s="9" t="s">
        <v>24</v>
      </c>
      <c r="G135" s="10" t="n">
        <v>-10421</v>
      </c>
      <c r="H135" s="10" t="n">
        <v>11277</v>
      </c>
      <c r="I135" s="10" t="n">
        <v>0</v>
      </c>
      <c r="J135" s="10" t="n">
        <v>0</v>
      </c>
      <c r="K135" s="10" t="n">
        <v>236</v>
      </c>
      <c r="L135" s="10" t="n">
        <v>0</v>
      </c>
      <c r="M135" s="10" t="n">
        <v>0</v>
      </c>
      <c r="N135" s="10" t="n">
        <v>0</v>
      </c>
      <c r="O135" s="10" t="n">
        <v>1092</v>
      </c>
      <c r="P135" s="11"/>
      <c r="Q135" s="11"/>
      <c r="R135" s="11"/>
      <c r="S135" s="11"/>
      <c r="T135" s="12" t="str">
        <f aca="false">IF($C135="","",IFERROR(INDEX('Aisle Loss Data'!$B$2:$B$1931,MATCH(TRIM($C135)&amp;"|1",'Aisle Loss Data'!$E$2:$E$1931,0)),"No Loss")&amp;IFERROR(","&amp;INDEX('Aisle Loss Data'!$B$2:$B$1931,MATCH(TRIM($C135)&amp;"|2",'Aisle Loss Data'!$E$2:$E$1931,0)),""))</f>
        <v>BAT,H</v>
      </c>
      <c r="U135" s="13" t="n">
        <f aca="false">IF($C135="","",IFERROR(INDEX('Aisle Loss Data'!$C$2:$C$1931,MATCH(TRIM($C135)&amp;"|1",'Aisle Loss Data'!$E$2:$E$1931,0)),0)+IFERROR(INDEX('Aisle Loss Data'!$C$2:$C$1931,MATCH(TRIM($C135)&amp;"|2",'Aisle Loss Data'!$E$2:$E$1931,0)),0))</f>
        <v>6711.48</v>
      </c>
      <c r="V135" s="7"/>
      <c r="W135" s="7"/>
      <c r="X135" s="7"/>
      <c r="Y135" s="7"/>
      <c r="Z135" s="7"/>
    </row>
    <row r="136" customFormat="false" ht="15.75" hidden="false" customHeight="true" outlineLevel="0" collapsed="false">
      <c r="A136" s="8" t="s">
        <v>21</v>
      </c>
      <c r="B136" s="9" t="s">
        <v>104</v>
      </c>
      <c r="C136" s="8" t="s">
        <v>173</v>
      </c>
      <c r="D136" s="9" t="str">
        <f aca="false" t="array" ref="D136:D136">IF(C136="","",IFERROR(INDEX('CLM &amp; IM Mapping'!$B$2:$B$270,MATCH(TRIM(C136),'CLM &amp; IM Mapping'!$A$2:$A$270,0)),"Not Mapped"))</f>
        <v>Vishnu V</v>
      </c>
      <c r="E136" s="9" t="str">
        <f aca="false" t="array" ref="E136:E136">IF(C136="","",IFERROR(INDEX('CLM &amp; IM Mapping'!$C$2:$C$270,MATCH(TRIM(C136),'CLM &amp; IM Mapping'!$A$2:$A$270,0)),"Not Mapped"))</f>
        <v>Arivind S</v>
      </c>
      <c r="F136" s="9" t="s">
        <v>27</v>
      </c>
      <c r="G136" s="10" t="n">
        <v>-334</v>
      </c>
      <c r="H136" s="10" t="n">
        <v>1200</v>
      </c>
      <c r="I136" s="10" t="n">
        <v>0</v>
      </c>
      <c r="J136" s="10" t="n">
        <v>183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1049</v>
      </c>
      <c r="P136" s="11"/>
      <c r="Q136" s="11"/>
      <c r="R136" s="11"/>
      <c r="S136" s="11"/>
      <c r="T136" s="12" t="str">
        <f aca="false">IF($C136="","",IFERROR(INDEX('Aisle Loss Data'!$B$2:$B$1931,MATCH(TRIM($C136)&amp;"|1",'Aisle Loss Data'!$E$2:$E$1931,0)),"No Loss")&amp;IFERROR(","&amp;INDEX('Aisle Loss Data'!$B$2:$B$1931,MATCH(TRIM($C136)&amp;"|2",'Aisle Loss Data'!$E$2:$E$1931,0)),""))</f>
        <v>Unknown,Q</v>
      </c>
      <c r="U136" s="13" t="n">
        <f aca="false">IF($C136="","",IFERROR(INDEX('Aisle Loss Data'!$C$2:$C$1931,MATCH(TRIM($C136)&amp;"|1",'Aisle Loss Data'!$E$2:$E$1931,0)),0)+IFERROR(INDEX('Aisle Loss Data'!$C$2:$C$1931,MATCH(TRIM($C136)&amp;"|2",'Aisle Loss Data'!$E$2:$E$1931,0)),0))</f>
        <v>2885.16</v>
      </c>
      <c r="V136" s="7"/>
      <c r="W136" s="7"/>
      <c r="X136" s="7"/>
      <c r="Y136" s="7"/>
      <c r="Z136" s="7"/>
    </row>
    <row r="137" customFormat="false" ht="15.75" hidden="false" customHeight="true" outlineLevel="0" collapsed="false">
      <c r="A137" s="8" t="s">
        <v>21</v>
      </c>
      <c r="B137" s="9" t="s">
        <v>22</v>
      </c>
      <c r="C137" s="8" t="s">
        <v>174</v>
      </c>
      <c r="D137" s="9" t="str">
        <f aca="false" t="array" ref="D137:D137">IF(C137="","",IFERROR(INDEX('CLM &amp; IM Mapping'!$B$2:$B$270,MATCH(TRIM(C137),'CLM &amp; IM Mapping'!$A$2:$A$270,0)),"Not Mapped"))</f>
        <v>Raghavendra Vernekar</v>
      </c>
      <c r="E137" s="9" t="str">
        <f aca="false" t="array" ref="E137:E137">IF(C137="","",IFERROR(INDEX('CLM &amp; IM Mapping'!$C$2:$C$270,MATCH(TRIM(C137),'CLM &amp; IM Mapping'!$A$2:$A$270,0)),"Not Mapped"))</f>
        <v>Prakash BS</v>
      </c>
      <c r="F137" s="9" t="s">
        <v>27</v>
      </c>
      <c r="G137" s="10" t="n">
        <v>-5128</v>
      </c>
      <c r="H137" s="10" t="n">
        <v>2653</v>
      </c>
      <c r="I137" s="10" t="n">
        <v>2490</v>
      </c>
      <c r="J137" s="10" t="n">
        <v>0</v>
      </c>
      <c r="K137" s="10" t="n">
        <v>391</v>
      </c>
      <c r="L137" s="10" t="n">
        <v>0</v>
      </c>
      <c r="M137" s="10" t="n">
        <v>305</v>
      </c>
      <c r="N137" s="10" t="n">
        <v>0</v>
      </c>
      <c r="O137" s="10" t="n">
        <v>711</v>
      </c>
      <c r="P137" s="11"/>
      <c r="Q137" s="11"/>
      <c r="R137" s="11"/>
      <c r="S137" s="11"/>
      <c r="T137" s="12" t="str">
        <f aca="false">IF($C137="","",IFERROR(INDEX('Aisle Loss Data'!$B$2:$B$1931,MATCH(TRIM($C137)&amp;"|1",'Aisle Loss Data'!$E$2:$E$1931,0)),"No Loss")&amp;IFERROR(","&amp;INDEX('Aisle Loss Data'!$B$2:$B$1931,MATCH(TRIM($C137)&amp;"|2",'Aisle Loss Data'!$E$2:$E$1931,0)),""))</f>
        <v>B,I</v>
      </c>
      <c r="U137" s="13" t="n">
        <f aca="false">IF($C137="","",IFERROR(INDEX('Aisle Loss Data'!$C$2:$C$1931,MATCH(TRIM($C137)&amp;"|1",'Aisle Loss Data'!$E$2:$E$1931,0)),0)+IFERROR(INDEX('Aisle Loss Data'!$C$2:$C$1931,MATCH(TRIM($C137)&amp;"|2",'Aisle Loss Data'!$E$2:$E$1931,0)),0))</f>
        <v>1319.66</v>
      </c>
      <c r="V137" s="7"/>
      <c r="W137" s="7"/>
      <c r="X137" s="7"/>
      <c r="Y137" s="7"/>
      <c r="Z137" s="7"/>
    </row>
    <row r="138" customFormat="false" ht="15.75" hidden="false" customHeight="true" outlineLevel="0" collapsed="false">
      <c r="A138" s="8" t="s">
        <v>21</v>
      </c>
      <c r="B138" s="9" t="s">
        <v>22</v>
      </c>
      <c r="C138" s="8" t="s">
        <v>175</v>
      </c>
      <c r="D138" s="9" t="str">
        <f aca="false" t="array" ref="D138:D138">IF(C138="","",IFERROR(INDEX('CLM &amp; IM Mapping'!$B$2:$B$270,MATCH(TRIM(C138),'CLM &amp; IM Mapping'!$A$2:$A$270,0)),"Not Mapped"))</f>
        <v>MH</v>
      </c>
      <c r="E138" s="9" t="str">
        <f aca="false" t="array" ref="E138:E138">IF(C138="","",IFERROR(INDEX('CLM &amp; IM Mapping'!$C$2:$C$270,MATCH(TRIM(C138),'CLM &amp; IM Mapping'!$A$2:$A$270,0)),"Not Mapped"))</f>
        <v>MH</v>
      </c>
      <c r="F138" s="9" t="s">
        <v>27</v>
      </c>
      <c r="G138" s="10" t="n">
        <v>320</v>
      </c>
      <c r="H138" s="10" t="n">
        <v>0</v>
      </c>
      <c r="I138" s="10" t="n">
        <v>0</v>
      </c>
      <c r="J138" s="10" t="n">
        <v>370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690</v>
      </c>
      <c r="P138" s="11"/>
      <c r="Q138" s="11"/>
      <c r="R138" s="11"/>
      <c r="S138" s="11"/>
      <c r="T138" s="12" t="str">
        <f aca="false">IF($C138="","",IFERROR(INDEX('Aisle Loss Data'!$B$2:$B$1931,MATCH(TRIM($C138)&amp;"|1",'Aisle Loss Data'!$E$2:$E$1931,0)),"No Loss")&amp;IFERROR(","&amp;INDEX('Aisle Loss Data'!$B$2:$B$1931,MATCH(TRIM($C138)&amp;"|2",'Aisle Loss Data'!$E$2:$E$1931,0)),""))</f>
        <v>Unknown</v>
      </c>
      <c r="U138" s="13" t="n">
        <f aca="false">IF($C138="","",IFERROR(INDEX('Aisle Loss Data'!$C$2:$C$1931,MATCH(TRIM($C138)&amp;"|1",'Aisle Loss Data'!$E$2:$E$1931,0)),0)+IFERROR(INDEX('Aisle Loss Data'!$C$2:$C$1931,MATCH(TRIM($C138)&amp;"|2",'Aisle Loss Data'!$E$2:$E$1931,0)),0))</f>
        <v>396.7</v>
      </c>
      <c r="V138" s="7"/>
      <c r="W138" s="7"/>
      <c r="X138" s="7"/>
      <c r="Y138" s="7"/>
      <c r="Z138" s="7"/>
    </row>
    <row r="139" customFormat="false" ht="15.75" hidden="false" customHeight="true" outlineLevel="0" collapsed="false">
      <c r="A139" s="8" t="s">
        <v>21</v>
      </c>
      <c r="B139" s="9" t="s">
        <v>22</v>
      </c>
      <c r="C139" s="8" t="s">
        <v>176</v>
      </c>
      <c r="D139" s="9" t="str">
        <f aca="false" t="array" ref="D139:D139">IF(C139="","",IFERROR(INDEX('CLM &amp; IM Mapping'!$B$2:$B$270,MATCH(TRIM(C139),'CLM &amp; IM Mapping'!$A$2:$A$270,0)),"Not Mapped"))</f>
        <v>Arun Raj</v>
      </c>
      <c r="E139" s="9" t="str">
        <f aca="false" t="array" ref="E139:E139">IF(C139="","",IFERROR(INDEX('CLM &amp; IM Mapping'!$C$2:$C$270,MATCH(TRIM(C139),'CLM &amp; IM Mapping'!$A$2:$A$270,0)),"Not Mapped"))</f>
        <v>Simon Manoharan</v>
      </c>
      <c r="F139" s="9" t="s">
        <v>24</v>
      </c>
      <c r="G139" s="10" t="n">
        <v>-6715</v>
      </c>
      <c r="H139" s="10" t="n">
        <v>0</v>
      </c>
      <c r="I139" s="10" t="n">
        <v>0</v>
      </c>
      <c r="J139" s="10" t="n">
        <v>0</v>
      </c>
      <c r="K139" s="10" t="n">
        <v>7318</v>
      </c>
      <c r="L139" s="10" t="n">
        <v>0</v>
      </c>
      <c r="M139" s="10" t="n">
        <v>0</v>
      </c>
      <c r="N139" s="10" t="n">
        <v>0</v>
      </c>
      <c r="O139" s="10" t="n">
        <v>603</v>
      </c>
      <c r="P139" s="11"/>
      <c r="Q139" s="11"/>
      <c r="R139" s="11"/>
      <c r="S139" s="11"/>
      <c r="T139" s="12" t="str">
        <f aca="false">IF($C139="","",IFERROR(INDEX('Aisle Loss Data'!$B$2:$B$1931,MATCH(TRIM($C139)&amp;"|1",'Aisle Loss Data'!$E$2:$E$1931,0)),"No Loss")&amp;IFERROR(","&amp;INDEX('Aisle Loss Data'!$B$2:$B$1931,MATCH(TRIM($C139)&amp;"|2",'Aisle Loss Data'!$E$2:$E$1931,0)),""))</f>
        <v>K,H</v>
      </c>
      <c r="U139" s="13" t="n">
        <f aca="false">IF($C139="","",IFERROR(INDEX('Aisle Loss Data'!$C$2:$C$1931,MATCH(TRIM($C139)&amp;"|1",'Aisle Loss Data'!$E$2:$E$1931,0)),0)+IFERROR(INDEX('Aisle Loss Data'!$C$2:$C$1931,MATCH(TRIM($C139)&amp;"|2",'Aisle Loss Data'!$E$2:$E$1931,0)),0))</f>
        <v>2864.39</v>
      </c>
      <c r="V139" s="7"/>
      <c r="W139" s="7"/>
      <c r="X139" s="7"/>
      <c r="Y139" s="7"/>
      <c r="Z139" s="7"/>
    </row>
    <row r="140" customFormat="false" ht="15.75" hidden="false" customHeight="true" outlineLevel="0" collapsed="false">
      <c r="A140" s="8" t="s">
        <v>21</v>
      </c>
      <c r="B140" s="9" t="s">
        <v>22</v>
      </c>
      <c r="C140" s="8" t="s">
        <v>177</v>
      </c>
      <c r="D140" s="9" t="str">
        <f aca="false" t="array" ref="D140:D140">IF(C140="","",IFERROR(INDEX('CLM &amp; IM Mapping'!$B$2:$B$270,MATCH(TRIM(C140),'CLM &amp; IM Mapping'!$A$2:$A$270,0)),"Not Mapped"))</f>
        <v>Arun Raj</v>
      </c>
      <c r="E140" s="9" t="str">
        <f aca="false" t="array" ref="E140:E140">IF(C140="","",IFERROR(INDEX('CLM &amp; IM Mapping'!$C$2:$C$270,MATCH(TRIM(C140),'CLM &amp; IM Mapping'!$A$2:$A$270,0)),"Not Mapped"))</f>
        <v>Simon Manoharan</v>
      </c>
      <c r="F140" s="9" t="s">
        <v>24</v>
      </c>
      <c r="G140" s="10" t="n">
        <v>-6193</v>
      </c>
      <c r="H140" s="10" t="n">
        <v>4717</v>
      </c>
      <c r="I140" s="10" t="n">
        <v>0</v>
      </c>
      <c r="J140" s="10" t="n">
        <v>0</v>
      </c>
      <c r="K140" s="10" t="n">
        <v>1988</v>
      </c>
      <c r="L140" s="10" t="n">
        <v>0</v>
      </c>
      <c r="M140" s="10" t="n">
        <v>0</v>
      </c>
      <c r="N140" s="10" t="n">
        <v>0</v>
      </c>
      <c r="O140" s="10" t="n">
        <v>513</v>
      </c>
      <c r="P140" s="11"/>
      <c r="Q140" s="11"/>
      <c r="R140" s="11"/>
      <c r="S140" s="11"/>
      <c r="T140" s="12" t="str">
        <f aca="false">IF($C140="","",IFERROR(INDEX('Aisle Loss Data'!$B$2:$B$1931,MATCH(TRIM($C140)&amp;"|1",'Aisle Loss Data'!$E$2:$E$1931,0)),"No Loss")&amp;IFERROR(","&amp;INDEX('Aisle Loss Data'!$B$2:$B$1931,MATCH(TRIM($C140)&amp;"|2",'Aisle Loss Data'!$E$2:$E$1931,0)),""))</f>
        <v>U,N</v>
      </c>
      <c r="U140" s="13" t="n">
        <f aca="false">IF($C140="","",IFERROR(INDEX('Aisle Loss Data'!$C$2:$C$1931,MATCH(TRIM($C140)&amp;"|1",'Aisle Loss Data'!$E$2:$E$1931,0)),0)+IFERROR(INDEX('Aisle Loss Data'!$C$2:$C$1931,MATCH(TRIM($C140)&amp;"|2",'Aisle Loss Data'!$E$2:$E$1931,0)),0))</f>
        <v>5800.47</v>
      </c>
      <c r="V140" s="7"/>
      <c r="W140" s="7"/>
      <c r="X140" s="7"/>
      <c r="Y140" s="7"/>
      <c r="Z140" s="7"/>
    </row>
    <row r="141" customFormat="false" ht="15.75" hidden="false" customHeight="true" outlineLevel="0" collapsed="false">
      <c r="A141" s="8" t="s">
        <v>21</v>
      </c>
      <c r="B141" s="9" t="s">
        <v>130</v>
      </c>
      <c r="C141" s="8" t="s">
        <v>178</v>
      </c>
      <c r="D141" s="9" t="str">
        <f aca="false" t="array" ref="D141:D141">IF(C141="","",IFERROR(INDEX('CLM &amp; IM Mapping'!$B$2:$B$270,MATCH(TRIM(C141),'CLM &amp; IM Mapping'!$A$2:$A$270,0)),"Not Mapped"))</f>
        <v>Santhosha M</v>
      </c>
      <c r="E141" s="9" t="str">
        <f aca="false" t="array" ref="E141:E141">IF(C141="","",IFERROR(INDEX('CLM &amp; IM Mapping'!$C$2:$C$270,MATCH(TRIM(C141),'CLM &amp; IM Mapping'!$A$2:$A$270,0)),"Not Mapped"))</f>
        <v>Aravind S</v>
      </c>
      <c r="F141" s="9" t="s">
        <v>27</v>
      </c>
      <c r="G141" s="10" t="n">
        <v>-15</v>
      </c>
      <c r="H141" s="10" t="n">
        <v>415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400</v>
      </c>
      <c r="P141" s="11"/>
      <c r="Q141" s="11"/>
      <c r="R141" s="11"/>
      <c r="S141" s="11"/>
      <c r="T141" s="12" t="str">
        <f aca="false">IF($C141="","",IFERROR(INDEX('Aisle Loss Data'!$B$2:$B$1931,MATCH(TRIM($C141)&amp;"|1",'Aisle Loss Data'!$E$2:$E$1931,0)),"No Loss")&amp;IFERROR(","&amp;INDEX('Aisle Loss Data'!$B$2:$B$1931,MATCH(TRIM($C141)&amp;"|2",'Aisle Loss Data'!$E$2:$E$1931,0)),""))</f>
        <v>K,C</v>
      </c>
      <c r="U141" s="13" t="n">
        <f aca="false">IF($C141="","",IFERROR(INDEX('Aisle Loss Data'!$C$2:$C$1931,MATCH(TRIM($C141)&amp;"|1",'Aisle Loss Data'!$E$2:$E$1931,0)),0)+IFERROR(INDEX('Aisle Loss Data'!$C$2:$C$1931,MATCH(TRIM($C141)&amp;"|2",'Aisle Loss Data'!$E$2:$E$1931,0)),0))</f>
        <v>1282.68</v>
      </c>
      <c r="V141" s="7"/>
      <c r="W141" s="7"/>
      <c r="X141" s="7"/>
      <c r="Y141" s="7"/>
      <c r="Z141" s="7"/>
    </row>
    <row r="142" customFormat="false" ht="15.75" hidden="false" customHeight="true" outlineLevel="0" collapsed="false">
      <c r="A142" s="8" t="s">
        <v>21</v>
      </c>
      <c r="B142" s="9" t="s">
        <v>130</v>
      </c>
      <c r="C142" s="8" t="s">
        <v>179</v>
      </c>
      <c r="D142" s="9" t="str">
        <f aca="false" t="array" ref="D142:D142">IF(C142="","",IFERROR(INDEX('CLM &amp; IM Mapping'!$B$2:$B$270,MATCH(TRIM(C142),'CLM &amp; IM Mapping'!$A$2:$A$270,0)),"Not Mapped"))</f>
        <v>Santhosha M</v>
      </c>
      <c r="E142" s="9" t="str">
        <f aca="false" t="array" ref="E142:E142">IF(C142="","",IFERROR(INDEX('CLM &amp; IM Mapping'!$C$2:$C$270,MATCH(TRIM(C142),'CLM &amp; IM Mapping'!$A$2:$A$270,0)),"Not Mapped"))</f>
        <v>Aravind S</v>
      </c>
      <c r="F142" s="9" t="s">
        <v>27</v>
      </c>
      <c r="G142" s="10" t="n">
        <v>-292</v>
      </c>
      <c r="H142" s="10" t="n">
        <v>449</v>
      </c>
      <c r="I142" s="10" t="n">
        <v>0</v>
      </c>
      <c r="J142" s="10" t="n">
        <v>0</v>
      </c>
      <c r="K142" s="10" t="n">
        <v>8</v>
      </c>
      <c r="L142" s="10" t="n">
        <v>0</v>
      </c>
      <c r="M142" s="10" t="n">
        <v>0</v>
      </c>
      <c r="N142" s="10" t="n">
        <v>19</v>
      </c>
      <c r="O142" s="10" t="n">
        <v>184</v>
      </c>
      <c r="P142" s="11"/>
      <c r="Q142" s="11"/>
      <c r="R142" s="11"/>
      <c r="S142" s="11"/>
      <c r="T142" s="12" t="str">
        <f aca="false">IF($C142="","",IFERROR(INDEX('Aisle Loss Data'!$B$2:$B$1931,MATCH(TRIM($C142)&amp;"|1",'Aisle Loss Data'!$E$2:$E$1931,0)),"No Loss")&amp;IFERROR(","&amp;INDEX('Aisle Loss Data'!$B$2:$B$1931,MATCH(TRIM($C142)&amp;"|2",'Aisle Loss Data'!$E$2:$E$1931,0)),""))</f>
        <v>K,C</v>
      </c>
      <c r="U142" s="13" t="n">
        <f aca="false">IF($C142="","",IFERROR(INDEX('Aisle Loss Data'!$C$2:$C$1931,MATCH(TRIM($C142)&amp;"|1",'Aisle Loss Data'!$E$2:$E$1931,0)),0)+IFERROR(INDEX('Aisle Loss Data'!$C$2:$C$1931,MATCH(TRIM($C142)&amp;"|2",'Aisle Loss Data'!$E$2:$E$1931,0)),0))</f>
        <v>3166.26</v>
      </c>
      <c r="V142" s="7"/>
      <c r="W142" s="7"/>
      <c r="X142" s="7"/>
      <c r="Y142" s="7"/>
      <c r="Z142" s="7"/>
    </row>
    <row r="143" customFormat="false" ht="15.75" hidden="false" customHeight="true" outlineLevel="0" collapsed="false">
      <c r="A143" s="8" t="s">
        <v>21</v>
      </c>
      <c r="B143" s="9" t="s">
        <v>22</v>
      </c>
      <c r="C143" s="8" t="s">
        <v>180</v>
      </c>
      <c r="D143" s="9" t="str">
        <f aca="false" t="array" ref="D143:D143">IF(C143="","",IFERROR(INDEX('CLM &amp; IM Mapping'!$B$2:$B$270,MATCH(TRIM(C143),'CLM &amp; IM Mapping'!$A$2:$A$270,0)),"Not Mapped"))</f>
        <v>Ashwath S</v>
      </c>
      <c r="E143" s="9" t="str">
        <f aca="false" t="array" ref="E143:E143">IF(C143="","",IFERROR(INDEX('CLM &amp; IM Mapping'!$C$2:$C$270,MATCH(TRIM(C143),'CLM &amp; IM Mapping'!$A$2:$A$270,0)),"Not Mapped"))</f>
        <v>Kantha Kumar</v>
      </c>
      <c r="F143" s="9" t="s">
        <v>27</v>
      </c>
      <c r="G143" s="10" t="n">
        <v>-2276</v>
      </c>
      <c r="H143" s="10" t="n">
        <v>645</v>
      </c>
      <c r="I143" s="10" t="n">
        <v>786</v>
      </c>
      <c r="J143" s="10" t="n">
        <v>0</v>
      </c>
      <c r="K143" s="10" t="n">
        <v>1011</v>
      </c>
      <c r="L143" s="10" t="n">
        <v>0</v>
      </c>
      <c r="M143" s="10" t="n">
        <v>0</v>
      </c>
      <c r="N143" s="10" t="n">
        <v>0</v>
      </c>
      <c r="O143" s="10" t="n">
        <v>166</v>
      </c>
      <c r="P143" s="11"/>
      <c r="Q143" s="11"/>
      <c r="R143" s="11"/>
      <c r="S143" s="11"/>
      <c r="T143" s="12" t="str">
        <f aca="false">IF($C143="","",IFERROR(INDEX('Aisle Loss Data'!$B$2:$B$1931,MATCH(TRIM($C143)&amp;"|1",'Aisle Loss Data'!$E$2:$E$1931,0)),"No Loss")&amp;IFERROR(","&amp;INDEX('Aisle Loss Data'!$B$2:$B$1931,MATCH(TRIM($C143)&amp;"|2",'Aisle Loss Data'!$E$2:$E$1931,0)),""))</f>
        <v>B,C</v>
      </c>
      <c r="U143" s="13" t="n">
        <f aca="false">IF($C143="","",IFERROR(INDEX('Aisle Loss Data'!$C$2:$C$1931,MATCH(TRIM($C143)&amp;"|1",'Aisle Loss Data'!$E$2:$E$1931,0)),0)+IFERROR(INDEX('Aisle Loss Data'!$C$2:$C$1931,MATCH(TRIM($C143)&amp;"|2",'Aisle Loss Data'!$E$2:$E$1931,0)),0))</f>
        <v>3056.62</v>
      </c>
      <c r="V143" s="7"/>
      <c r="W143" s="7"/>
      <c r="X143" s="7"/>
      <c r="Y143" s="7"/>
      <c r="Z143" s="7"/>
    </row>
    <row r="144" customFormat="false" ht="15.75" hidden="false" customHeight="true" outlineLevel="0" collapsed="false">
      <c r="A144" s="8" t="s">
        <v>21</v>
      </c>
      <c r="B144" s="9" t="s">
        <v>22</v>
      </c>
      <c r="C144" s="8" t="s">
        <v>181</v>
      </c>
      <c r="D144" s="9" t="str">
        <f aca="false" t="array" ref="D144:D144">IF(C144="","",IFERROR(INDEX('CLM &amp; IM Mapping'!$B$2:$B$270,MATCH(TRIM(C144),'CLM &amp; IM Mapping'!$A$2:$A$270,0)),"Not Mapped"))</f>
        <v>Raghavendra Vernekar</v>
      </c>
      <c r="E144" s="9" t="str">
        <f aca="false" t="array" ref="E144:E144">IF(C144="","",IFERROR(INDEX('CLM &amp; IM Mapping'!$C$2:$C$270,MATCH(TRIM(C144),'CLM &amp; IM Mapping'!$A$2:$A$270,0)),"Not Mapped"))</f>
        <v>Prakash BS</v>
      </c>
      <c r="F144" s="9" t="s">
        <v>27</v>
      </c>
      <c r="G144" s="10" t="n">
        <v>-22635</v>
      </c>
      <c r="H144" s="10" t="n">
        <v>11072</v>
      </c>
      <c r="I144" s="10" t="n">
        <v>0</v>
      </c>
      <c r="J144" s="10" t="n">
        <v>9255</v>
      </c>
      <c r="K144" s="10" t="n">
        <v>2172</v>
      </c>
      <c r="L144" s="10" t="n">
        <v>0</v>
      </c>
      <c r="M144" s="10" t="n">
        <v>170</v>
      </c>
      <c r="N144" s="10" t="n">
        <v>0</v>
      </c>
      <c r="O144" s="10" t="n">
        <v>34</v>
      </c>
      <c r="P144" s="11"/>
      <c r="Q144" s="11"/>
      <c r="R144" s="11"/>
      <c r="S144" s="11"/>
      <c r="T144" s="12" t="str">
        <f aca="false">IF($C144="","",IFERROR(INDEX('Aisle Loss Data'!$B$2:$B$1931,MATCH(TRIM($C144)&amp;"|1",'Aisle Loss Data'!$E$2:$E$1931,0)),"No Loss")&amp;IFERROR(","&amp;INDEX('Aisle Loss Data'!$B$2:$B$1931,MATCH(TRIM($C144)&amp;"|2",'Aisle Loss Data'!$E$2:$E$1931,0)),""))</f>
        <v>L,B</v>
      </c>
      <c r="U144" s="13" t="n">
        <f aca="false">IF($C144="","",IFERROR(INDEX('Aisle Loss Data'!$C$2:$C$1931,MATCH(TRIM($C144)&amp;"|1",'Aisle Loss Data'!$E$2:$E$1931,0)),0)+IFERROR(INDEX('Aisle Loss Data'!$C$2:$C$1931,MATCH(TRIM($C144)&amp;"|2",'Aisle Loss Data'!$E$2:$E$1931,0)),0))</f>
        <v>4825.12</v>
      </c>
      <c r="V144" s="7"/>
      <c r="W144" s="7"/>
      <c r="X144" s="7"/>
      <c r="Y144" s="7"/>
      <c r="Z144" s="7"/>
    </row>
    <row r="145" customFormat="false" ht="15.75" hidden="false" customHeight="true" outlineLevel="0" collapsed="false">
      <c r="A145" s="8" t="s">
        <v>21</v>
      </c>
      <c r="B145" s="9" t="s">
        <v>22</v>
      </c>
      <c r="C145" s="8" t="s">
        <v>182</v>
      </c>
      <c r="D145" s="9" t="str">
        <f aca="false" t="array" ref="D145:D145">IF(C145="","",IFERROR(INDEX('CLM &amp; IM Mapping'!$B$2:$B$270,MATCH(TRIM(C145),'CLM &amp; IM Mapping'!$A$2:$A$270,0)),"Not Mapped"))</f>
        <v>Raghavendra Vernekar</v>
      </c>
      <c r="E145" s="9" t="str">
        <f aca="false" t="array" ref="E145:E145">IF(C145="","",IFERROR(INDEX('CLM &amp; IM Mapping'!$C$2:$C$270,MATCH(TRIM(C145),'CLM &amp; IM Mapping'!$A$2:$A$270,0)),"Not Mapped"))</f>
        <v>Prakash BS</v>
      </c>
      <c r="F145" s="9" t="s">
        <v>27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1"/>
      <c r="Q145" s="11"/>
      <c r="R145" s="11"/>
      <c r="S145" s="11"/>
      <c r="T145" s="12" t="str">
        <f aca="false">IF($C145="","",IFERROR(INDEX('Aisle Loss Data'!$B$2:$B$1931,MATCH(TRIM($C145)&amp;"|1",'Aisle Loss Data'!$E$2:$E$1931,0)),"No Loss")&amp;IFERROR(","&amp;INDEX('Aisle Loss Data'!$B$2:$B$1931,MATCH(TRIM($C145)&amp;"|2",'Aisle Loss Data'!$E$2:$E$1931,0)),""))</f>
        <v>No Loss</v>
      </c>
      <c r="U145" s="13" t="n">
        <f aca="false">IF($C145="","",IFERROR(INDEX('Aisle Loss Data'!$C$2:$C$1931,MATCH(TRIM($C145)&amp;"|1",'Aisle Loss Data'!$E$2:$E$1931,0)),0)+IFERROR(INDEX('Aisle Loss Data'!$C$2:$C$1931,MATCH(TRIM($C145)&amp;"|2",'Aisle Loss Data'!$E$2:$E$1931,0)),0))</f>
        <v>0</v>
      </c>
      <c r="V145" s="7"/>
      <c r="W145" s="7"/>
      <c r="X145" s="7"/>
      <c r="Y145" s="7"/>
      <c r="Z145" s="7"/>
    </row>
    <row r="146" customFormat="false" ht="15.75" hidden="false" customHeight="true" outlineLevel="0" collapsed="false">
      <c r="A146" s="8" t="s">
        <v>21</v>
      </c>
      <c r="B146" s="9" t="s">
        <v>22</v>
      </c>
      <c r="C146" s="8" t="s">
        <v>183</v>
      </c>
      <c r="D146" s="9" t="str">
        <f aca="false" t="array" ref="D146:D146">IF(C146="","",IFERROR(INDEX('CLM &amp; IM Mapping'!$B$2:$B$270,MATCH(TRIM(C146),'CLM &amp; IM Mapping'!$A$2:$A$270,0)),"Not Mapped"))</f>
        <v>Akshay P</v>
      </c>
      <c r="E146" s="9" t="str">
        <f aca="false" t="array" ref="E146:E146">IF(C146="","",IFERROR(INDEX('CLM &amp; IM Mapping'!$C$2:$C$270,MATCH(TRIM(C146),'CLM &amp; IM Mapping'!$A$2:$A$270,0)),"Not Mapped"))</f>
        <v>Srittam Dhal</v>
      </c>
      <c r="F146" s="9" t="s">
        <v>27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1"/>
      <c r="Q146" s="11"/>
      <c r="R146" s="11"/>
      <c r="S146" s="11"/>
      <c r="T146" s="12" t="str">
        <f aca="false">IF($C146="","",IFERROR(INDEX('Aisle Loss Data'!$B$2:$B$1931,MATCH(TRIM($C146)&amp;"|1",'Aisle Loss Data'!$E$2:$E$1931,0)),"No Loss")&amp;IFERROR(","&amp;INDEX('Aisle Loss Data'!$B$2:$B$1931,MATCH(TRIM($C146)&amp;"|2",'Aisle Loss Data'!$E$2:$E$1931,0)),""))</f>
        <v>No Loss</v>
      </c>
      <c r="U146" s="13" t="n">
        <f aca="false">IF($C146="","",IFERROR(INDEX('Aisle Loss Data'!$C$2:$C$1931,MATCH(TRIM($C146)&amp;"|1",'Aisle Loss Data'!$E$2:$E$1931,0)),0)+IFERROR(INDEX('Aisle Loss Data'!$C$2:$C$1931,MATCH(TRIM($C146)&amp;"|2",'Aisle Loss Data'!$E$2:$E$1931,0)),0))</f>
        <v>0</v>
      </c>
      <c r="V146" s="7"/>
      <c r="W146" s="7"/>
      <c r="X146" s="7"/>
      <c r="Y146" s="7"/>
      <c r="Z146" s="7"/>
    </row>
    <row r="147" customFormat="false" ht="15.75" hidden="false" customHeight="true" outlineLevel="0" collapsed="false">
      <c r="A147" s="8" t="s">
        <v>21</v>
      </c>
      <c r="B147" s="9" t="s">
        <v>22</v>
      </c>
      <c r="C147" s="8" t="s">
        <v>184</v>
      </c>
      <c r="D147" s="9" t="str">
        <f aca="false" t="array" ref="D147:D147">IF(C147="","",IFERROR(INDEX('CLM &amp; IM Mapping'!$B$2:$B$270,MATCH(TRIM(C147),'CLM &amp; IM Mapping'!$A$2:$A$270,0)),"Not Mapped"))</f>
        <v>Arun Raj</v>
      </c>
      <c r="E147" s="9" t="str">
        <f aca="false" t="array" ref="E147:E147">IF(C147="","",IFERROR(INDEX('CLM &amp; IM Mapping'!$C$2:$C$270,MATCH(TRIM(C147),'CLM &amp; IM Mapping'!$A$2:$A$270,0)),"Not Mapped"))</f>
        <v>Simon Manoharan</v>
      </c>
      <c r="F147" s="9" t="s">
        <v>24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1"/>
      <c r="Q147" s="11"/>
      <c r="R147" s="11"/>
      <c r="S147" s="11"/>
      <c r="T147" s="12" t="str">
        <f aca="false">IF($C147="","",IFERROR(INDEX('Aisle Loss Data'!$B$2:$B$1931,MATCH(TRIM($C147)&amp;"|1",'Aisle Loss Data'!$E$2:$E$1931,0)),"No Loss")&amp;IFERROR(","&amp;INDEX('Aisle Loss Data'!$B$2:$B$1931,MATCH(TRIM($C147)&amp;"|2",'Aisle Loss Data'!$E$2:$E$1931,0)),""))</f>
        <v>No Loss</v>
      </c>
      <c r="U147" s="13" t="n">
        <f aca="false">IF($C147="","",IFERROR(INDEX('Aisle Loss Data'!$C$2:$C$1931,MATCH(TRIM($C147)&amp;"|1",'Aisle Loss Data'!$E$2:$E$1931,0)),0)+IFERROR(INDEX('Aisle Loss Data'!$C$2:$C$1931,MATCH(TRIM($C147)&amp;"|2",'Aisle Loss Data'!$E$2:$E$1931,0)),0))</f>
        <v>0</v>
      </c>
      <c r="V147" s="7"/>
      <c r="W147" s="7"/>
      <c r="X147" s="7"/>
      <c r="Y147" s="7"/>
      <c r="Z147" s="7"/>
    </row>
    <row r="148" customFormat="false" ht="15.75" hidden="false" customHeight="true" outlineLevel="0" collapsed="false">
      <c r="A148" s="8" t="s">
        <v>21</v>
      </c>
      <c r="B148" s="9" t="s">
        <v>22</v>
      </c>
      <c r="C148" s="8" t="s">
        <v>185</v>
      </c>
      <c r="D148" s="9" t="str">
        <f aca="false" t="array" ref="D148:D148">IF(C148="","",IFERROR(INDEX('CLM &amp; IM Mapping'!$B$2:$B$270,MATCH(TRIM(C148),'CLM &amp; IM Mapping'!$A$2:$A$270,0)),"Not Mapped"))</f>
        <v>Not Mapped</v>
      </c>
      <c r="E148" s="9" t="str">
        <f aca="false" t="array" ref="E148:E148">IF(C148="","",IFERROR(INDEX('CLM &amp; IM Mapping'!$C$2:$C$270,MATCH(TRIM(C148),'CLM &amp; IM Mapping'!$A$2:$A$270,0)),"Not Mapped"))</f>
        <v>Not Mapped</v>
      </c>
      <c r="F148" s="9" t="s">
        <v>27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1"/>
      <c r="Q148" s="11"/>
      <c r="R148" s="11"/>
      <c r="S148" s="11"/>
      <c r="T148" s="12" t="str">
        <f aca="false">IF($C148="","",IFERROR(INDEX('Aisle Loss Data'!$B$2:$B$1931,MATCH(TRIM($C148)&amp;"|1",'Aisle Loss Data'!$E$2:$E$1931,0)),"No Loss")&amp;IFERROR(","&amp;INDEX('Aisle Loss Data'!$B$2:$B$1931,MATCH(TRIM($C148)&amp;"|2",'Aisle Loss Data'!$E$2:$E$1931,0)),""))</f>
        <v>No Loss</v>
      </c>
      <c r="U148" s="13" t="n">
        <f aca="false">IF($C148="","",IFERROR(INDEX('Aisle Loss Data'!$C$2:$C$1931,MATCH(TRIM($C148)&amp;"|1",'Aisle Loss Data'!$E$2:$E$1931,0)),0)+IFERROR(INDEX('Aisle Loss Data'!$C$2:$C$1931,MATCH(TRIM($C148)&amp;"|2",'Aisle Loss Data'!$E$2:$E$1931,0)),0))</f>
        <v>0</v>
      </c>
      <c r="V148" s="7"/>
      <c r="W148" s="7"/>
      <c r="X148" s="7"/>
      <c r="Y148" s="7"/>
      <c r="Z148" s="7"/>
    </row>
    <row r="149" customFormat="false" ht="15.75" hidden="false" customHeight="true" outlineLevel="0" collapsed="false">
      <c r="A149" s="8" t="s">
        <v>21</v>
      </c>
      <c r="B149" s="9" t="s">
        <v>22</v>
      </c>
      <c r="C149" s="8" t="s">
        <v>186</v>
      </c>
      <c r="D149" s="9" t="str">
        <f aca="false" t="array" ref="D149:D149">IF(C149="","",IFERROR(INDEX('CLM &amp; IM Mapping'!$B$2:$B$270,MATCH(TRIM(C149),'CLM &amp; IM Mapping'!$A$2:$A$270,0)),"Not Mapped"))</f>
        <v>Not Mapped</v>
      </c>
      <c r="E149" s="9" t="str">
        <f aca="false" t="array" ref="E149:E149">IF(C149="","",IFERROR(INDEX('CLM &amp; IM Mapping'!$C$2:$C$270,MATCH(TRIM(C149),'CLM &amp; IM Mapping'!$A$2:$A$270,0)),"Not Mapped"))</f>
        <v>Not Mapped</v>
      </c>
      <c r="F149" s="9" t="s">
        <v>27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1"/>
      <c r="Q149" s="11"/>
      <c r="R149" s="11"/>
      <c r="S149" s="11"/>
      <c r="T149" s="12" t="str">
        <f aca="false">IF($C149="","",IFERROR(INDEX('Aisle Loss Data'!$B$2:$B$1931,MATCH(TRIM($C149)&amp;"|1",'Aisle Loss Data'!$E$2:$E$1931,0)),"No Loss")&amp;IFERROR(","&amp;INDEX('Aisle Loss Data'!$B$2:$B$1931,MATCH(TRIM($C149)&amp;"|2",'Aisle Loss Data'!$E$2:$E$1931,0)),""))</f>
        <v>No Loss</v>
      </c>
      <c r="U149" s="13" t="n">
        <f aca="false">IF($C149="","",IFERROR(INDEX('Aisle Loss Data'!$C$2:$C$1931,MATCH(TRIM($C149)&amp;"|1",'Aisle Loss Data'!$E$2:$E$1931,0)),0)+IFERROR(INDEX('Aisle Loss Data'!$C$2:$C$1931,MATCH(TRIM($C149)&amp;"|2",'Aisle Loss Data'!$E$2:$E$1931,0)),0))</f>
        <v>0</v>
      </c>
      <c r="V149" s="7"/>
      <c r="W149" s="7"/>
      <c r="X149" s="7"/>
      <c r="Y149" s="7"/>
      <c r="Z149" s="7"/>
    </row>
    <row r="150" customFormat="false" ht="15.75" hidden="false" customHeight="true" outlineLevel="0" collapsed="false">
      <c r="A150" s="8" t="s">
        <v>21</v>
      </c>
      <c r="B150" s="9" t="s">
        <v>22</v>
      </c>
      <c r="C150" s="8" t="s">
        <v>187</v>
      </c>
      <c r="D150" s="9" t="str">
        <f aca="false" t="array" ref="D150:D150">IF(C150="","",IFERROR(INDEX('CLM &amp; IM Mapping'!$B$2:$B$270,MATCH(TRIM(C150),'CLM &amp; IM Mapping'!$A$2:$A$270,0)),"Not Mapped"))</f>
        <v>Akshay P</v>
      </c>
      <c r="E150" s="9" t="str">
        <f aca="false" t="array" ref="E150:E150">IF(C150="","",IFERROR(INDEX('CLM &amp; IM Mapping'!$C$2:$C$270,MATCH(TRIM(C150),'CLM &amp; IM Mapping'!$A$2:$A$270,0)),"Not Mapped"))</f>
        <v>Srittam Dhal</v>
      </c>
      <c r="F150" s="9" t="s">
        <v>27</v>
      </c>
      <c r="G150" s="10" t="n">
        <v>-1479</v>
      </c>
      <c r="H150" s="10" t="n">
        <v>956</v>
      </c>
      <c r="I150" s="10" t="n">
        <v>0</v>
      </c>
      <c r="J150" s="10" t="n">
        <v>0</v>
      </c>
      <c r="K150" s="10" t="n">
        <v>283</v>
      </c>
      <c r="L150" s="10" t="n">
        <v>0</v>
      </c>
      <c r="M150" s="10" t="n">
        <v>0</v>
      </c>
      <c r="N150" s="10" t="n">
        <v>0</v>
      </c>
      <c r="O150" s="10" t="n">
        <v>-240</v>
      </c>
      <c r="P150" s="11"/>
      <c r="Q150" s="11"/>
      <c r="R150" s="11"/>
      <c r="S150" s="11"/>
      <c r="T150" s="12" t="str">
        <f aca="false">IF($C150="","",IFERROR(INDEX('Aisle Loss Data'!$B$2:$B$1931,MATCH(TRIM($C150)&amp;"|1",'Aisle Loss Data'!$E$2:$E$1931,0)),"No Loss")&amp;IFERROR(","&amp;INDEX('Aisle Loss Data'!$B$2:$B$1931,MATCH(TRIM($C150)&amp;"|2",'Aisle Loss Data'!$E$2:$E$1931,0)),""))</f>
        <v>B,K</v>
      </c>
      <c r="U150" s="13" t="n">
        <f aca="false">IF($C150="","",IFERROR(INDEX('Aisle Loss Data'!$C$2:$C$1931,MATCH(TRIM($C150)&amp;"|1",'Aisle Loss Data'!$E$2:$E$1931,0)),0)+IFERROR(INDEX('Aisle Loss Data'!$C$2:$C$1931,MATCH(TRIM($C150)&amp;"|2",'Aisle Loss Data'!$E$2:$E$1931,0)),0))</f>
        <v>3603.1</v>
      </c>
      <c r="V150" s="7"/>
      <c r="W150" s="7"/>
      <c r="X150" s="7"/>
      <c r="Y150" s="7"/>
      <c r="Z150" s="7"/>
    </row>
    <row r="151" customFormat="false" ht="15.75" hidden="false" customHeight="true" outlineLevel="0" collapsed="false">
      <c r="A151" s="8" t="s">
        <v>21</v>
      </c>
      <c r="B151" s="9" t="s">
        <v>123</v>
      </c>
      <c r="C151" s="8" t="s">
        <v>188</v>
      </c>
      <c r="D151" s="9" t="str">
        <f aca="false" t="array" ref="D151:D151">IF(C151="","",IFERROR(INDEX('CLM &amp; IM Mapping'!$B$2:$B$270,MATCH(TRIM(C151),'CLM &amp; IM Mapping'!$A$2:$A$270,0)),"Not Mapped"))</f>
        <v>Majid Kakatikar</v>
      </c>
      <c r="E151" s="9" t="str">
        <f aca="false" t="array" ref="E151:E151">IF(C151="","",IFERROR(INDEX('CLM &amp; IM Mapping'!$C$2:$C$270,MATCH(TRIM(C151),'CLM &amp; IM Mapping'!$A$2:$A$270,0)),"Not Mapped"))</f>
        <v>Kishor K</v>
      </c>
      <c r="F151" s="9" t="s">
        <v>27</v>
      </c>
      <c r="G151" s="10" t="n">
        <v>-1896</v>
      </c>
      <c r="H151" s="10" t="n">
        <v>1503</v>
      </c>
      <c r="I151" s="10" t="n">
        <v>0</v>
      </c>
      <c r="J151" s="10" t="n">
        <v>0</v>
      </c>
      <c r="K151" s="10" t="n">
        <v>129</v>
      </c>
      <c r="L151" s="10" t="n">
        <v>0</v>
      </c>
      <c r="M151" s="10" t="n">
        <v>0</v>
      </c>
      <c r="N151" s="10" t="n">
        <v>0</v>
      </c>
      <c r="O151" s="10" t="n">
        <v>-264</v>
      </c>
      <c r="P151" s="11"/>
      <c r="Q151" s="11"/>
      <c r="R151" s="11"/>
      <c r="S151" s="11"/>
      <c r="T151" s="12" t="str">
        <f aca="false">IF($C151="","",IFERROR(INDEX('Aisle Loss Data'!$B$2:$B$1931,MATCH(TRIM($C151)&amp;"|1",'Aisle Loss Data'!$E$2:$E$1931,0)),"No Loss")&amp;IFERROR(","&amp;INDEX('Aisle Loss Data'!$B$2:$B$1931,MATCH(TRIM($C151)&amp;"|2",'Aisle Loss Data'!$E$2:$E$1931,0)),""))</f>
        <v>B,P</v>
      </c>
      <c r="U151" s="13" t="n">
        <f aca="false">IF($C151="","",IFERROR(INDEX('Aisle Loss Data'!$C$2:$C$1931,MATCH(TRIM($C151)&amp;"|1",'Aisle Loss Data'!$E$2:$E$1931,0)),0)+IFERROR(INDEX('Aisle Loss Data'!$C$2:$C$1931,MATCH(TRIM($C151)&amp;"|2",'Aisle Loss Data'!$E$2:$E$1931,0)),0))</f>
        <v>1309.31</v>
      </c>
      <c r="V151" s="7"/>
      <c r="W151" s="7"/>
      <c r="X151" s="7"/>
      <c r="Y151" s="7"/>
      <c r="Z151" s="7"/>
    </row>
    <row r="152" customFormat="false" ht="15.75" hidden="false" customHeight="true" outlineLevel="0" collapsed="false">
      <c r="A152" s="8" t="s">
        <v>21</v>
      </c>
      <c r="B152" s="9" t="s">
        <v>22</v>
      </c>
      <c r="C152" s="8" t="s">
        <v>189</v>
      </c>
      <c r="D152" s="9" t="str">
        <f aca="false" t="array" ref="D152:D152">IF(C152="","",IFERROR(INDEX('CLM &amp; IM Mapping'!$B$2:$B$270,MATCH(TRIM(C152),'CLM &amp; IM Mapping'!$A$2:$A$270,0)),"Not Mapped"))</f>
        <v>Saddam Hussain</v>
      </c>
      <c r="E152" s="9" t="str">
        <f aca="false" t="array" ref="E152:E152">IF(C152="","",IFERROR(INDEX('CLM &amp; IM Mapping'!$C$2:$C$270,MATCH(TRIM(C152),'CLM &amp; IM Mapping'!$A$2:$A$270,0)),"Not Mapped"))</f>
        <v>Un Mapped</v>
      </c>
      <c r="F152" s="9" t="s">
        <v>27</v>
      </c>
      <c r="G152" s="10" t="n">
        <v>-4229</v>
      </c>
      <c r="H152" s="10" t="n">
        <v>1324</v>
      </c>
      <c r="I152" s="10" t="n">
        <v>0</v>
      </c>
      <c r="J152" s="10" t="n">
        <v>43</v>
      </c>
      <c r="K152" s="10" t="n">
        <v>1118</v>
      </c>
      <c r="L152" s="10" t="n">
        <v>0</v>
      </c>
      <c r="M152" s="10" t="n">
        <v>1386</v>
      </c>
      <c r="N152" s="10" t="n">
        <v>0</v>
      </c>
      <c r="O152" s="10" t="n">
        <v>-358</v>
      </c>
      <c r="P152" s="11"/>
      <c r="Q152" s="11"/>
      <c r="R152" s="11"/>
      <c r="S152" s="11"/>
      <c r="T152" s="12" t="str">
        <f aca="false">IF($C152="","",IFERROR(INDEX('Aisle Loss Data'!$B$2:$B$1931,MATCH(TRIM($C152)&amp;"|1",'Aisle Loss Data'!$E$2:$E$1931,0)),"No Loss")&amp;IFERROR(","&amp;INDEX('Aisle Loss Data'!$B$2:$B$1931,MATCH(TRIM($C152)&amp;"|2",'Aisle Loss Data'!$E$2:$E$1931,0)),""))</f>
        <v>M,K</v>
      </c>
      <c r="U152" s="13" t="n">
        <f aca="false">IF($C152="","",IFERROR(INDEX('Aisle Loss Data'!$C$2:$C$1931,MATCH(TRIM($C152)&amp;"|1",'Aisle Loss Data'!$E$2:$E$1931,0)),0)+IFERROR(INDEX('Aisle Loss Data'!$C$2:$C$1931,MATCH(TRIM($C152)&amp;"|2",'Aisle Loss Data'!$E$2:$E$1931,0)),0))</f>
        <v>2566.65</v>
      </c>
      <c r="V152" s="7"/>
      <c r="W152" s="7"/>
      <c r="X152" s="7"/>
      <c r="Y152" s="7"/>
      <c r="Z152" s="7"/>
    </row>
    <row r="153" customFormat="false" ht="15.75" hidden="false" customHeight="true" outlineLevel="0" collapsed="false">
      <c r="A153" s="8" t="s">
        <v>21</v>
      </c>
      <c r="B153" s="9" t="s">
        <v>22</v>
      </c>
      <c r="C153" s="8" t="s">
        <v>190</v>
      </c>
      <c r="D153" s="9" t="str">
        <f aca="false" t="array" ref="D153:D153">IF(C153="","",IFERROR(INDEX('CLM &amp; IM Mapping'!$B$2:$B$270,MATCH(TRIM(C153),'CLM &amp; IM Mapping'!$A$2:$A$270,0)),"Not Mapped"))</f>
        <v>Sundaresh S</v>
      </c>
      <c r="E153" s="9" t="str">
        <f aca="false" t="array" ref="E153:E153">IF(C153="","",IFERROR(INDEX('CLM &amp; IM Mapping'!$C$2:$C$270,MATCH(TRIM(C153),'CLM &amp; IM Mapping'!$A$2:$A$270,0)),"Not Mapped"))</f>
        <v>Un Mapped</v>
      </c>
      <c r="F153" s="9" t="s">
        <v>27</v>
      </c>
      <c r="G153" s="10" t="n">
        <v>-13425</v>
      </c>
      <c r="H153" s="10" t="n">
        <v>4786</v>
      </c>
      <c r="I153" s="10" t="n">
        <v>1649</v>
      </c>
      <c r="J153" s="10" t="n">
        <v>5982</v>
      </c>
      <c r="K153" s="10" t="n">
        <v>543</v>
      </c>
      <c r="L153" s="10" t="n">
        <v>0</v>
      </c>
      <c r="M153" s="10" t="n">
        <v>0</v>
      </c>
      <c r="N153" s="10" t="n">
        <v>0</v>
      </c>
      <c r="O153" s="10" t="n">
        <v>-465</v>
      </c>
      <c r="P153" s="11"/>
      <c r="Q153" s="11"/>
      <c r="R153" s="11"/>
      <c r="S153" s="11"/>
      <c r="T153" s="12" t="str">
        <f aca="false">IF($C153="","",IFERROR(INDEX('Aisle Loss Data'!$B$2:$B$1931,MATCH(TRIM($C153)&amp;"|1",'Aisle Loss Data'!$E$2:$E$1931,0)),"No Loss")&amp;IFERROR(","&amp;INDEX('Aisle Loss Data'!$B$2:$B$1931,MATCH(TRIM($C153)&amp;"|2",'Aisle Loss Data'!$E$2:$E$1931,0)),""))</f>
        <v>L,B</v>
      </c>
      <c r="U153" s="13" t="n">
        <f aca="false">IF($C153="","",IFERROR(INDEX('Aisle Loss Data'!$C$2:$C$1931,MATCH(TRIM($C153)&amp;"|1",'Aisle Loss Data'!$E$2:$E$1931,0)),0)+IFERROR(INDEX('Aisle Loss Data'!$C$2:$C$1931,MATCH(TRIM($C153)&amp;"|2",'Aisle Loss Data'!$E$2:$E$1931,0)),0))</f>
        <v>2734.91</v>
      </c>
      <c r="V153" s="7"/>
      <c r="W153" s="7"/>
      <c r="X153" s="7"/>
      <c r="Y153" s="7"/>
      <c r="Z153" s="7"/>
    </row>
    <row r="154" customFormat="false" ht="15.75" hidden="false" customHeight="true" outlineLevel="0" collapsed="false">
      <c r="A154" s="8" t="s">
        <v>21</v>
      </c>
      <c r="B154" s="9" t="s">
        <v>191</v>
      </c>
      <c r="C154" s="8" t="s">
        <v>192</v>
      </c>
      <c r="D154" s="9" t="str">
        <f aca="false" t="array" ref="D154:D154">IF(C154="","",IFERROR(INDEX('CLM &amp; IM Mapping'!$B$2:$B$270,MATCH(TRIM(C154),'CLM &amp; IM Mapping'!$A$2:$A$270,0)),"Not Mapped"))</f>
        <v>Vishnu V</v>
      </c>
      <c r="E154" s="9" t="str">
        <f aca="false" t="array" ref="E154:E154">IF(C154="","",IFERROR(INDEX('CLM &amp; IM Mapping'!$C$2:$C$270,MATCH(TRIM(C154),'CLM &amp; IM Mapping'!$A$2:$A$270,0)),"Not Mapped"))</f>
        <v>Arivind S</v>
      </c>
      <c r="F154" s="9" t="s">
        <v>27</v>
      </c>
      <c r="G154" s="10" t="n">
        <v>-599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-599</v>
      </c>
      <c r="P154" s="11"/>
      <c r="Q154" s="11"/>
      <c r="R154" s="11"/>
      <c r="S154" s="11"/>
      <c r="T154" s="12" t="str">
        <f aca="false">IF($C154="","",IFERROR(INDEX('Aisle Loss Data'!$B$2:$B$1931,MATCH(TRIM($C154)&amp;"|1",'Aisle Loss Data'!$E$2:$E$1931,0)),"No Loss")&amp;IFERROR(","&amp;INDEX('Aisle Loss Data'!$B$2:$B$1931,MATCH(TRIM($C154)&amp;"|2",'Aisle Loss Data'!$E$2:$E$1931,0)),""))</f>
        <v>No Loss</v>
      </c>
      <c r="U154" s="13" t="n">
        <f aca="false">IF($C154="","",IFERROR(INDEX('Aisle Loss Data'!$C$2:$C$1931,MATCH(TRIM($C154)&amp;"|1",'Aisle Loss Data'!$E$2:$E$1931,0)),0)+IFERROR(INDEX('Aisle Loss Data'!$C$2:$C$1931,MATCH(TRIM($C154)&amp;"|2",'Aisle Loss Data'!$E$2:$E$1931,0)),0))</f>
        <v>0</v>
      </c>
      <c r="V154" s="7"/>
      <c r="W154" s="7"/>
      <c r="X154" s="7"/>
      <c r="Y154" s="7"/>
      <c r="Z154" s="7"/>
    </row>
    <row r="155" customFormat="false" ht="15.75" hidden="false" customHeight="true" outlineLevel="0" collapsed="false">
      <c r="A155" s="8" t="s">
        <v>21</v>
      </c>
      <c r="B155" s="9" t="s">
        <v>22</v>
      </c>
      <c r="C155" s="8" t="s">
        <v>193</v>
      </c>
      <c r="D155" s="9" t="str">
        <f aca="false" t="array" ref="D155:D155">IF(C155="","",IFERROR(INDEX('CLM &amp; IM Mapping'!$B$2:$B$270,MATCH(TRIM(C155),'CLM &amp; IM Mapping'!$A$2:$A$270,0)),"Not Mapped"))</f>
        <v>Richard Harris</v>
      </c>
      <c r="E155" s="9" t="str">
        <f aca="false" t="array" ref="E155:E155">IF(C155="","",IFERROR(INDEX('CLM &amp; IM Mapping'!$C$2:$C$270,MATCH(TRIM(C155),'CLM &amp; IM Mapping'!$A$2:$A$270,0)),"Not Mapped"))</f>
        <v>Kantha Kumar</v>
      </c>
      <c r="F155" s="9" t="s">
        <v>27</v>
      </c>
      <c r="G155" s="10" t="n">
        <v>-9479</v>
      </c>
      <c r="H155" s="10" t="n">
        <v>3869</v>
      </c>
      <c r="I155" s="10" t="n">
        <v>0</v>
      </c>
      <c r="J155" s="10" t="n">
        <v>0</v>
      </c>
      <c r="K155" s="10" t="n">
        <v>652</v>
      </c>
      <c r="L155" s="10" t="n">
        <v>0</v>
      </c>
      <c r="M155" s="10" t="n">
        <v>4320</v>
      </c>
      <c r="N155" s="10" t="n">
        <v>0</v>
      </c>
      <c r="O155" s="10" t="n">
        <v>-638</v>
      </c>
      <c r="P155" s="11"/>
      <c r="Q155" s="11"/>
      <c r="R155" s="11"/>
      <c r="S155" s="11"/>
      <c r="T155" s="12" t="str">
        <f aca="false">IF($C155="","",IFERROR(INDEX('Aisle Loss Data'!$B$2:$B$1931,MATCH(TRIM($C155)&amp;"|1",'Aisle Loss Data'!$E$2:$E$1931,0)),"No Loss")&amp;IFERROR(","&amp;INDEX('Aisle Loss Data'!$B$2:$B$1931,MATCH(TRIM($C155)&amp;"|2",'Aisle Loss Data'!$E$2:$E$1931,0)),""))</f>
        <v>G,B</v>
      </c>
      <c r="U155" s="13" t="n">
        <f aca="false">IF($C155="","",IFERROR(INDEX('Aisle Loss Data'!$C$2:$C$1931,MATCH(TRIM($C155)&amp;"|1",'Aisle Loss Data'!$E$2:$E$1931,0)),0)+IFERROR(INDEX('Aisle Loss Data'!$C$2:$C$1931,MATCH(TRIM($C155)&amp;"|2",'Aisle Loss Data'!$E$2:$E$1931,0)),0))</f>
        <v>7240.58</v>
      </c>
      <c r="V155" s="7"/>
      <c r="W155" s="7"/>
      <c r="X155" s="7"/>
      <c r="Y155" s="7"/>
      <c r="Z155" s="7"/>
    </row>
    <row r="156" customFormat="false" ht="15.75" hidden="false" customHeight="true" outlineLevel="0" collapsed="false">
      <c r="A156" s="8" t="s">
        <v>21</v>
      </c>
      <c r="B156" s="9" t="s">
        <v>22</v>
      </c>
      <c r="C156" s="8" t="s">
        <v>194</v>
      </c>
      <c r="D156" s="9" t="str">
        <f aca="false" t="array" ref="D156:D156">IF(C156="","",IFERROR(INDEX('CLM &amp; IM Mapping'!$B$2:$B$270,MATCH(TRIM(C156),'CLM &amp; IM Mapping'!$A$2:$A$270,0)),"Not Mapped"))</f>
        <v>Balaji G</v>
      </c>
      <c r="E156" s="9" t="str">
        <f aca="false" t="array" ref="E156:E156">IF(C156="","",IFERROR(INDEX('CLM &amp; IM Mapping'!$C$2:$C$270,MATCH(TRIM(C156),'CLM &amp; IM Mapping'!$A$2:$A$270,0)),"Not Mapped"))</f>
        <v>Mohammed Akbar</v>
      </c>
      <c r="F156" s="9" t="s">
        <v>27</v>
      </c>
      <c r="G156" s="10" t="n">
        <v>-15225</v>
      </c>
      <c r="H156" s="10" t="n">
        <v>12342</v>
      </c>
      <c r="I156" s="10" t="n">
        <v>428</v>
      </c>
      <c r="J156" s="10" t="n">
        <v>902</v>
      </c>
      <c r="K156" s="10" t="n">
        <v>744</v>
      </c>
      <c r="L156" s="10" t="n">
        <v>0</v>
      </c>
      <c r="M156" s="10" t="n">
        <v>0</v>
      </c>
      <c r="N156" s="10" t="n">
        <v>0</v>
      </c>
      <c r="O156" s="10" t="n">
        <v>-809</v>
      </c>
      <c r="P156" s="11"/>
      <c r="Q156" s="11"/>
      <c r="R156" s="11"/>
      <c r="S156" s="11"/>
      <c r="T156" s="12" t="str">
        <f aca="false">IF($C156="","",IFERROR(INDEX('Aisle Loss Data'!$B$2:$B$1931,MATCH(TRIM($C156)&amp;"|1",'Aisle Loss Data'!$E$2:$E$1931,0)),"No Loss")&amp;IFERROR(","&amp;INDEX('Aisle Loss Data'!$B$2:$B$1931,MATCH(TRIM($C156)&amp;"|2",'Aisle Loss Data'!$E$2:$E$1931,0)),""))</f>
        <v>K,A</v>
      </c>
      <c r="U156" s="13" t="n">
        <f aca="false">IF($C156="","",IFERROR(INDEX('Aisle Loss Data'!$C$2:$C$1931,MATCH(TRIM($C156)&amp;"|1",'Aisle Loss Data'!$E$2:$E$1931,0)),0)+IFERROR(INDEX('Aisle Loss Data'!$C$2:$C$1931,MATCH(TRIM($C156)&amp;"|2",'Aisle Loss Data'!$E$2:$E$1931,0)),0))</f>
        <v>4635.64</v>
      </c>
      <c r="V156" s="7"/>
      <c r="W156" s="7"/>
      <c r="X156" s="7"/>
      <c r="Y156" s="7"/>
      <c r="Z156" s="7"/>
    </row>
    <row r="157" customFormat="false" ht="15.75" hidden="false" customHeight="true" outlineLevel="0" collapsed="false">
      <c r="A157" s="8" t="s">
        <v>21</v>
      </c>
      <c r="B157" s="9" t="s">
        <v>22</v>
      </c>
      <c r="C157" s="8" t="s">
        <v>195</v>
      </c>
      <c r="D157" s="9" t="str">
        <f aca="false" t="array" ref="D157:D157">IF(C157="","",IFERROR(INDEX('CLM &amp; IM Mapping'!$B$2:$B$270,MATCH(TRIM(C157),'CLM &amp; IM Mapping'!$A$2:$A$270,0)),"Not Mapped"))</f>
        <v>Arun Raj</v>
      </c>
      <c r="E157" s="9" t="str">
        <f aca="false" t="array" ref="E157:E157">IF(C157="","",IFERROR(INDEX('CLM &amp; IM Mapping'!$C$2:$C$270,MATCH(TRIM(C157),'CLM &amp; IM Mapping'!$A$2:$A$270,0)),"Not Mapped"))</f>
        <v>Simon Manoharan</v>
      </c>
      <c r="F157" s="9" t="s">
        <v>24</v>
      </c>
      <c r="G157" s="10" t="n">
        <v>-14443</v>
      </c>
      <c r="H157" s="10" t="n">
        <v>12883</v>
      </c>
      <c r="I157" s="10" t="n">
        <v>0</v>
      </c>
      <c r="J157" s="10" t="n">
        <v>0</v>
      </c>
      <c r="K157" s="10" t="n">
        <v>741</v>
      </c>
      <c r="L157" s="10" t="n">
        <v>0</v>
      </c>
      <c r="M157" s="10" t="n">
        <v>0</v>
      </c>
      <c r="N157" s="10" t="n">
        <v>0</v>
      </c>
      <c r="O157" s="10" t="n">
        <v>-819</v>
      </c>
      <c r="P157" s="11"/>
      <c r="Q157" s="11"/>
      <c r="R157" s="11"/>
      <c r="S157" s="11"/>
      <c r="T157" s="12" t="str">
        <f aca="false">IF($C157="","",IFERROR(INDEX('Aisle Loss Data'!$B$2:$B$1931,MATCH(TRIM($C157)&amp;"|1",'Aisle Loss Data'!$E$2:$E$1931,0)),"No Loss")&amp;IFERROR(","&amp;INDEX('Aisle Loss Data'!$B$2:$B$1931,MATCH(TRIM($C157)&amp;"|2",'Aisle Loss Data'!$E$2:$E$1931,0)),""))</f>
        <v>E,D</v>
      </c>
      <c r="U157" s="13" t="n">
        <f aca="false">IF($C157="","",IFERROR(INDEX('Aisle Loss Data'!$C$2:$C$1931,MATCH(TRIM($C157)&amp;"|1",'Aisle Loss Data'!$E$2:$E$1931,0)),0)+IFERROR(INDEX('Aisle Loss Data'!$C$2:$C$1931,MATCH(TRIM($C157)&amp;"|2",'Aisle Loss Data'!$E$2:$E$1931,0)),0))</f>
        <v>2449.74</v>
      </c>
      <c r="V157" s="7"/>
      <c r="W157" s="7"/>
      <c r="X157" s="7"/>
      <c r="Y157" s="7"/>
      <c r="Z157" s="7"/>
    </row>
    <row r="158" customFormat="false" ht="15.75" hidden="false" customHeight="true" outlineLevel="0" collapsed="false">
      <c r="A158" s="8" t="s">
        <v>21</v>
      </c>
      <c r="B158" s="9" t="s">
        <v>22</v>
      </c>
      <c r="C158" s="8" t="s">
        <v>196</v>
      </c>
      <c r="D158" s="9" t="str">
        <f aca="false" t="array" ref="D158:D158">IF(C158="","",IFERROR(INDEX('CLM &amp; IM Mapping'!$B$2:$B$270,MATCH(TRIM(C158),'CLM &amp; IM Mapping'!$A$2:$A$270,0)),"Not Mapped"))</f>
        <v>Saddam Hussain</v>
      </c>
      <c r="E158" s="9" t="str">
        <f aca="false" t="array" ref="E158:E158">IF(C158="","",IFERROR(INDEX('CLM &amp; IM Mapping'!$C$2:$C$270,MATCH(TRIM(C158),'CLM &amp; IM Mapping'!$A$2:$A$270,0)),"Not Mapped"))</f>
        <v>Un Mapped</v>
      </c>
      <c r="F158" s="9" t="s">
        <v>27</v>
      </c>
      <c r="G158" s="10" t="n">
        <v>-8358</v>
      </c>
      <c r="H158" s="10" t="n">
        <v>6455</v>
      </c>
      <c r="I158" s="10" t="n">
        <v>0</v>
      </c>
      <c r="J158" s="10" t="n">
        <v>0</v>
      </c>
      <c r="K158" s="10" t="n">
        <v>841</v>
      </c>
      <c r="L158" s="10" t="n">
        <v>0</v>
      </c>
      <c r="M158" s="10" t="n">
        <v>0</v>
      </c>
      <c r="N158" s="10" t="n">
        <v>0</v>
      </c>
      <c r="O158" s="10" t="n">
        <v>-1062</v>
      </c>
      <c r="P158" s="11"/>
      <c r="Q158" s="11"/>
      <c r="R158" s="11"/>
      <c r="S158" s="11"/>
      <c r="T158" s="12" t="str">
        <f aca="false">IF($C158="","",IFERROR(INDEX('Aisle Loss Data'!$B$2:$B$1931,MATCH(TRIM($C158)&amp;"|1",'Aisle Loss Data'!$E$2:$E$1931,0)),"No Loss")&amp;IFERROR(","&amp;INDEX('Aisle Loss Data'!$B$2:$B$1931,MATCH(TRIM($C158)&amp;"|2",'Aisle Loss Data'!$E$2:$E$1931,0)),""))</f>
        <v>P,G</v>
      </c>
      <c r="U158" s="13" t="n">
        <f aca="false">IF($C158="","",IFERROR(INDEX('Aisle Loss Data'!$C$2:$C$1931,MATCH(TRIM($C158)&amp;"|1",'Aisle Loss Data'!$E$2:$E$1931,0)),0)+IFERROR(INDEX('Aisle Loss Data'!$C$2:$C$1931,MATCH(TRIM($C158)&amp;"|2",'Aisle Loss Data'!$E$2:$E$1931,0)),0))</f>
        <v>2131.62</v>
      </c>
      <c r="V158" s="7"/>
      <c r="W158" s="7"/>
      <c r="X158" s="7"/>
      <c r="Y158" s="7"/>
      <c r="Z158" s="7"/>
    </row>
    <row r="159" customFormat="false" ht="15.75" hidden="false" customHeight="true" outlineLevel="0" collapsed="false">
      <c r="A159" s="8" t="s">
        <v>21</v>
      </c>
      <c r="B159" s="9" t="s">
        <v>22</v>
      </c>
      <c r="C159" s="8" t="s">
        <v>197</v>
      </c>
      <c r="D159" s="9" t="str">
        <f aca="false" t="array" ref="D159:D159">IF(C159="","",IFERROR(INDEX('CLM &amp; IM Mapping'!$B$2:$B$270,MATCH(TRIM(C159),'CLM &amp; IM Mapping'!$A$2:$A$270,0)),"Not Mapped"))</f>
        <v>Arun Raj</v>
      </c>
      <c r="E159" s="9" t="str">
        <f aca="false" t="array" ref="E159:E159">IF(C159="","",IFERROR(INDEX('CLM &amp; IM Mapping'!$C$2:$C$270,MATCH(TRIM(C159),'CLM &amp; IM Mapping'!$A$2:$A$270,0)),"Not Mapped"))</f>
        <v>Simon Manoharan</v>
      </c>
      <c r="F159" s="9" t="s">
        <v>24</v>
      </c>
      <c r="G159" s="10" t="n">
        <v>-4601</v>
      </c>
      <c r="H159" s="10" t="n">
        <v>1560</v>
      </c>
      <c r="I159" s="10" t="n">
        <v>0</v>
      </c>
      <c r="J159" s="10" t="n">
        <v>69</v>
      </c>
      <c r="K159" s="10" t="n">
        <v>1727</v>
      </c>
      <c r="L159" s="10" t="n">
        <v>0</v>
      </c>
      <c r="M159" s="10" t="n">
        <v>0</v>
      </c>
      <c r="N159" s="10" t="n">
        <v>0</v>
      </c>
      <c r="O159" s="10" t="n">
        <v>-1245</v>
      </c>
      <c r="P159" s="11"/>
      <c r="Q159" s="11"/>
      <c r="R159" s="11"/>
      <c r="S159" s="11"/>
      <c r="T159" s="12" t="str">
        <f aca="false">IF($C159="","",IFERROR(INDEX('Aisle Loss Data'!$B$2:$B$1931,MATCH(TRIM($C159)&amp;"|1",'Aisle Loss Data'!$E$2:$E$1931,0)),"No Loss")&amp;IFERROR(","&amp;INDEX('Aisle Loss Data'!$B$2:$B$1931,MATCH(TRIM($C159)&amp;"|2",'Aisle Loss Data'!$E$2:$E$1931,0)),""))</f>
        <v>P09,P15</v>
      </c>
      <c r="U159" s="13" t="n">
        <f aca="false">IF($C159="","",IFERROR(INDEX('Aisle Loss Data'!$C$2:$C$1931,MATCH(TRIM($C159)&amp;"|1",'Aisle Loss Data'!$E$2:$E$1931,0)),0)+IFERROR(INDEX('Aisle Loss Data'!$C$2:$C$1931,MATCH(TRIM($C159)&amp;"|2",'Aisle Loss Data'!$E$2:$E$1931,0)),0))</f>
        <v>3049.38</v>
      </c>
      <c r="V159" s="7"/>
      <c r="W159" s="7"/>
      <c r="X159" s="7"/>
      <c r="Y159" s="7"/>
      <c r="Z159" s="7"/>
    </row>
    <row r="160" customFormat="false" ht="15.75" hidden="false" customHeight="true" outlineLevel="0" collapsed="false">
      <c r="A160" s="8" t="s">
        <v>21</v>
      </c>
      <c r="B160" s="9" t="s">
        <v>22</v>
      </c>
      <c r="C160" s="9" t="s">
        <v>198</v>
      </c>
      <c r="D160" s="9" t="str">
        <f aca="false" t="array" ref="D160:D160">IF(C160="","",IFERROR(INDEX('CLM &amp; IM Mapping'!$B$2:$B$270,MATCH(TRIM(C160),'CLM &amp; IM Mapping'!$A$2:$A$270,0)),"Not Mapped"))</f>
        <v>Arun Raj</v>
      </c>
      <c r="E160" s="9" t="str">
        <f aca="false" t="array" ref="E160:E160">IF(C160="","",IFERROR(INDEX('CLM &amp; IM Mapping'!$C$2:$C$270,MATCH(TRIM(C160),'CLM &amp; IM Mapping'!$A$2:$A$270,0)),"Not Mapped"))</f>
        <v>Simon Manoharan</v>
      </c>
      <c r="F160" s="9" t="s">
        <v>24</v>
      </c>
      <c r="G160" s="10" t="n">
        <v>-5354</v>
      </c>
      <c r="H160" s="10" t="n">
        <v>2283</v>
      </c>
      <c r="I160" s="10" t="n">
        <v>0</v>
      </c>
      <c r="J160" s="10" t="n">
        <v>0</v>
      </c>
      <c r="K160" s="10" t="n">
        <v>1819</v>
      </c>
      <c r="L160" s="10" t="n">
        <v>0</v>
      </c>
      <c r="M160" s="10" t="n">
        <v>0</v>
      </c>
      <c r="N160" s="10" t="n">
        <v>0</v>
      </c>
      <c r="O160" s="10" t="n">
        <v>-1252</v>
      </c>
      <c r="P160" s="11"/>
      <c r="Q160" s="11"/>
      <c r="R160" s="11"/>
      <c r="S160" s="11"/>
      <c r="T160" s="12" t="str">
        <f aca="false">IF($C160="","",IFERROR(INDEX('Aisle Loss Data'!$B$2:$B$1931,MATCH(TRIM($C160)&amp;"|1",'Aisle Loss Data'!$E$2:$E$1931,0)),"No Loss")&amp;IFERROR(","&amp;INDEX('Aisle Loss Data'!$B$2:$B$1931,MATCH(TRIM($C160)&amp;"|2",'Aisle Loss Data'!$E$2:$E$1931,0)),""))</f>
        <v>A,K</v>
      </c>
      <c r="U160" s="13" t="n">
        <f aca="false">IF($C160="","",IFERROR(INDEX('Aisle Loss Data'!$C$2:$C$1931,MATCH(TRIM($C160)&amp;"|1",'Aisle Loss Data'!$E$2:$E$1931,0)),0)+IFERROR(INDEX('Aisle Loss Data'!$C$2:$C$1931,MATCH(TRIM($C160)&amp;"|2",'Aisle Loss Data'!$E$2:$E$1931,0)),0))</f>
        <v>1045.92</v>
      </c>
      <c r="V160" s="7"/>
      <c r="W160" s="7"/>
      <c r="X160" s="7"/>
      <c r="Y160" s="7"/>
      <c r="Z160" s="7"/>
    </row>
    <row r="161" customFormat="false" ht="15.75" hidden="false" customHeight="true" outlineLevel="0" collapsed="false">
      <c r="A161" s="8" t="s">
        <v>21</v>
      </c>
      <c r="B161" s="9" t="s">
        <v>22</v>
      </c>
      <c r="C161" s="8" t="s">
        <v>199</v>
      </c>
      <c r="D161" s="9" t="str">
        <f aca="false" t="array" ref="D161:D161">IF(C161="","",IFERROR(INDEX('CLM &amp; IM Mapping'!$B$2:$B$270,MATCH(TRIM(C161),'CLM &amp; IM Mapping'!$A$2:$A$270,0)),"Not Mapped"))</f>
        <v>Sundaresh S</v>
      </c>
      <c r="E161" s="9" t="str">
        <f aca="false" t="array" ref="E161:E161">IF(C161="","",IFERROR(INDEX('CLM &amp; IM Mapping'!$C$2:$C$270,MATCH(TRIM(C161),'CLM &amp; IM Mapping'!$A$2:$A$270,0)),"Not Mapped"))</f>
        <v>Un Mapped</v>
      </c>
      <c r="F161" s="9" t="s">
        <v>27</v>
      </c>
      <c r="G161" s="10" t="n">
        <v>-12067</v>
      </c>
      <c r="H161" s="10" t="n">
        <v>954</v>
      </c>
      <c r="I161" s="10" t="n">
        <v>214</v>
      </c>
      <c r="J161" s="10" t="n">
        <v>4030</v>
      </c>
      <c r="K161" s="10" t="n">
        <v>268</v>
      </c>
      <c r="L161" s="10" t="n">
        <v>0</v>
      </c>
      <c r="M161" s="10" t="n">
        <v>5326</v>
      </c>
      <c r="N161" s="10" t="n">
        <v>0</v>
      </c>
      <c r="O161" s="10" t="n">
        <v>-1276</v>
      </c>
      <c r="P161" s="11"/>
      <c r="Q161" s="11"/>
      <c r="R161" s="11"/>
      <c r="S161" s="11"/>
      <c r="T161" s="12" t="str">
        <f aca="false">IF($C161="","",IFERROR(INDEX('Aisle Loss Data'!$B$2:$B$1931,MATCH(TRIM($C161)&amp;"|1",'Aisle Loss Data'!$E$2:$E$1931,0)),"No Loss")&amp;IFERROR(","&amp;INDEX('Aisle Loss Data'!$B$2:$B$1931,MATCH(TRIM($C161)&amp;"|2",'Aisle Loss Data'!$E$2:$E$1931,0)),""))</f>
        <v>K,E</v>
      </c>
      <c r="U161" s="13" t="n">
        <f aca="false">IF($C161="","",IFERROR(INDEX('Aisle Loss Data'!$C$2:$C$1931,MATCH(TRIM($C161)&amp;"|1",'Aisle Loss Data'!$E$2:$E$1931,0)),0)+IFERROR(INDEX('Aisle Loss Data'!$C$2:$C$1931,MATCH(TRIM($C161)&amp;"|2",'Aisle Loss Data'!$E$2:$E$1931,0)),0))</f>
        <v>5209.72</v>
      </c>
      <c r="V161" s="7"/>
      <c r="W161" s="7"/>
      <c r="X161" s="7"/>
      <c r="Y161" s="7"/>
      <c r="Z161" s="7"/>
    </row>
    <row r="162" customFormat="false" ht="15.75" hidden="false" customHeight="true" outlineLevel="0" collapsed="false">
      <c r="A162" s="8" t="s">
        <v>21</v>
      </c>
      <c r="B162" s="9" t="s">
        <v>145</v>
      </c>
      <c r="C162" s="9" t="s">
        <v>200</v>
      </c>
      <c r="D162" s="9" t="str">
        <f aca="false" t="array" ref="D162:D162">IF(C162="","",IFERROR(INDEX('CLM &amp; IM Mapping'!$B$2:$B$270,MATCH(TRIM(C162),'CLM &amp; IM Mapping'!$A$2:$A$270,0)),"Not Mapped"))</f>
        <v>John Britto</v>
      </c>
      <c r="E162" s="9" t="str">
        <f aca="false" t="array" ref="E162:E162">IF(C162="","",IFERROR(INDEX('CLM &amp; IM Mapping'!$C$2:$C$270,MATCH(TRIM(C162),'CLM &amp; IM Mapping'!$A$2:$A$270,0)),"Not Mapped"))</f>
        <v>Aravind S</v>
      </c>
      <c r="F162" s="9" t="s">
        <v>27</v>
      </c>
      <c r="G162" s="10" t="n">
        <v>-2375</v>
      </c>
      <c r="H162" s="10" t="n">
        <v>1050</v>
      </c>
      <c r="I162" s="10" t="n">
        <v>0</v>
      </c>
      <c r="J162" s="10" t="n">
        <v>0</v>
      </c>
      <c r="K162" s="10" t="n">
        <v>39</v>
      </c>
      <c r="L162" s="10" t="n">
        <v>0</v>
      </c>
      <c r="M162" s="10" t="n">
        <v>0</v>
      </c>
      <c r="N162" s="10" t="n">
        <v>0</v>
      </c>
      <c r="O162" s="10" t="n">
        <v>-1287</v>
      </c>
      <c r="P162" s="11"/>
      <c r="Q162" s="11"/>
      <c r="R162" s="11"/>
      <c r="S162" s="11"/>
      <c r="T162" s="12" t="str">
        <f aca="false">IF($C162="","",IFERROR(INDEX('Aisle Loss Data'!$B$2:$B$1931,MATCH(TRIM($C162)&amp;"|1",'Aisle Loss Data'!$E$2:$E$1931,0)),"No Loss")&amp;IFERROR(","&amp;INDEX('Aisle Loss Data'!$B$2:$B$1931,MATCH(TRIM($C162)&amp;"|2",'Aisle Loss Data'!$E$2:$E$1931,0)),""))</f>
        <v>B,D</v>
      </c>
      <c r="U162" s="13" t="n">
        <f aca="false">IF($C162="","",IFERROR(INDEX('Aisle Loss Data'!$C$2:$C$1931,MATCH(TRIM($C162)&amp;"|1",'Aisle Loss Data'!$E$2:$E$1931,0)),0)+IFERROR(INDEX('Aisle Loss Data'!$C$2:$C$1931,MATCH(TRIM($C162)&amp;"|2",'Aisle Loss Data'!$E$2:$E$1931,0)),0))</f>
        <v>578.06</v>
      </c>
      <c r="V162" s="7"/>
      <c r="W162" s="7"/>
      <c r="X162" s="7"/>
      <c r="Y162" s="7"/>
      <c r="Z162" s="7"/>
    </row>
    <row r="163" customFormat="false" ht="15.75" hidden="false" customHeight="true" outlineLevel="0" collapsed="false">
      <c r="A163" s="8" t="s">
        <v>21</v>
      </c>
      <c r="B163" s="9" t="s">
        <v>22</v>
      </c>
      <c r="C163" s="8" t="s">
        <v>201</v>
      </c>
      <c r="D163" s="9" t="str">
        <f aca="false" t="array" ref="D163:D163">IF(C163="","",IFERROR(INDEX('CLM &amp; IM Mapping'!$B$2:$B$270,MATCH(TRIM(C163),'CLM &amp; IM Mapping'!$A$2:$A$270,0)),"Not Mapped"))</f>
        <v>Balaji G</v>
      </c>
      <c r="E163" s="9" t="str">
        <f aca="false" t="array" ref="E163:E163">IF(C163="","",IFERROR(INDEX('CLM &amp; IM Mapping'!$C$2:$C$270,MATCH(TRIM(C163),'CLM &amp; IM Mapping'!$A$2:$A$270,0)),"Not Mapped"))</f>
        <v>Mohammed Akbar</v>
      </c>
      <c r="F163" s="9" t="s">
        <v>27</v>
      </c>
      <c r="G163" s="10" t="n">
        <v>-1490</v>
      </c>
      <c r="H163" s="10" t="n">
        <v>0</v>
      </c>
      <c r="I163" s="10" t="n">
        <v>0</v>
      </c>
      <c r="J163" s="10" t="n">
        <v>0</v>
      </c>
      <c r="K163" s="10" t="n">
        <v>23</v>
      </c>
      <c r="L163" s="10" t="n">
        <v>0</v>
      </c>
      <c r="M163" s="10" t="n">
        <v>0</v>
      </c>
      <c r="N163" s="10" t="n">
        <v>0</v>
      </c>
      <c r="O163" s="10" t="n">
        <v>-1467</v>
      </c>
      <c r="P163" s="11"/>
      <c r="Q163" s="11"/>
      <c r="R163" s="11"/>
      <c r="S163" s="11"/>
      <c r="T163" s="12" t="str">
        <f aca="false">IF($C163="","",IFERROR(INDEX('Aisle Loss Data'!$B$2:$B$1931,MATCH(TRIM($C163)&amp;"|1",'Aisle Loss Data'!$E$2:$E$1931,0)),"No Loss")&amp;IFERROR(","&amp;INDEX('Aisle Loss Data'!$B$2:$B$1931,MATCH(TRIM($C163)&amp;"|2",'Aisle Loss Data'!$E$2:$E$1931,0)),""))</f>
        <v>Unknown,1</v>
      </c>
      <c r="U163" s="13" t="n">
        <f aca="false">IF($C163="","",IFERROR(INDEX('Aisle Loss Data'!$C$2:$C$1931,MATCH(TRIM($C163)&amp;"|1",'Aisle Loss Data'!$E$2:$E$1931,0)),0)+IFERROR(INDEX('Aisle Loss Data'!$C$2:$C$1931,MATCH(TRIM($C163)&amp;"|2",'Aisle Loss Data'!$E$2:$E$1931,0)),0))</f>
        <v>754.52</v>
      </c>
      <c r="V163" s="7"/>
      <c r="W163" s="7"/>
      <c r="X163" s="7"/>
      <c r="Y163" s="7"/>
      <c r="Z163" s="7"/>
    </row>
    <row r="164" customFormat="false" ht="15.75" hidden="false" customHeight="true" outlineLevel="0" collapsed="false">
      <c r="A164" s="8" t="s">
        <v>21</v>
      </c>
      <c r="B164" s="9" t="s">
        <v>202</v>
      </c>
      <c r="C164" s="8" t="s">
        <v>203</v>
      </c>
      <c r="D164" s="9" t="str">
        <f aca="false" t="array" ref="D164:D164">IF(C164="","",IFERROR(INDEX('CLM &amp; IM Mapping'!$B$2:$B$270,MATCH(TRIM(C164),'CLM &amp; IM Mapping'!$A$2:$A$270,0)),"Not Mapped"))</f>
        <v>Bangareppa CS</v>
      </c>
      <c r="E164" s="9" t="str">
        <f aca="false" t="array" ref="E164:E164">IF(C164="","",IFERROR(INDEX('CLM &amp; IM Mapping'!$C$2:$C$270,MATCH(TRIM(C164),'CLM &amp; IM Mapping'!$A$2:$A$270,0)),"Not Mapped"))</f>
        <v>Kishor K</v>
      </c>
      <c r="F164" s="9" t="s">
        <v>27</v>
      </c>
      <c r="G164" s="10" t="n">
        <v>-17927</v>
      </c>
      <c r="H164" s="10" t="n">
        <v>8661</v>
      </c>
      <c r="I164" s="10" t="n">
        <v>0</v>
      </c>
      <c r="J164" s="10" t="n">
        <v>0</v>
      </c>
      <c r="K164" s="10" t="n">
        <v>545</v>
      </c>
      <c r="L164" s="10" t="n">
        <v>0</v>
      </c>
      <c r="M164" s="10" t="n">
        <v>7164</v>
      </c>
      <c r="N164" s="10" t="n">
        <v>0</v>
      </c>
      <c r="O164" s="10" t="n">
        <v>-1558</v>
      </c>
      <c r="P164" s="11"/>
      <c r="Q164" s="11"/>
      <c r="R164" s="11"/>
      <c r="S164" s="11"/>
      <c r="T164" s="12" t="str">
        <f aca="false">IF($C164="","",IFERROR(INDEX('Aisle Loss Data'!$B$2:$B$1931,MATCH(TRIM($C164)&amp;"|1",'Aisle Loss Data'!$E$2:$E$1931,0)),"No Loss")&amp;IFERROR(","&amp;INDEX('Aisle Loss Data'!$B$2:$B$1931,MATCH(TRIM($C164)&amp;"|2",'Aisle Loss Data'!$E$2:$E$1931,0)),""))</f>
        <v>J,C</v>
      </c>
      <c r="U164" s="13" t="n">
        <f aca="false">IF($C164="","",IFERROR(INDEX('Aisle Loss Data'!$C$2:$C$1931,MATCH(TRIM($C164)&amp;"|1",'Aisle Loss Data'!$E$2:$E$1931,0)),0)+IFERROR(INDEX('Aisle Loss Data'!$C$2:$C$1931,MATCH(TRIM($C164)&amp;"|2",'Aisle Loss Data'!$E$2:$E$1931,0)),0))</f>
        <v>1623.18</v>
      </c>
      <c r="V164" s="7"/>
      <c r="W164" s="7"/>
      <c r="X164" s="7"/>
      <c r="Y164" s="7"/>
      <c r="Z164" s="7"/>
    </row>
    <row r="165" customFormat="false" ht="15.75" hidden="false" customHeight="true" outlineLevel="0" collapsed="false">
      <c r="A165" s="8" t="s">
        <v>21</v>
      </c>
      <c r="B165" s="9" t="s">
        <v>22</v>
      </c>
      <c r="C165" s="8" t="s">
        <v>204</v>
      </c>
      <c r="D165" s="9" t="str">
        <f aca="false" t="array" ref="D165:D165">IF(C165="","",IFERROR(INDEX('CLM &amp; IM Mapping'!$B$2:$B$270,MATCH(TRIM(C165),'CLM &amp; IM Mapping'!$A$2:$A$270,0)),"Not Mapped"))</f>
        <v>Ravishankar gowda</v>
      </c>
      <c r="E165" s="9" t="str">
        <f aca="false" t="array" ref="E165:E165">IF(C165="","",IFERROR(INDEX('CLM &amp; IM Mapping'!$C$2:$C$270,MATCH(TRIM(C165),'CLM &amp; IM Mapping'!$A$2:$A$270,0)),"Not Mapped"))</f>
        <v>Kishor K</v>
      </c>
      <c r="F165" s="9" t="s">
        <v>27</v>
      </c>
      <c r="G165" s="10" t="n">
        <v>-12397</v>
      </c>
      <c r="H165" s="10" t="n">
        <v>9854</v>
      </c>
      <c r="I165" s="10" t="n">
        <v>0</v>
      </c>
      <c r="J165" s="10" t="n">
        <v>129</v>
      </c>
      <c r="K165" s="10" t="n">
        <v>321</v>
      </c>
      <c r="L165" s="10" t="n">
        <v>0</v>
      </c>
      <c r="M165" s="10" t="n">
        <v>165</v>
      </c>
      <c r="N165" s="10" t="n">
        <v>0</v>
      </c>
      <c r="O165" s="10" t="n">
        <v>-1928</v>
      </c>
      <c r="P165" s="11"/>
      <c r="Q165" s="11"/>
      <c r="R165" s="11"/>
      <c r="S165" s="11"/>
      <c r="T165" s="12" t="str">
        <f aca="false">IF($C165="","",IFERROR(INDEX('Aisle Loss Data'!$B$2:$B$1931,MATCH(TRIM($C165)&amp;"|1",'Aisle Loss Data'!$E$2:$E$1931,0)),"No Loss")&amp;IFERROR(","&amp;INDEX('Aisle Loss Data'!$B$2:$B$1931,MATCH(TRIM($C165)&amp;"|2",'Aisle Loss Data'!$E$2:$E$1931,0)),""))</f>
        <v>B,H</v>
      </c>
      <c r="U165" s="13" t="n">
        <f aca="false">IF($C165="","",IFERROR(INDEX('Aisle Loss Data'!$C$2:$C$1931,MATCH(TRIM($C165)&amp;"|1",'Aisle Loss Data'!$E$2:$E$1931,0)),0)+IFERROR(INDEX('Aisle Loss Data'!$C$2:$C$1931,MATCH(TRIM($C165)&amp;"|2",'Aisle Loss Data'!$E$2:$E$1931,0)),0))</f>
        <v>8168.97</v>
      </c>
      <c r="V165" s="7"/>
      <c r="W165" s="7"/>
      <c r="X165" s="7"/>
      <c r="Y165" s="7"/>
      <c r="Z165" s="7"/>
    </row>
    <row r="166" customFormat="false" ht="15.75" hidden="false" customHeight="true" outlineLevel="0" collapsed="false">
      <c r="A166" s="8" t="s">
        <v>21</v>
      </c>
      <c r="B166" s="9" t="s">
        <v>22</v>
      </c>
      <c r="C166" s="8" t="s">
        <v>205</v>
      </c>
      <c r="D166" s="9" t="str">
        <f aca="false" t="array" ref="D166:D166">IF(C166="","",IFERROR(INDEX('CLM &amp; IM Mapping'!$B$2:$B$270,MATCH(TRIM(C166),'CLM &amp; IM Mapping'!$A$2:$A$270,0)),"Not Mapped"))</f>
        <v>Akshay P</v>
      </c>
      <c r="E166" s="9" t="str">
        <f aca="false" t="array" ref="E166:E166">IF(C166="","",IFERROR(INDEX('CLM &amp; IM Mapping'!$C$2:$C$270,MATCH(TRIM(C166),'CLM &amp; IM Mapping'!$A$2:$A$270,0)),"Not Mapped"))</f>
        <v>Srittam Dhal</v>
      </c>
      <c r="F166" s="9" t="s">
        <v>27</v>
      </c>
      <c r="G166" s="10" t="n">
        <v>-8114</v>
      </c>
      <c r="H166" s="10" t="n">
        <v>3079</v>
      </c>
      <c r="I166" s="10" t="n">
        <v>0</v>
      </c>
      <c r="J166" s="10" t="n">
        <v>1573</v>
      </c>
      <c r="K166" s="10" t="n">
        <v>0</v>
      </c>
      <c r="L166" s="10" t="n">
        <v>0</v>
      </c>
      <c r="M166" s="10" t="n">
        <v>1533</v>
      </c>
      <c r="N166" s="10" t="n">
        <v>0</v>
      </c>
      <c r="O166" s="10" t="n">
        <v>-1929</v>
      </c>
      <c r="P166" s="11"/>
      <c r="Q166" s="11"/>
      <c r="R166" s="11"/>
      <c r="S166" s="11"/>
      <c r="T166" s="12" t="str">
        <f aca="false">IF($C166="","",IFERROR(INDEX('Aisle Loss Data'!$B$2:$B$1931,MATCH(TRIM($C166)&amp;"|1",'Aisle Loss Data'!$E$2:$E$1931,0)),"No Loss")&amp;IFERROR(","&amp;INDEX('Aisle Loss Data'!$B$2:$B$1931,MATCH(TRIM($C166)&amp;"|2",'Aisle Loss Data'!$E$2:$E$1931,0)),""))</f>
        <v>C,H</v>
      </c>
      <c r="U166" s="13" t="n">
        <f aca="false">IF($C166="","",IFERROR(INDEX('Aisle Loss Data'!$C$2:$C$1931,MATCH(TRIM($C166)&amp;"|1",'Aisle Loss Data'!$E$2:$E$1931,0)),0)+IFERROR(INDEX('Aisle Loss Data'!$C$2:$C$1931,MATCH(TRIM($C166)&amp;"|2",'Aisle Loss Data'!$E$2:$E$1931,0)),0))</f>
        <v>3111.43</v>
      </c>
      <c r="V166" s="7"/>
      <c r="W166" s="7"/>
      <c r="X166" s="7"/>
      <c r="Y166" s="7"/>
      <c r="Z166" s="7"/>
    </row>
    <row r="167" customFormat="false" ht="15.75" hidden="false" customHeight="true" outlineLevel="0" collapsed="false">
      <c r="A167" s="8" t="s">
        <v>21</v>
      </c>
      <c r="B167" s="9" t="s">
        <v>22</v>
      </c>
      <c r="C167" s="9" t="s">
        <v>206</v>
      </c>
      <c r="D167" s="9" t="str">
        <f aca="false" t="array" ref="D167:D167">IF(C167="","",IFERROR(INDEX('CLM &amp; IM Mapping'!$B$2:$B$270,MATCH(TRIM(C167),'CLM &amp; IM Mapping'!$A$2:$A$270,0)),"Not Mapped"))</f>
        <v>Raghavendra Vernekar</v>
      </c>
      <c r="E167" s="9" t="str">
        <f aca="false" t="array" ref="E167:E167">IF(C167="","",IFERROR(INDEX('CLM &amp; IM Mapping'!$C$2:$C$270,MATCH(TRIM(C167),'CLM &amp; IM Mapping'!$A$2:$A$270,0)),"Not Mapped"))</f>
        <v>Prakash BS</v>
      </c>
      <c r="F167" s="9" t="s">
        <v>27</v>
      </c>
      <c r="G167" s="10" t="n">
        <v>-12248</v>
      </c>
      <c r="H167" s="10" t="n">
        <v>9745</v>
      </c>
      <c r="I167" s="10" t="n">
        <v>0</v>
      </c>
      <c r="J167" s="10" t="n">
        <v>0</v>
      </c>
      <c r="K167" s="10" t="n">
        <v>559</v>
      </c>
      <c r="L167" s="10" t="n">
        <v>0</v>
      </c>
      <c r="M167" s="10" t="n">
        <v>0</v>
      </c>
      <c r="N167" s="10" t="n">
        <v>0</v>
      </c>
      <c r="O167" s="10" t="n">
        <v>-1945</v>
      </c>
      <c r="P167" s="11"/>
      <c r="Q167" s="11"/>
      <c r="R167" s="11"/>
      <c r="S167" s="11"/>
      <c r="T167" s="12" t="str">
        <f aca="false">IF($C167="","",IFERROR(INDEX('Aisle Loss Data'!$B$2:$B$1931,MATCH(TRIM($C167)&amp;"|1",'Aisle Loss Data'!$E$2:$E$1931,0)),"No Loss")&amp;IFERROR(","&amp;INDEX('Aisle Loss Data'!$B$2:$B$1931,MATCH(TRIM($C167)&amp;"|2",'Aisle Loss Data'!$E$2:$E$1931,0)),""))</f>
        <v>I,E</v>
      </c>
      <c r="U167" s="13" t="n">
        <f aca="false">IF($C167="","",IFERROR(INDEX('Aisle Loss Data'!$C$2:$C$1931,MATCH(TRIM($C167)&amp;"|1",'Aisle Loss Data'!$E$2:$E$1931,0)),0)+IFERROR(INDEX('Aisle Loss Data'!$C$2:$C$1931,MATCH(TRIM($C167)&amp;"|2",'Aisle Loss Data'!$E$2:$E$1931,0)),0))</f>
        <v>6806.29</v>
      </c>
      <c r="V167" s="7"/>
      <c r="W167" s="7"/>
      <c r="X167" s="7"/>
      <c r="Y167" s="7"/>
      <c r="Z167" s="7"/>
    </row>
    <row r="168" customFormat="false" ht="15.75" hidden="false" customHeight="true" outlineLevel="0" collapsed="false">
      <c r="A168" s="8" t="s">
        <v>21</v>
      </c>
      <c r="B168" s="9" t="s">
        <v>145</v>
      </c>
      <c r="C168" s="8" t="s">
        <v>207</v>
      </c>
      <c r="D168" s="9" t="str">
        <f aca="false" t="array" ref="D168:D168">IF(C168="","",IFERROR(INDEX('CLM &amp; IM Mapping'!$B$2:$B$270,MATCH(TRIM(C168),'CLM &amp; IM Mapping'!$A$2:$A$270,0)),"Not Mapped"))</f>
        <v>John Britto</v>
      </c>
      <c r="E168" s="9" t="str">
        <f aca="false" t="array" ref="E168:E168">IF(C168="","",IFERROR(INDEX('CLM &amp; IM Mapping'!$C$2:$C$270,MATCH(TRIM(C168),'CLM &amp; IM Mapping'!$A$2:$A$270,0)),"Not Mapped"))</f>
        <v>Aravind S</v>
      </c>
      <c r="F168" s="9" t="s">
        <v>27</v>
      </c>
      <c r="G168" s="10" t="n">
        <v>-2936</v>
      </c>
      <c r="H168" s="10" t="n">
        <v>0</v>
      </c>
      <c r="I168" s="10" t="n">
        <v>896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-2040</v>
      </c>
      <c r="P168" s="11"/>
      <c r="Q168" s="11"/>
      <c r="R168" s="11"/>
      <c r="S168" s="11"/>
      <c r="T168" s="12" t="str">
        <f aca="false">IF($C168="","",IFERROR(INDEX('Aisle Loss Data'!$B$2:$B$1931,MATCH(TRIM($C168)&amp;"|1",'Aisle Loss Data'!$E$2:$E$1931,0)),"No Loss")&amp;IFERROR(","&amp;INDEX('Aisle Loss Data'!$B$2:$B$1931,MATCH(TRIM($C168)&amp;"|2",'Aisle Loss Data'!$E$2:$E$1931,0)),""))</f>
        <v>I,G</v>
      </c>
      <c r="U168" s="13" t="n">
        <f aca="false">IF($C168="","",IFERROR(INDEX('Aisle Loss Data'!$C$2:$C$1931,MATCH(TRIM($C168)&amp;"|1",'Aisle Loss Data'!$E$2:$E$1931,0)),0)+IFERROR(INDEX('Aisle Loss Data'!$C$2:$C$1931,MATCH(TRIM($C168)&amp;"|2",'Aisle Loss Data'!$E$2:$E$1931,0)),0))</f>
        <v>2380.11</v>
      </c>
      <c r="V168" s="7"/>
      <c r="W168" s="7"/>
      <c r="X168" s="7"/>
      <c r="Y168" s="7"/>
      <c r="Z168" s="7"/>
    </row>
    <row r="169" customFormat="false" ht="15.75" hidden="false" customHeight="true" outlineLevel="0" collapsed="false">
      <c r="A169" s="8" t="s">
        <v>21</v>
      </c>
      <c r="B169" s="9" t="s">
        <v>202</v>
      </c>
      <c r="C169" s="9" t="s">
        <v>208</v>
      </c>
      <c r="D169" s="9" t="str">
        <f aca="false" t="array" ref="D169:D169">IF(C169="","",IFERROR(INDEX('CLM &amp; IM Mapping'!$B$2:$B$270,MATCH(TRIM(C169),'CLM &amp; IM Mapping'!$A$2:$A$270,0)),"Not Mapped"))</f>
        <v>Bangareppa CS</v>
      </c>
      <c r="E169" s="9" t="str">
        <f aca="false" t="array" ref="E169:E169">IF(C169="","",IFERROR(INDEX('CLM &amp; IM Mapping'!$C$2:$C$270,MATCH(TRIM(C169),'CLM &amp; IM Mapping'!$A$2:$A$270,0)),"Not Mapped"))</f>
        <v>Kishor K</v>
      </c>
      <c r="F169" s="9" t="s">
        <v>27</v>
      </c>
      <c r="G169" s="10" t="n">
        <v>-8069</v>
      </c>
      <c r="H169" s="10" t="n">
        <v>5498</v>
      </c>
      <c r="I169" s="10" t="n">
        <v>0</v>
      </c>
      <c r="J169" s="10" t="n">
        <v>0</v>
      </c>
      <c r="K169" s="10" t="n">
        <v>417</v>
      </c>
      <c r="L169" s="10" t="n">
        <v>0</v>
      </c>
      <c r="M169" s="10" t="n">
        <v>0</v>
      </c>
      <c r="N169" s="10" t="n">
        <v>0</v>
      </c>
      <c r="O169" s="10" t="n">
        <v>-2154</v>
      </c>
      <c r="P169" s="11"/>
      <c r="Q169" s="11"/>
      <c r="R169" s="11"/>
      <c r="S169" s="11"/>
      <c r="T169" s="12" t="str">
        <f aca="false">IF($C169="","",IFERROR(INDEX('Aisle Loss Data'!$B$2:$B$1931,MATCH(TRIM($C169)&amp;"|1",'Aisle Loss Data'!$E$2:$E$1931,0)),"No Loss")&amp;IFERROR(","&amp;INDEX('Aisle Loss Data'!$B$2:$B$1931,MATCH(TRIM($C169)&amp;"|2",'Aisle Loss Data'!$E$2:$E$1931,0)),""))</f>
        <v>D,L</v>
      </c>
      <c r="U169" s="13" t="n">
        <f aca="false">IF($C169="","",IFERROR(INDEX('Aisle Loss Data'!$C$2:$C$1931,MATCH(TRIM($C169)&amp;"|1",'Aisle Loss Data'!$E$2:$E$1931,0)),0)+IFERROR(INDEX('Aisle Loss Data'!$C$2:$C$1931,MATCH(TRIM($C169)&amp;"|2",'Aisle Loss Data'!$E$2:$E$1931,0)),0))</f>
        <v>1614.87</v>
      </c>
      <c r="V169" s="7"/>
      <c r="W169" s="7"/>
      <c r="X169" s="7"/>
      <c r="Y169" s="7"/>
      <c r="Z169" s="7"/>
    </row>
    <row r="170" customFormat="false" ht="15.75" hidden="false" customHeight="true" outlineLevel="0" collapsed="false">
      <c r="A170" s="8" t="s">
        <v>21</v>
      </c>
      <c r="B170" s="9" t="s">
        <v>22</v>
      </c>
      <c r="C170" s="8" t="s">
        <v>209</v>
      </c>
      <c r="D170" s="9" t="str">
        <f aca="false" t="array" ref="D170:D170">IF(C170="","",IFERROR(INDEX('CLM &amp; IM Mapping'!$B$2:$B$270,MATCH(TRIM(C170),'CLM &amp; IM Mapping'!$A$2:$A$270,0)),"Not Mapped"))</f>
        <v>Narasimhamurthy R</v>
      </c>
      <c r="E170" s="9" t="str">
        <f aca="false" t="array" ref="E170:E170">IF(C170="","",IFERROR(INDEX('CLM &amp; IM Mapping'!$C$2:$C$270,MATCH(TRIM(C170),'CLM &amp; IM Mapping'!$A$2:$A$270,0)),"Not Mapped"))</f>
        <v>Kishor K</v>
      </c>
      <c r="F170" s="9" t="s">
        <v>27</v>
      </c>
      <c r="G170" s="10" t="n">
        <v>-8935</v>
      </c>
      <c r="H170" s="10" t="n">
        <v>6625</v>
      </c>
      <c r="I170" s="10" t="n">
        <v>0</v>
      </c>
      <c r="J170" s="10" t="n">
        <v>7</v>
      </c>
      <c r="K170" s="10" t="n">
        <v>23</v>
      </c>
      <c r="L170" s="10" t="n">
        <v>0</v>
      </c>
      <c r="M170" s="10" t="n">
        <v>0</v>
      </c>
      <c r="N170" s="10" t="n">
        <v>0</v>
      </c>
      <c r="O170" s="10" t="n">
        <v>-2281</v>
      </c>
      <c r="P170" s="11"/>
      <c r="Q170" s="11"/>
      <c r="R170" s="11"/>
      <c r="S170" s="11"/>
      <c r="T170" s="12" t="str">
        <f aca="false">IF($C170="","",IFERROR(INDEX('Aisle Loss Data'!$B$2:$B$1931,MATCH(TRIM($C170)&amp;"|1",'Aisle Loss Data'!$E$2:$E$1931,0)),"No Loss")&amp;IFERROR(","&amp;INDEX('Aisle Loss Data'!$B$2:$B$1931,MATCH(TRIM($C170)&amp;"|2",'Aisle Loss Data'!$E$2:$E$1931,0)),""))</f>
        <v>C,H</v>
      </c>
      <c r="U170" s="13" t="n">
        <f aca="false">IF($C170="","",IFERROR(INDEX('Aisle Loss Data'!$C$2:$C$1931,MATCH(TRIM($C170)&amp;"|1",'Aisle Loss Data'!$E$2:$E$1931,0)),0)+IFERROR(INDEX('Aisle Loss Data'!$C$2:$C$1931,MATCH(TRIM($C170)&amp;"|2",'Aisle Loss Data'!$E$2:$E$1931,0)),0))</f>
        <v>8086.09</v>
      </c>
      <c r="V170" s="7"/>
      <c r="W170" s="7"/>
      <c r="X170" s="7"/>
      <c r="Y170" s="7"/>
      <c r="Z170" s="7"/>
    </row>
    <row r="171" customFormat="false" ht="15.75" hidden="false" customHeight="true" outlineLevel="0" collapsed="false">
      <c r="A171" s="8" t="s">
        <v>21</v>
      </c>
      <c r="B171" s="9" t="s">
        <v>22</v>
      </c>
      <c r="C171" s="8" t="s">
        <v>210</v>
      </c>
      <c r="D171" s="9" t="str">
        <f aca="false" t="array" ref="D171:D171">IF(C171="","",IFERROR(INDEX('CLM &amp; IM Mapping'!$B$2:$B$270,MATCH(TRIM(C171),'CLM &amp; IM Mapping'!$A$2:$A$270,0)),"Not Mapped"))</f>
        <v>Narasimhamurthy R</v>
      </c>
      <c r="E171" s="9" t="str">
        <f aca="false" t="array" ref="E171:E171">IF(C171="","",IFERROR(INDEX('CLM &amp; IM Mapping'!$C$2:$C$270,MATCH(TRIM(C171),'CLM &amp; IM Mapping'!$A$2:$A$270,0)),"Not Mapped"))</f>
        <v>Kishor K</v>
      </c>
      <c r="F171" s="9" t="s">
        <v>27</v>
      </c>
      <c r="G171" s="10" t="n">
        <v>-20322</v>
      </c>
      <c r="H171" s="10" t="n">
        <v>8876</v>
      </c>
      <c r="I171" s="10" t="n">
        <v>128</v>
      </c>
      <c r="J171" s="10" t="n">
        <v>8507</v>
      </c>
      <c r="K171" s="10" t="n">
        <v>370</v>
      </c>
      <c r="L171" s="10" t="n">
        <v>0</v>
      </c>
      <c r="M171" s="10" t="n">
        <v>0</v>
      </c>
      <c r="N171" s="10" t="n">
        <v>0</v>
      </c>
      <c r="O171" s="10" t="n">
        <v>-2441</v>
      </c>
      <c r="P171" s="11"/>
      <c r="Q171" s="11"/>
      <c r="R171" s="11"/>
      <c r="S171" s="11"/>
      <c r="T171" s="12" t="str">
        <f aca="false">IF($C171="","",IFERROR(INDEX('Aisle Loss Data'!$B$2:$B$1931,MATCH(TRIM($C171)&amp;"|1",'Aisle Loss Data'!$E$2:$E$1931,0)),"No Loss")&amp;IFERROR(","&amp;INDEX('Aisle Loss Data'!$B$2:$B$1931,MATCH(TRIM($C171)&amp;"|2",'Aisle Loss Data'!$E$2:$E$1931,0)),""))</f>
        <v>F,E</v>
      </c>
      <c r="U171" s="13" t="n">
        <f aca="false">IF($C171="","",IFERROR(INDEX('Aisle Loss Data'!$C$2:$C$1931,MATCH(TRIM($C171)&amp;"|1",'Aisle Loss Data'!$E$2:$E$1931,0)),0)+IFERROR(INDEX('Aisle Loss Data'!$C$2:$C$1931,MATCH(TRIM($C171)&amp;"|2",'Aisle Loss Data'!$E$2:$E$1931,0)),0))</f>
        <v>12525.94</v>
      </c>
      <c r="V171" s="7"/>
      <c r="W171" s="7"/>
      <c r="X171" s="7"/>
      <c r="Y171" s="7"/>
      <c r="Z171" s="7"/>
    </row>
    <row r="172" customFormat="false" ht="15.75" hidden="false" customHeight="true" outlineLevel="0" collapsed="false">
      <c r="A172" s="8" t="s">
        <v>21</v>
      </c>
      <c r="B172" s="9" t="s">
        <v>22</v>
      </c>
      <c r="C172" s="9" t="s">
        <v>211</v>
      </c>
      <c r="D172" s="9" t="str">
        <f aca="false" t="array" ref="D172:D172">IF(C172="","",IFERROR(INDEX('CLM &amp; IM Mapping'!$B$2:$B$270,MATCH(TRIM(C172),'CLM &amp; IM Mapping'!$A$2:$A$270,0)),"Not Mapped"))</f>
        <v>Arun Raj</v>
      </c>
      <c r="E172" s="9" t="str">
        <f aca="false" t="array" ref="E172:E172">IF(C172="","",IFERROR(INDEX('CLM &amp; IM Mapping'!$C$2:$C$270,MATCH(TRIM(C172),'CLM &amp; IM Mapping'!$A$2:$A$270,0)),"Not Mapped"))</f>
        <v>Simon Manoharan</v>
      </c>
      <c r="F172" s="9" t="s">
        <v>24</v>
      </c>
      <c r="G172" s="10" t="n">
        <v>-19616</v>
      </c>
      <c r="H172" s="10" t="n">
        <v>15330</v>
      </c>
      <c r="I172" s="10" t="n">
        <v>0</v>
      </c>
      <c r="J172" s="10" t="n">
        <v>490</v>
      </c>
      <c r="K172" s="10" t="n">
        <v>1353</v>
      </c>
      <c r="L172" s="10" t="n">
        <v>0</v>
      </c>
      <c r="M172" s="10" t="n">
        <v>0</v>
      </c>
      <c r="N172" s="10" t="n">
        <v>0</v>
      </c>
      <c r="O172" s="10" t="n">
        <v>-2443</v>
      </c>
      <c r="P172" s="11"/>
      <c r="Q172" s="11"/>
      <c r="R172" s="11"/>
      <c r="S172" s="11"/>
      <c r="T172" s="12" t="str">
        <f aca="false">IF($C172="","",IFERROR(INDEX('Aisle Loss Data'!$B$2:$B$1931,MATCH(TRIM($C172)&amp;"|1",'Aisle Loss Data'!$E$2:$E$1931,0)),"No Loss")&amp;IFERROR(","&amp;INDEX('Aisle Loss Data'!$B$2:$B$1931,MATCH(TRIM($C172)&amp;"|2",'Aisle Loss Data'!$E$2:$E$1931,0)),""))</f>
        <v>K,I</v>
      </c>
      <c r="U172" s="13" t="n">
        <f aca="false">IF($C172="","",IFERROR(INDEX('Aisle Loss Data'!$C$2:$C$1931,MATCH(TRIM($C172)&amp;"|1",'Aisle Loss Data'!$E$2:$E$1931,0)),0)+IFERROR(INDEX('Aisle Loss Data'!$C$2:$C$1931,MATCH(TRIM($C172)&amp;"|2",'Aisle Loss Data'!$E$2:$E$1931,0)),0))</f>
        <v>4192.96</v>
      </c>
      <c r="V172" s="7"/>
      <c r="W172" s="7"/>
      <c r="X172" s="7"/>
      <c r="Y172" s="7"/>
      <c r="Z172" s="7"/>
    </row>
    <row r="173" customFormat="false" ht="15.75" hidden="false" customHeight="true" outlineLevel="0" collapsed="false">
      <c r="A173" s="8" t="s">
        <v>21</v>
      </c>
      <c r="B173" s="9" t="s">
        <v>22</v>
      </c>
      <c r="C173" s="8" t="s">
        <v>212</v>
      </c>
      <c r="D173" s="9" t="str">
        <f aca="false" t="array" ref="D173:D173">IF(C173="","",IFERROR(INDEX('CLM &amp; IM Mapping'!$B$2:$B$270,MATCH(TRIM(C173),'CLM &amp; IM Mapping'!$A$2:$A$270,0)),"Not Mapped"))</f>
        <v>Adhavan Subramani</v>
      </c>
      <c r="E173" s="9" t="str">
        <f aca="false" t="array" ref="E173:E173">IF(C173="","",IFERROR(INDEX('CLM &amp; IM Mapping'!$C$2:$C$270,MATCH(TRIM(C173),'CLM &amp; IM Mapping'!$A$2:$A$270,0)),"Not Mapped"))</f>
        <v>Mohammed Akbar</v>
      </c>
      <c r="F173" s="9" t="s">
        <v>27</v>
      </c>
      <c r="G173" s="10" t="n">
        <v>-2872</v>
      </c>
      <c r="H173" s="10" t="n">
        <v>52</v>
      </c>
      <c r="I173" s="10" t="n">
        <v>0</v>
      </c>
      <c r="J173" s="10" t="n">
        <v>0</v>
      </c>
      <c r="K173" s="10" t="n">
        <v>138</v>
      </c>
      <c r="L173" s="10" t="n">
        <v>0</v>
      </c>
      <c r="M173" s="10" t="n">
        <v>0</v>
      </c>
      <c r="N173" s="10" t="n">
        <v>0</v>
      </c>
      <c r="O173" s="10" t="n">
        <v>-2683</v>
      </c>
      <c r="P173" s="11"/>
      <c r="Q173" s="11"/>
      <c r="R173" s="11"/>
      <c r="S173" s="11"/>
      <c r="T173" s="12" t="str">
        <f aca="false">IF($C173="","",IFERROR(INDEX('Aisle Loss Data'!$B$2:$B$1931,MATCH(TRIM($C173)&amp;"|1",'Aisle Loss Data'!$E$2:$E$1931,0)),"No Loss")&amp;IFERROR(","&amp;INDEX('Aisle Loss Data'!$B$2:$B$1931,MATCH(TRIM($C173)&amp;"|2",'Aisle Loss Data'!$E$2:$E$1931,0)),""))</f>
        <v>D,A</v>
      </c>
      <c r="U173" s="13" t="n">
        <f aca="false">IF($C173="","",IFERROR(INDEX('Aisle Loss Data'!$C$2:$C$1931,MATCH(TRIM($C173)&amp;"|1",'Aisle Loss Data'!$E$2:$E$1931,0)),0)+IFERROR(INDEX('Aisle Loss Data'!$C$2:$C$1931,MATCH(TRIM($C173)&amp;"|2",'Aisle Loss Data'!$E$2:$E$1931,0)),0))</f>
        <v>1923.34</v>
      </c>
      <c r="V173" s="7"/>
      <c r="W173" s="7"/>
      <c r="X173" s="7"/>
      <c r="Y173" s="7"/>
      <c r="Z173" s="7"/>
    </row>
    <row r="174" customFormat="false" ht="15.75" hidden="false" customHeight="true" outlineLevel="0" collapsed="false">
      <c r="A174" s="8" t="s">
        <v>21</v>
      </c>
      <c r="B174" s="9" t="s">
        <v>22</v>
      </c>
      <c r="C174" s="8" t="s">
        <v>213</v>
      </c>
      <c r="D174" s="9" t="str">
        <f aca="false" t="array" ref="D174:D174">IF(C174="","",IFERROR(INDEX('CLM &amp; IM Mapping'!$B$2:$B$270,MATCH(TRIM(C174),'CLM &amp; IM Mapping'!$A$2:$A$270,0)),"Not Mapped"))</f>
        <v>Rizwan Ahmed</v>
      </c>
      <c r="E174" s="9" t="str">
        <f aca="false" t="array" ref="E174:E174">IF(C174="","",IFERROR(INDEX('CLM &amp; IM Mapping'!$C$2:$C$270,MATCH(TRIM(C174),'CLM &amp; IM Mapping'!$A$2:$A$270,0)),"Not Mapped"))</f>
        <v>Un Mapped</v>
      </c>
      <c r="F174" s="9" t="s">
        <v>27</v>
      </c>
      <c r="G174" s="10" t="n">
        <v>-5163</v>
      </c>
      <c r="H174" s="10" t="n">
        <v>2380</v>
      </c>
      <c r="I174" s="10" t="n">
        <v>0</v>
      </c>
      <c r="J174" s="10" t="n">
        <v>0</v>
      </c>
      <c r="K174" s="10" t="n">
        <v>45</v>
      </c>
      <c r="L174" s="10" t="n">
        <v>0</v>
      </c>
      <c r="M174" s="10" t="n">
        <v>0</v>
      </c>
      <c r="N174" s="10" t="n">
        <v>0</v>
      </c>
      <c r="O174" s="10" t="n">
        <v>-2738</v>
      </c>
      <c r="P174" s="11"/>
      <c r="Q174" s="11"/>
      <c r="R174" s="11"/>
      <c r="S174" s="11"/>
      <c r="T174" s="12" t="str">
        <f aca="false">IF($C174="","",IFERROR(INDEX('Aisle Loss Data'!$B$2:$B$1931,MATCH(TRIM($C174)&amp;"|1",'Aisle Loss Data'!$E$2:$E$1931,0)),"No Loss")&amp;IFERROR(","&amp;INDEX('Aisle Loss Data'!$B$2:$B$1931,MATCH(TRIM($C174)&amp;"|2",'Aisle Loss Data'!$E$2:$E$1931,0)),""))</f>
        <v>D,E</v>
      </c>
      <c r="U174" s="13" t="n">
        <f aca="false">IF($C174="","",IFERROR(INDEX('Aisle Loss Data'!$C$2:$C$1931,MATCH(TRIM($C174)&amp;"|1",'Aisle Loss Data'!$E$2:$E$1931,0)),0)+IFERROR(INDEX('Aisle Loss Data'!$C$2:$C$1931,MATCH(TRIM($C174)&amp;"|2",'Aisle Loss Data'!$E$2:$E$1931,0)),0))</f>
        <v>1684.82</v>
      </c>
      <c r="V174" s="7"/>
      <c r="W174" s="7"/>
      <c r="X174" s="7"/>
      <c r="Y174" s="7"/>
      <c r="Z174" s="7"/>
    </row>
    <row r="175" customFormat="false" ht="15.75" hidden="false" customHeight="true" outlineLevel="0" collapsed="false">
      <c r="A175" s="8" t="s">
        <v>21</v>
      </c>
      <c r="B175" s="9" t="s">
        <v>22</v>
      </c>
      <c r="C175" s="8" t="s">
        <v>214</v>
      </c>
      <c r="D175" s="9" t="str">
        <f aca="false" t="array" ref="D175:D175">IF(C175="","",IFERROR(INDEX('CLM &amp; IM Mapping'!$B$2:$B$270,MATCH(TRIM(C175),'CLM &amp; IM Mapping'!$A$2:$A$270,0)),"Not Mapped"))</f>
        <v>Ravishankar gowda</v>
      </c>
      <c r="E175" s="9" t="str">
        <f aca="false" t="array" ref="E175:E175">IF(C175="","",IFERROR(INDEX('CLM &amp; IM Mapping'!$C$2:$C$270,MATCH(TRIM(C175),'CLM &amp; IM Mapping'!$A$2:$A$270,0)),"Not Mapped"))</f>
        <v>Kishor K</v>
      </c>
      <c r="F175" s="9" t="s">
        <v>27</v>
      </c>
      <c r="G175" s="10" t="n">
        <v>-8308</v>
      </c>
      <c r="H175" s="10" t="n">
        <v>5468</v>
      </c>
      <c r="I175" s="10" t="n">
        <v>0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-2840</v>
      </c>
      <c r="P175" s="11"/>
      <c r="Q175" s="11"/>
      <c r="R175" s="11"/>
      <c r="S175" s="11"/>
      <c r="T175" s="12" t="str">
        <f aca="false">IF($C175="","",IFERROR(INDEX('Aisle Loss Data'!$B$2:$B$1931,MATCH(TRIM($C175)&amp;"|1",'Aisle Loss Data'!$E$2:$E$1931,0)),"No Loss")&amp;IFERROR(","&amp;INDEX('Aisle Loss Data'!$B$2:$B$1931,MATCH(TRIM($C175)&amp;"|2",'Aisle Loss Data'!$E$2:$E$1931,0)),""))</f>
        <v>M,F</v>
      </c>
      <c r="U175" s="13" t="n">
        <f aca="false">IF($C175="","",IFERROR(INDEX('Aisle Loss Data'!$C$2:$C$1931,MATCH(TRIM($C175)&amp;"|1",'Aisle Loss Data'!$E$2:$E$1931,0)),0)+IFERROR(INDEX('Aisle Loss Data'!$C$2:$C$1931,MATCH(TRIM($C175)&amp;"|2",'Aisle Loss Data'!$E$2:$E$1931,0)),0))</f>
        <v>3530.92</v>
      </c>
      <c r="V175" s="7"/>
      <c r="W175" s="7"/>
      <c r="X175" s="7"/>
      <c r="Y175" s="7"/>
      <c r="Z175" s="7"/>
    </row>
    <row r="176" customFormat="false" ht="15.75" hidden="false" customHeight="true" outlineLevel="0" collapsed="false">
      <c r="A176" s="8" t="s">
        <v>21</v>
      </c>
      <c r="B176" s="9" t="s">
        <v>22</v>
      </c>
      <c r="C176" s="8" t="s">
        <v>215</v>
      </c>
      <c r="D176" s="9" t="str">
        <f aca="false" t="array" ref="D176:D176">IF(C176="","",IFERROR(INDEX('CLM &amp; IM Mapping'!$B$2:$B$270,MATCH(TRIM(C176),'CLM &amp; IM Mapping'!$A$2:$A$270,0)),"Not Mapped"))</f>
        <v>Akshay P</v>
      </c>
      <c r="E176" s="9" t="str">
        <f aca="false" t="array" ref="E176:E176">IF(C176="","",IFERROR(INDEX('CLM &amp; IM Mapping'!$C$2:$C$270,MATCH(TRIM(C176),'CLM &amp; IM Mapping'!$A$2:$A$270,0)),"Not Mapped"))</f>
        <v>Srittam Dhal</v>
      </c>
      <c r="F176" s="9" t="s">
        <v>27</v>
      </c>
      <c r="G176" s="10" t="n">
        <v>-3150</v>
      </c>
      <c r="H176" s="10" t="n">
        <v>39</v>
      </c>
      <c r="I176" s="10" t="n">
        <v>0</v>
      </c>
      <c r="J176" s="10" t="n">
        <v>0</v>
      </c>
      <c r="K176" s="10" t="n">
        <v>127</v>
      </c>
      <c r="L176" s="10" t="n">
        <v>0</v>
      </c>
      <c r="M176" s="10" t="n">
        <v>0</v>
      </c>
      <c r="N176" s="10" t="n">
        <v>0</v>
      </c>
      <c r="O176" s="10" t="n">
        <v>-2984</v>
      </c>
      <c r="P176" s="11"/>
      <c r="Q176" s="11"/>
      <c r="R176" s="11"/>
      <c r="S176" s="11"/>
      <c r="T176" s="12" t="str">
        <f aca="false">IF($C176="","",IFERROR(INDEX('Aisle Loss Data'!$B$2:$B$1931,MATCH(TRIM($C176)&amp;"|1",'Aisle Loss Data'!$E$2:$E$1931,0)),"No Loss")&amp;IFERROR(","&amp;INDEX('Aisle Loss Data'!$B$2:$B$1931,MATCH(TRIM($C176)&amp;"|2",'Aisle Loss Data'!$E$2:$E$1931,0)),""))</f>
        <v>H,A</v>
      </c>
      <c r="U176" s="13" t="n">
        <f aca="false">IF($C176="","",IFERROR(INDEX('Aisle Loss Data'!$C$2:$C$1931,MATCH(TRIM($C176)&amp;"|1",'Aisle Loss Data'!$E$2:$E$1931,0)),0)+IFERROR(INDEX('Aisle Loss Data'!$C$2:$C$1931,MATCH(TRIM($C176)&amp;"|2",'Aisle Loss Data'!$E$2:$E$1931,0)),0))</f>
        <v>5705.78</v>
      </c>
      <c r="V176" s="7"/>
      <c r="W176" s="7"/>
      <c r="X176" s="7"/>
      <c r="Y176" s="7"/>
      <c r="Z176" s="7"/>
    </row>
    <row r="177" customFormat="false" ht="15.75" hidden="false" customHeight="true" outlineLevel="0" collapsed="false">
      <c r="A177" s="8" t="s">
        <v>21</v>
      </c>
      <c r="B177" s="9" t="s">
        <v>104</v>
      </c>
      <c r="C177" s="8" t="s">
        <v>216</v>
      </c>
      <c r="D177" s="9" t="str">
        <f aca="false" t="array" ref="D177:D177">IF(C177="","",IFERROR(INDEX('CLM &amp; IM Mapping'!$B$2:$B$270,MATCH(TRIM(C177),'CLM &amp; IM Mapping'!$A$2:$A$270,0)),"Not Mapped"))</f>
        <v>Vishnu V</v>
      </c>
      <c r="E177" s="9" t="str">
        <f aca="false" t="array" ref="E177:E177">IF(C177="","",IFERROR(INDEX('CLM &amp; IM Mapping'!$C$2:$C$270,MATCH(TRIM(C177),'CLM &amp; IM Mapping'!$A$2:$A$270,0)),"Not Mapped"))</f>
        <v>Arivind S</v>
      </c>
      <c r="F177" s="9" t="s">
        <v>27</v>
      </c>
      <c r="G177" s="10" t="n">
        <v>-3321</v>
      </c>
      <c r="H177" s="10" t="n">
        <v>216</v>
      </c>
      <c r="I177" s="10" t="n">
        <v>0</v>
      </c>
      <c r="J177" s="10" t="n">
        <v>0</v>
      </c>
      <c r="K177" s="10" t="n">
        <v>86</v>
      </c>
      <c r="L177" s="10" t="n">
        <v>0</v>
      </c>
      <c r="M177" s="10" t="n">
        <v>0</v>
      </c>
      <c r="N177" s="10" t="n">
        <v>0</v>
      </c>
      <c r="O177" s="10" t="n">
        <v>-3019</v>
      </c>
      <c r="P177" s="11"/>
      <c r="Q177" s="11"/>
      <c r="R177" s="11"/>
      <c r="S177" s="11"/>
      <c r="T177" s="12" t="str">
        <f aca="false">IF($C177="","",IFERROR(INDEX('Aisle Loss Data'!$B$2:$B$1931,MATCH(TRIM($C177)&amp;"|1",'Aisle Loss Data'!$E$2:$E$1931,0)),"No Loss")&amp;IFERROR(","&amp;INDEX('Aisle Loss Data'!$B$2:$B$1931,MATCH(TRIM($C177)&amp;"|2",'Aisle Loss Data'!$E$2:$E$1931,0)),""))</f>
        <v>H,K</v>
      </c>
      <c r="U177" s="13" t="n">
        <f aca="false">IF($C177="","",IFERROR(INDEX('Aisle Loss Data'!$C$2:$C$1931,MATCH(TRIM($C177)&amp;"|1",'Aisle Loss Data'!$E$2:$E$1931,0)),0)+IFERROR(INDEX('Aisle Loss Data'!$C$2:$C$1931,MATCH(TRIM($C177)&amp;"|2",'Aisle Loss Data'!$E$2:$E$1931,0)),0))</f>
        <v>1573.84</v>
      </c>
      <c r="V177" s="7"/>
      <c r="W177" s="7"/>
      <c r="X177" s="7"/>
      <c r="Y177" s="7"/>
      <c r="Z177" s="7"/>
    </row>
    <row r="178" customFormat="false" ht="15.75" hidden="false" customHeight="true" outlineLevel="0" collapsed="false">
      <c r="A178" s="8" t="s">
        <v>21</v>
      </c>
      <c r="B178" s="9" t="s">
        <v>22</v>
      </c>
      <c r="C178" s="8" t="s">
        <v>217</v>
      </c>
      <c r="D178" s="9" t="str">
        <f aca="false" t="array" ref="D178:D178">IF(C178="","",IFERROR(INDEX('CLM &amp; IM Mapping'!$B$2:$B$270,MATCH(TRIM(C178),'CLM &amp; IM Mapping'!$A$2:$A$270,0)),"Not Mapped"))</f>
        <v>Richard Harris</v>
      </c>
      <c r="E178" s="9" t="str">
        <f aca="false" t="array" ref="E178:E178">IF(C178="","",IFERROR(INDEX('CLM &amp; IM Mapping'!$C$2:$C$270,MATCH(TRIM(C178),'CLM &amp; IM Mapping'!$A$2:$A$270,0)),"Not Mapped"))</f>
        <v>Kantha Kumar</v>
      </c>
      <c r="F178" s="9" t="s">
        <v>27</v>
      </c>
      <c r="G178" s="10" t="n">
        <v>-8078</v>
      </c>
      <c r="H178" s="10" t="n">
        <v>4151</v>
      </c>
      <c r="I178" s="10" t="n">
        <v>0</v>
      </c>
      <c r="J178" s="10" t="n">
        <v>253</v>
      </c>
      <c r="K178" s="10" t="n">
        <v>352</v>
      </c>
      <c r="L178" s="10" t="n">
        <v>0</v>
      </c>
      <c r="M178" s="10" t="n">
        <v>0</v>
      </c>
      <c r="N178" s="10" t="n">
        <v>0</v>
      </c>
      <c r="O178" s="10" t="n">
        <v>-3323</v>
      </c>
      <c r="P178" s="11"/>
      <c r="Q178" s="11"/>
      <c r="R178" s="11"/>
      <c r="S178" s="11"/>
      <c r="T178" s="12" t="str">
        <f aca="false">IF($C178="","",IFERROR(INDEX('Aisle Loss Data'!$B$2:$B$1931,MATCH(TRIM($C178)&amp;"|1",'Aisle Loss Data'!$E$2:$E$1931,0)),"No Loss")&amp;IFERROR(","&amp;INDEX('Aisle Loss Data'!$B$2:$B$1931,MATCH(TRIM($C178)&amp;"|2",'Aisle Loss Data'!$E$2:$E$1931,0)),""))</f>
        <v>I,A</v>
      </c>
      <c r="U178" s="13" t="n">
        <f aca="false">IF($C178="","",IFERROR(INDEX('Aisle Loss Data'!$C$2:$C$1931,MATCH(TRIM($C178)&amp;"|1",'Aisle Loss Data'!$E$2:$E$1931,0)),0)+IFERROR(INDEX('Aisle Loss Data'!$C$2:$C$1931,MATCH(TRIM($C178)&amp;"|2",'Aisle Loss Data'!$E$2:$E$1931,0)),0))</f>
        <v>7535.92</v>
      </c>
      <c r="V178" s="7"/>
      <c r="W178" s="7"/>
      <c r="X178" s="7"/>
      <c r="Y178" s="7"/>
      <c r="Z178" s="7"/>
    </row>
    <row r="179" customFormat="false" ht="15.75" hidden="false" customHeight="true" outlineLevel="0" collapsed="false">
      <c r="A179" s="8" t="s">
        <v>21</v>
      </c>
      <c r="B179" s="9" t="s">
        <v>22</v>
      </c>
      <c r="C179" s="8" t="s">
        <v>218</v>
      </c>
      <c r="D179" s="9" t="str">
        <f aca="false" t="array" ref="D179:D179">IF(C179="","",IFERROR(INDEX('CLM &amp; IM Mapping'!$B$2:$B$270,MATCH(TRIM(C179),'CLM &amp; IM Mapping'!$A$2:$A$270,0)),"Not Mapped"))</f>
        <v>Arun Raj</v>
      </c>
      <c r="E179" s="9" t="str">
        <f aca="false" t="array" ref="E179:E179">IF(C179="","",IFERROR(INDEX('CLM &amp; IM Mapping'!$C$2:$C$270,MATCH(TRIM(C179),'CLM &amp; IM Mapping'!$A$2:$A$270,0)),"Not Mapped"))</f>
        <v>Simon Manoharan</v>
      </c>
      <c r="F179" s="9" t="s">
        <v>24</v>
      </c>
      <c r="G179" s="10" t="n">
        <v>-8918</v>
      </c>
      <c r="H179" s="10" t="n">
        <v>787</v>
      </c>
      <c r="I179" s="10" t="n">
        <v>0</v>
      </c>
      <c r="J179" s="10" t="n">
        <v>0</v>
      </c>
      <c r="K179" s="10" t="n">
        <v>754</v>
      </c>
      <c r="L179" s="10" t="n">
        <v>0</v>
      </c>
      <c r="M179" s="10" t="n">
        <v>0</v>
      </c>
      <c r="N179" s="10" t="n">
        <v>3862</v>
      </c>
      <c r="O179" s="10" t="n">
        <v>-3514</v>
      </c>
      <c r="P179" s="11"/>
      <c r="Q179" s="11"/>
      <c r="R179" s="11"/>
      <c r="S179" s="11"/>
      <c r="T179" s="12" t="str">
        <f aca="false">IF($C179="","",IFERROR(INDEX('Aisle Loss Data'!$B$2:$B$1931,MATCH(TRIM($C179)&amp;"|1",'Aisle Loss Data'!$E$2:$E$1931,0)),"No Loss")&amp;IFERROR(","&amp;INDEX('Aisle Loss Data'!$B$2:$B$1931,MATCH(TRIM($C179)&amp;"|2",'Aisle Loss Data'!$E$2:$E$1931,0)),""))</f>
        <v>Q,E</v>
      </c>
      <c r="U179" s="13" t="n">
        <f aca="false">IF($C179="","",IFERROR(INDEX('Aisle Loss Data'!$C$2:$C$1931,MATCH(TRIM($C179)&amp;"|1",'Aisle Loss Data'!$E$2:$E$1931,0)),0)+IFERROR(INDEX('Aisle Loss Data'!$C$2:$C$1931,MATCH(TRIM($C179)&amp;"|2",'Aisle Loss Data'!$E$2:$E$1931,0)),0))</f>
        <v>1058.31</v>
      </c>
      <c r="V179" s="7"/>
      <c r="W179" s="7"/>
      <c r="X179" s="7"/>
      <c r="Y179" s="7"/>
      <c r="Z179" s="7"/>
    </row>
    <row r="180" customFormat="false" ht="15.75" hidden="false" customHeight="true" outlineLevel="0" collapsed="false">
      <c r="A180" s="8" t="s">
        <v>21</v>
      </c>
      <c r="B180" s="9" t="s">
        <v>104</v>
      </c>
      <c r="C180" s="8" t="s">
        <v>219</v>
      </c>
      <c r="D180" s="9" t="str">
        <f aca="false" t="array" ref="D180:D180">IF(C180="","",IFERROR(INDEX('CLM &amp; IM Mapping'!$B$2:$B$270,MATCH(TRIM(C180),'CLM &amp; IM Mapping'!$A$2:$A$270,0)),"Not Mapped"))</f>
        <v>Vishnu V</v>
      </c>
      <c r="E180" s="9" t="str">
        <f aca="false" t="array" ref="E180:E180">IF(C180="","",IFERROR(INDEX('CLM &amp; IM Mapping'!$C$2:$C$270,MATCH(TRIM(C180),'CLM &amp; IM Mapping'!$A$2:$A$270,0)),"Not Mapped"))</f>
        <v>Arivind S</v>
      </c>
      <c r="F180" s="9" t="s">
        <v>27</v>
      </c>
      <c r="G180" s="10" t="n">
        <v>-10618</v>
      </c>
      <c r="H180" s="10" t="n">
        <v>4246</v>
      </c>
      <c r="I180" s="10" t="n">
        <v>1571</v>
      </c>
      <c r="J180" s="10" t="n">
        <v>258</v>
      </c>
      <c r="K180" s="10" t="n">
        <v>925</v>
      </c>
      <c r="L180" s="10" t="n">
        <v>0</v>
      </c>
      <c r="M180" s="10" t="n">
        <v>0</v>
      </c>
      <c r="N180" s="10" t="n">
        <v>0</v>
      </c>
      <c r="O180" s="10" t="n">
        <v>-3618</v>
      </c>
      <c r="P180" s="11"/>
      <c r="Q180" s="11"/>
      <c r="R180" s="11"/>
      <c r="S180" s="11"/>
      <c r="T180" s="12" t="str">
        <f aca="false">IF($C180="","",IFERROR(INDEX('Aisle Loss Data'!$B$2:$B$1931,MATCH(TRIM($C180)&amp;"|1",'Aisle Loss Data'!$E$2:$E$1931,0)),"No Loss")&amp;IFERROR(","&amp;INDEX('Aisle Loss Data'!$B$2:$B$1931,MATCH(TRIM($C180)&amp;"|2",'Aisle Loss Data'!$E$2:$E$1931,0)),""))</f>
        <v>C,L</v>
      </c>
      <c r="U180" s="13" t="n">
        <f aca="false">IF($C180="","",IFERROR(INDEX('Aisle Loss Data'!$C$2:$C$1931,MATCH(TRIM($C180)&amp;"|1",'Aisle Loss Data'!$E$2:$E$1931,0)),0)+IFERROR(INDEX('Aisle Loss Data'!$C$2:$C$1931,MATCH(TRIM($C180)&amp;"|2",'Aisle Loss Data'!$E$2:$E$1931,0)),0))</f>
        <v>3845.09</v>
      </c>
      <c r="V180" s="7"/>
      <c r="W180" s="7"/>
      <c r="X180" s="7"/>
      <c r="Y180" s="7"/>
      <c r="Z180" s="7"/>
    </row>
    <row r="181" customFormat="false" ht="15.75" hidden="false" customHeight="true" outlineLevel="0" collapsed="false">
      <c r="A181" s="8" t="s">
        <v>21</v>
      </c>
      <c r="B181" s="9" t="s">
        <v>22</v>
      </c>
      <c r="C181" s="8" t="s">
        <v>220</v>
      </c>
      <c r="D181" s="9" t="str">
        <f aca="false" t="array" ref="D181:D181">IF(C181="","",IFERROR(INDEX('CLM &amp; IM Mapping'!$B$2:$B$270,MATCH(TRIM(C181),'CLM &amp; IM Mapping'!$A$2:$A$270,0)),"Not Mapped"))</f>
        <v>Girish N</v>
      </c>
      <c r="E181" s="9" t="str">
        <f aca="false" t="array" ref="E181:E181">IF(C181="","",IFERROR(INDEX('CLM &amp; IM Mapping'!$C$2:$C$270,MATCH(TRIM(C181),'CLM &amp; IM Mapping'!$A$2:$A$270,0)),"Not Mapped"))</f>
        <v>Un Mapped</v>
      </c>
      <c r="F181" s="9" t="s">
        <v>27</v>
      </c>
      <c r="G181" s="10" t="n">
        <v>-10402</v>
      </c>
      <c r="H181" s="10" t="n">
        <v>6439</v>
      </c>
      <c r="I181" s="10" t="n">
        <v>0</v>
      </c>
      <c r="J181" s="10" t="n">
        <v>0</v>
      </c>
      <c r="K181" s="10" t="n">
        <v>111</v>
      </c>
      <c r="L181" s="10" t="n">
        <v>0</v>
      </c>
      <c r="M181" s="10" t="n">
        <v>0</v>
      </c>
      <c r="N181" s="10" t="n">
        <v>0</v>
      </c>
      <c r="O181" s="10" t="n">
        <v>-3852</v>
      </c>
      <c r="P181" s="11"/>
      <c r="Q181" s="11"/>
      <c r="R181" s="11"/>
      <c r="S181" s="11"/>
      <c r="T181" s="12" t="str">
        <f aca="false">IF($C181="","",IFERROR(INDEX('Aisle Loss Data'!$B$2:$B$1931,MATCH(TRIM($C181)&amp;"|1",'Aisle Loss Data'!$E$2:$E$1931,0)),"No Loss")&amp;IFERROR(","&amp;INDEX('Aisle Loss Data'!$B$2:$B$1931,MATCH(TRIM($C181)&amp;"|2",'Aisle Loss Data'!$E$2:$E$1931,0)),""))</f>
        <v>D,A</v>
      </c>
      <c r="U181" s="13" t="n">
        <f aca="false">IF($C181="","",IFERROR(INDEX('Aisle Loss Data'!$C$2:$C$1931,MATCH(TRIM($C181)&amp;"|1",'Aisle Loss Data'!$E$2:$E$1931,0)),0)+IFERROR(INDEX('Aisle Loss Data'!$C$2:$C$1931,MATCH(TRIM($C181)&amp;"|2",'Aisle Loss Data'!$E$2:$E$1931,0)),0))</f>
        <v>11273.31</v>
      </c>
      <c r="V181" s="7"/>
      <c r="W181" s="7"/>
      <c r="X181" s="7"/>
      <c r="Y181" s="7"/>
      <c r="Z181" s="7"/>
    </row>
    <row r="182" customFormat="false" ht="15.75" hidden="false" customHeight="true" outlineLevel="0" collapsed="false">
      <c r="A182" s="8" t="s">
        <v>21</v>
      </c>
      <c r="B182" s="9" t="s">
        <v>221</v>
      </c>
      <c r="C182" s="8" t="s">
        <v>222</v>
      </c>
      <c r="D182" s="9" t="str">
        <f aca="false" t="array" ref="D182:D182">IF(C182="","",IFERROR(INDEX('CLM &amp; IM Mapping'!$B$2:$B$270,MATCH(TRIM(C182),'CLM &amp; IM Mapping'!$A$2:$A$270,0)),"Not Mapped"))</f>
        <v>Vishnu V</v>
      </c>
      <c r="E182" s="9" t="str">
        <f aca="false" t="array" ref="E182:E182">IF(C182="","",IFERROR(INDEX('CLM &amp; IM Mapping'!$C$2:$C$270,MATCH(TRIM(C182),'CLM &amp; IM Mapping'!$A$2:$A$270,0)),"Not Mapped"))</f>
        <v>Arivind S</v>
      </c>
      <c r="F182" s="9" t="s">
        <v>27</v>
      </c>
      <c r="G182" s="10" t="n">
        <v>-4380</v>
      </c>
      <c r="H182" s="10" t="n">
        <v>0</v>
      </c>
      <c r="I182" s="10" t="n">
        <v>0</v>
      </c>
      <c r="J182" s="10" t="n">
        <v>0</v>
      </c>
      <c r="K182" s="10" t="n">
        <v>275</v>
      </c>
      <c r="L182" s="10" t="n">
        <v>0</v>
      </c>
      <c r="M182" s="10" t="n">
        <v>0</v>
      </c>
      <c r="N182" s="10" t="n">
        <v>0</v>
      </c>
      <c r="O182" s="10" t="n">
        <v>-4105</v>
      </c>
      <c r="P182" s="11"/>
      <c r="Q182" s="11"/>
      <c r="R182" s="11"/>
      <c r="S182" s="11"/>
      <c r="T182" s="12" t="str">
        <f aca="false">IF($C182="","",IFERROR(INDEX('Aisle Loss Data'!$B$2:$B$1931,MATCH(TRIM($C182)&amp;"|1",'Aisle Loss Data'!$E$2:$E$1931,0)),"No Loss")&amp;IFERROR(","&amp;INDEX('Aisle Loss Data'!$B$2:$B$1931,MATCH(TRIM($C182)&amp;"|2",'Aisle Loss Data'!$E$2:$E$1931,0)),""))</f>
        <v>B,J</v>
      </c>
      <c r="U182" s="13" t="n">
        <f aca="false">IF($C182="","",IFERROR(INDEX('Aisle Loss Data'!$C$2:$C$1931,MATCH(TRIM($C182)&amp;"|1",'Aisle Loss Data'!$E$2:$E$1931,0)),0)+IFERROR(INDEX('Aisle Loss Data'!$C$2:$C$1931,MATCH(TRIM($C182)&amp;"|2",'Aisle Loss Data'!$E$2:$E$1931,0)),0))</f>
        <v>554.3</v>
      </c>
      <c r="V182" s="7"/>
      <c r="W182" s="7"/>
      <c r="X182" s="7"/>
      <c r="Y182" s="7"/>
      <c r="Z182" s="7"/>
    </row>
    <row r="183" customFormat="false" ht="15.75" hidden="false" customHeight="true" outlineLevel="0" collapsed="false">
      <c r="A183" s="8" t="s">
        <v>21</v>
      </c>
      <c r="B183" s="9" t="s">
        <v>22</v>
      </c>
      <c r="C183" s="8" t="s">
        <v>223</v>
      </c>
      <c r="D183" s="9" t="str">
        <f aca="false" t="array" ref="D183:D183">IF(C183="","",IFERROR(INDEX('CLM &amp; IM Mapping'!$B$2:$B$270,MATCH(TRIM(C183),'CLM &amp; IM Mapping'!$A$2:$A$270,0)),"Not Mapped"))</f>
        <v>Ravishankar gowda</v>
      </c>
      <c r="E183" s="9" t="str">
        <f aca="false" t="array" ref="E183:E183">IF(C183="","",IFERROR(INDEX('CLM &amp; IM Mapping'!$C$2:$C$270,MATCH(TRIM(C183),'CLM &amp; IM Mapping'!$A$2:$A$270,0)),"Not Mapped"))</f>
        <v>Kishor K</v>
      </c>
      <c r="F183" s="9" t="s">
        <v>27</v>
      </c>
      <c r="G183" s="10" t="n">
        <v>-5924</v>
      </c>
      <c r="H183" s="10" t="n">
        <v>1578</v>
      </c>
      <c r="I183" s="10" t="n">
        <v>0</v>
      </c>
      <c r="J183" s="10" t="n">
        <v>0</v>
      </c>
      <c r="K183" s="10" t="n">
        <v>167</v>
      </c>
      <c r="L183" s="10" t="n">
        <v>0</v>
      </c>
      <c r="M183" s="10" t="n">
        <v>0</v>
      </c>
      <c r="N183" s="10" t="n">
        <v>0</v>
      </c>
      <c r="O183" s="10" t="n">
        <v>-4178</v>
      </c>
      <c r="P183" s="11"/>
      <c r="Q183" s="11"/>
      <c r="R183" s="11"/>
      <c r="S183" s="11"/>
      <c r="T183" s="12" t="str">
        <f aca="false">IF($C183="","",IFERROR(INDEX('Aisle Loss Data'!$B$2:$B$1931,MATCH(TRIM($C183)&amp;"|1",'Aisle Loss Data'!$E$2:$E$1931,0)),"No Loss")&amp;IFERROR(","&amp;INDEX('Aisle Loss Data'!$B$2:$B$1931,MATCH(TRIM($C183)&amp;"|2",'Aisle Loss Data'!$E$2:$E$1931,0)),""))</f>
        <v>K,J</v>
      </c>
      <c r="U183" s="13" t="n">
        <f aca="false">IF($C183="","",IFERROR(INDEX('Aisle Loss Data'!$C$2:$C$1931,MATCH(TRIM($C183)&amp;"|1",'Aisle Loss Data'!$E$2:$E$1931,0)),0)+IFERROR(INDEX('Aisle Loss Data'!$C$2:$C$1931,MATCH(TRIM($C183)&amp;"|2",'Aisle Loss Data'!$E$2:$E$1931,0)),0))</f>
        <v>3574.08</v>
      </c>
      <c r="V183" s="7"/>
      <c r="W183" s="7"/>
      <c r="X183" s="7"/>
      <c r="Y183" s="7"/>
      <c r="Z183" s="7"/>
    </row>
    <row r="184" customFormat="false" ht="15.75" hidden="false" customHeight="true" outlineLevel="0" collapsed="false">
      <c r="A184" s="8" t="s">
        <v>21</v>
      </c>
      <c r="B184" s="9" t="s">
        <v>130</v>
      </c>
      <c r="C184" s="9" t="s">
        <v>224</v>
      </c>
      <c r="D184" s="9" t="str">
        <f aca="false" t="array" ref="D184:D184">IF(C184="","",IFERROR(INDEX('CLM &amp; IM Mapping'!$B$2:$B$270,MATCH(TRIM(C184),'CLM &amp; IM Mapping'!$A$2:$A$270,0)),"Not Mapped"))</f>
        <v>Santhosha M</v>
      </c>
      <c r="E184" s="9" t="str">
        <f aca="false" t="array" ref="E184:E184">IF(C184="","",IFERROR(INDEX('CLM &amp; IM Mapping'!$C$2:$C$270,MATCH(TRIM(C184),'CLM &amp; IM Mapping'!$A$2:$A$270,0)),"Not Mapped"))</f>
        <v>Aravind S</v>
      </c>
      <c r="F184" s="9" t="s">
        <v>27</v>
      </c>
      <c r="G184" s="10" t="n">
        <v>-4415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-4415</v>
      </c>
      <c r="P184" s="11"/>
      <c r="Q184" s="11"/>
      <c r="R184" s="11"/>
      <c r="S184" s="11"/>
      <c r="T184" s="12" t="str">
        <f aca="false">IF($C184="","",IFERROR(INDEX('Aisle Loss Data'!$B$2:$B$1931,MATCH(TRIM($C184)&amp;"|1",'Aisle Loss Data'!$E$2:$E$1931,0)),"No Loss")&amp;IFERROR(","&amp;INDEX('Aisle Loss Data'!$B$2:$B$1931,MATCH(TRIM($C184)&amp;"|2",'Aisle Loss Data'!$E$2:$E$1931,0)),""))</f>
        <v>F,B</v>
      </c>
      <c r="U184" s="13" t="n">
        <f aca="false">IF($C184="","",IFERROR(INDEX('Aisle Loss Data'!$C$2:$C$1931,MATCH(TRIM($C184)&amp;"|1",'Aisle Loss Data'!$E$2:$E$1931,0)),0)+IFERROR(INDEX('Aisle Loss Data'!$C$2:$C$1931,MATCH(TRIM($C184)&amp;"|2",'Aisle Loss Data'!$E$2:$E$1931,0)),0))</f>
        <v>953.78</v>
      </c>
      <c r="V184" s="7"/>
      <c r="W184" s="7"/>
      <c r="X184" s="7"/>
      <c r="Y184" s="7"/>
      <c r="Z184" s="7"/>
    </row>
    <row r="185" customFormat="false" ht="15.75" hidden="false" customHeight="true" outlineLevel="0" collapsed="false">
      <c r="A185" s="8" t="s">
        <v>21</v>
      </c>
      <c r="B185" s="9" t="s">
        <v>22</v>
      </c>
      <c r="C185" s="8" t="s">
        <v>225</v>
      </c>
      <c r="D185" s="9" t="str">
        <f aca="false" t="array" ref="D185:D185">IF(C185="","",IFERROR(INDEX('CLM &amp; IM Mapping'!$B$2:$B$270,MATCH(TRIM(C185),'CLM &amp; IM Mapping'!$A$2:$A$270,0)),"Not Mapped"))</f>
        <v>Manjunatha V</v>
      </c>
      <c r="E185" s="9" t="str">
        <f aca="false" t="array" ref="E185:E185">IF(C185="","",IFERROR(INDEX('CLM &amp; IM Mapping'!$C$2:$C$270,MATCH(TRIM(C185),'CLM &amp; IM Mapping'!$A$2:$A$270,0)),"Not Mapped"))</f>
        <v>Un Mapped</v>
      </c>
      <c r="F185" s="9" t="s">
        <v>27</v>
      </c>
      <c r="G185" s="10" t="n">
        <v>-11226</v>
      </c>
      <c r="H185" s="10" t="n">
        <v>5297</v>
      </c>
      <c r="I185" s="10" t="n">
        <v>0</v>
      </c>
      <c r="J185" s="10" t="n">
        <v>176</v>
      </c>
      <c r="K185" s="10" t="n">
        <v>1021</v>
      </c>
      <c r="L185" s="10" t="n">
        <v>0</v>
      </c>
      <c r="M185" s="10" t="n">
        <v>0</v>
      </c>
      <c r="N185" s="10" t="n">
        <v>66</v>
      </c>
      <c r="O185" s="10" t="n">
        <v>-4667</v>
      </c>
      <c r="P185" s="11"/>
      <c r="Q185" s="11"/>
      <c r="R185" s="11"/>
      <c r="S185" s="11"/>
      <c r="T185" s="12" t="str">
        <f aca="false">IF($C185="","",IFERROR(INDEX('Aisle Loss Data'!$B$2:$B$1931,MATCH(TRIM($C185)&amp;"|1",'Aisle Loss Data'!$E$2:$E$1931,0)),"No Loss")&amp;IFERROR(","&amp;INDEX('Aisle Loss Data'!$B$2:$B$1931,MATCH(TRIM($C185)&amp;"|2",'Aisle Loss Data'!$E$2:$E$1931,0)),""))</f>
        <v>G,H</v>
      </c>
      <c r="U185" s="13" t="n">
        <f aca="false">IF($C185="","",IFERROR(INDEX('Aisle Loss Data'!$C$2:$C$1931,MATCH(TRIM($C185)&amp;"|1",'Aisle Loss Data'!$E$2:$E$1931,0)),0)+IFERROR(INDEX('Aisle Loss Data'!$C$2:$C$1931,MATCH(TRIM($C185)&amp;"|2",'Aisle Loss Data'!$E$2:$E$1931,0)),0))</f>
        <v>7664.5</v>
      </c>
      <c r="V185" s="7"/>
      <c r="W185" s="7"/>
      <c r="X185" s="7"/>
      <c r="Y185" s="7"/>
      <c r="Z185" s="7"/>
    </row>
    <row r="186" customFormat="false" ht="15.75" hidden="false" customHeight="true" outlineLevel="0" collapsed="false">
      <c r="A186" s="8" t="s">
        <v>21</v>
      </c>
      <c r="B186" s="9" t="s">
        <v>22</v>
      </c>
      <c r="C186" s="8" t="s">
        <v>226</v>
      </c>
      <c r="D186" s="9" t="str">
        <f aca="false" t="array" ref="D186:D186">IF(C186="","",IFERROR(INDEX('CLM &amp; IM Mapping'!$B$2:$B$270,MATCH(TRIM(C186),'CLM &amp; IM Mapping'!$A$2:$A$270,0)),"Not Mapped"))</f>
        <v>Ashwath S</v>
      </c>
      <c r="E186" s="9" t="str">
        <f aca="false" t="array" ref="E186:E186">IF(C186="","",IFERROR(INDEX('CLM &amp; IM Mapping'!$C$2:$C$270,MATCH(TRIM(C186),'CLM &amp; IM Mapping'!$A$2:$A$270,0)),"Not Mapped"))</f>
        <v>Kantha Kumar</v>
      </c>
      <c r="F186" s="9" t="s">
        <v>27</v>
      </c>
      <c r="G186" s="10" t="n">
        <v>-5055</v>
      </c>
      <c r="H186" s="10" t="n">
        <v>0</v>
      </c>
      <c r="I186" s="10" t="n">
        <v>0</v>
      </c>
      <c r="J186" s="10" t="n">
        <v>0</v>
      </c>
      <c r="K186" s="10" t="n">
        <v>43</v>
      </c>
      <c r="L186" s="10" t="n">
        <v>0</v>
      </c>
      <c r="M186" s="10" t="n">
        <v>0</v>
      </c>
      <c r="N186" s="10" t="n">
        <v>194</v>
      </c>
      <c r="O186" s="10" t="n">
        <v>-4818</v>
      </c>
      <c r="P186" s="11"/>
      <c r="Q186" s="11"/>
      <c r="R186" s="11"/>
      <c r="S186" s="11"/>
      <c r="T186" s="12" t="str">
        <f aca="false">IF($C186="","",IFERROR(INDEX('Aisle Loss Data'!$B$2:$B$1931,MATCH(TRIM($C186)&amp;"|1",'Aisle Loss Data'!$E$2:$E$1931,0)),"No Loss")&amp;IFERROR(","&amp;INDEX('Aisle Loss Data'!$B$2:$B$1931,MATCH(TRIM($C186)&amp;"|2",'Aisle Loss Data'!$E$2:$E$1931,0)),""))</f>
        <v>J,D</v>
      </c>
      <c r="U186" s="13" t="n">
        <f aca="false">IF($C186="","",IFERROR(INDEX('Aisle Loss Data'!$C$2:$C$1931,MATCH(TRIM($C186)&amp;"|1",'Aisle Loss Data'!$E$2:$E$1931,0)),0)+IFERROR(INDEX('Aisle Loss Data'!$C$2:$C$1931,MATCH(TRIM($C186)&amp;"|2",'Aisle Loss Data'!$E$2:$E$1931,0)),0))</f>
        <v>5032.44</v>
      </c>
      <c r="V186" s="7"/>
      <c r="W186" s="7"/>
      <c r="X186" s="7"/>
      <c r="Y186" s="7"/>
      <c r="Z186" s="7"/>
    </row>
    <row r="187" customFormat="false" ht="15.75" hidden="false" customHeight="true" outlineLevel="0" collapsed="false">
      <c r="A187" s="8" t="s">
        <v>21</v>
      </c>
      <c r="B187" s="9" t="s">
        <v>130</v>
      </c>
      <c r="C187" s="8" t="s">
        <v>227</v>
      </c>
      <c r="D187" s="9" t="str">
        <f aca="false" t="array" ref="D187:D187">IF(C187="","",IFERROR(INDEX('CLM &amp; IM Mapping'!$B$2:$B$270,MATCH(TRIM(C187),'CLM &amp; IM Mapping'!$A$2:$A$270,0)),"Not Mapped"))</f>
        <v>Santhosha M</v>
      </c>
      <c r="E187" s="9" t="str">
        <f aca="false" t="array" ref="E187:E187">IF(C187="","",IFERROR(INDEX('CLM &amp; IM Mapping'!$C$2:$C$270,MATCH(TRIM(C187),'CLM &amp; IM Mapping'!$A$2:$A$270,0)),"Not Mapped"))</f>
        <v>Aravind S</v>
      </c>
      <c r="F187" s="9" t="s">
        <v>27</v>
      </c>
      <c r="G187" s="10" t="n">
        <v>-5009</v>
      </c>
      <c r="H187" s="10" t="n">
        <v>59</v>
      </c>
      <c r="I187" s="10" t="n">
        <v>0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19</v>
      </c>
      <c r="O187" s="10" t="n">
        <v>-4930</v>
      </c>
      <c r="P187" s="11"/>
      <c r="Q187" s="11"/>
      <c r="R187" s="11"/>
      <c r="S187" s="11"/>
      <c r="T187" s="12" t="str">
        <f aca="false">IF($C187="","",IFERROR(INDEX('Aisle Loss Data'!$B$2:$B$1931,MATCH(TRIM($C187)&amp;"|1",'Aisle Loss Data'!$E$2:$E$1931,0)),"No Loss")&amp;IFERROR(","&amp;INDEX('Aisle Loss Data'!$B$2:$B$1931,MATCH(TRIM($C187)&amp;"|2",'Aisle Loss Data'!$E$2:$E$1931,0)),""))</f>
        <v>B,H</v>
      </c>
      <c r="U187" s="13" t="n">
        <f aca="false">IF($C187="","",IFERROR(INDEX('Aisle Loss Data'!$C$2:$C$1931,MATCH(TRIM($C187)&amp;"|1",'Aisle Loss Data'!$E$2:$E$1931,0)),0)+IFERROR(INDEX('Aisle Loss Data'!$C$2:$C$1931,MATCH(TRIM($C187)&amp;"|2",'Aisle Loss Data'!$E$2:$E$1931,0)),0))</f>
        <v>1912.04</v>
      </c>
      <c r="V187" s="7"/>
      <c r="W187" s="7"/>
      <c r="X187" s="7"/>
      <c r="Y187" s="7"/>
      <c r="Z187" s="7"/>
    </row>
    <row r="188" customFormat="false" ht="15.75" hidden="false" customHeight="true" outlineLevel="0" collapsed="false">
      <c r="A188" s="8" t="s">
        <v>21</v>
      </c>
      <c r="B188" s="9" t="s">
        <v>22</v>
      </c>
      <c r="C188" s="9" t="s">
        <v>228</v>
      </c>
      <c r="D188" s="9" t="str">
        <f aca="false" t="array" ref="D188:D188">IF(C188="","",IFERROR(INDEX('CLM &amp; IM Mapping'!$B$2:$B$270,MATCH(TRIM(C188),'CLM &amp; IM Mapping'!$A$2:$A$270,0)),"Not Mapped"))</f>
        <v>Silambarasan E</v>
      </c>
      <c r="E188" s="9" t="str">
        <f aca="false" t="array" ref="E188:E188">IF(C188="","",IFERROR(INDEX('CLM &amp; IM Mapping'!$C$2:$C$270,MATCH(TRIM(C188),'CLM &amp; IM Mapping'!$A$2:$A$270,0)),"Not Mapped"))</f>
        <v>Arivind S</v>
      </c>
      <c r="F188" s="9" t="s">
        <v>27</v>
      </c>
      <c r="G188" s="10" t="n">
        <v>-14706</v>
      </c>
      <c r="H188" s="10" t="n">
        <v>7716</v>
      </c>
      <c r="I188" s="10" t="n">
        <v>535</v>
      </c>
      <c r="J188" s="10" t="n">
        <v>780</v>
      </c>
      <c r="K188" s="10" t="n">
        <v>736</v>
      </c>
      <c r="L188" s="10" t="n">
        <v>0</v>
      </c>
      <c r="M188" s="10" t="n">
        <v>0</v>
      </c>
      <c r="N188" s="10" t="n">
        <v>0</v>
      </c>
      <c r="O188" s="10" t="n">
        <v>-4939</v>
      </c>
      <c r="P188" s="11"/>
      <c r="Q188" s="11"/>
      <c r="R188" s="11"/>
      <c r="S188" s="11"/>
      <c r="T188" s="12" t="str">
        <f aca="false">IF($C188="","",IFERROR(INDEX('Aisle Loss Data'!$B$2:$B$1931,MATCH(TRIM($C188)&amp;"|1",'Aisle Loss Data'!$E$2:$E$1931,0)),"No Loss")&amp;IFERROR(","&amp;INDEX('Aisle Loss Data'!$B$2:$B$1931,MATCH(TRIM($C188)&amp;"|2",'Aisle Loss Data'!$E$2:$E$1931,0)),""))</f>
        <v>I,C</v>
      </c>
      <c r="U188" s="13" t="n">
        <f aca="false">IF($C188="","",IFERROR(INDEX('Aisle Loss Data'!$C$2:$C$1931,MATCH(TRIM($C188)&amp;"|1",'Aisle Loss Data'!$E$2:$E$1931,0)),0)+IFERROR(INDEX('Aisle Loss Data'!$C$2:$C$1931,MATCH(TRIM($C188)&amp;"|2",'Aisle Loss Data'!$E$2:$E$1931,0)),0))</f>
        <v>9109.14</v>
      </c>
      <c r="V188" s="7"/>
      <c r="W188" s="7"/>
      <c r="X188" s="7"/>
      <c r="Y188" s="7"/>
      <c r="Z188" s="7"/>
    </row>
    <row r="189" customFormat="false" ht="15.75" hidden="false" customHeight="true" outlineLevel="0" collapsed="false">
      <c r="A189" s="8" t="s">
        <v>21</v>
      </c>
      <c r="B189" s="9" t="s">
        <v>145</v>
      </c>
      <c r="C189" s="8" t="s">
        <v>229</v>
      </c>
      <c r="D189" s="9" t="str">
        <f aca="false" t="array" ref="D189:D189">IF(C189="","",IFERROR(INDEX('CLM &amp; IM Mapping'!$B$2:$B$270,MATCH(TRIM(C189),'CLM &amp; IM Mapping'!$A$2:$A$270,0)),"Not Mapped"))</f>
        <v>John Britto</v>
      </c>
      <c r="E189" s="9" t="str">
        <f aca="false" t="array" ref="E189:E189">IF(C189="","",IFERROR(INDEX('CLM &amp; IM Mapping'!$C$2:$C$270,MATCH(TRIM(C189),'CLM &amp; IM Mapping'!$A$2:$A$270,0)),"Not Mapped"))</f>
        <v>Aravind S</v>
      </c>
      <c r="F189" s="9" t="s">
        <v>27</v>
      </c>
      <c r="G189" s="10" t="n">
        <v>-13832</v>
      </c>
      <c r="H189" s="10" t="n">
        <v>8038</v>
      </c>
      <c r="I189" s="10" t="n">
        <v>0</v>
      </c>
      <c r="J189" s="10" t="n">
        <v>0</v>
      </c>
      <c r="K189" s="10" t="n">
        <v>836</v>
      </c>
      <c r="L189" s="10" t="n">
        <v>0</v>
      </c>
      <c r="M189" s="10" t="n">
        <v>0</v>
      </c>
      <c r="N189" s="10" t="n">
        <v>0</v>
      </c>
      <c r="O189" s="10" t="n">
        <v>-4958</v>
      </c>
      <c r="P189" s="11"/>
      <c r="Q189" s="11"/>
      <c r="R189" s="11"/>
      <c r="S189" s="11"/>
      <c r="T189" s="12" t="str">
        <f aca="false">IF($C189="","",IFERROR(INDEX('Aisle Loss Data'!$B$2:$B$1931,MATCH(TRIM($C189)&amp;"|1",'Aisle Loss Data'!$E$2:$E$1931,0)),"No Loss")&amp;IFERROR(","&amp;INDEX('Aisle Loss Data'!$B$2:$B$1931,MATCH(TRIM($C189)&amp;"|2",'Aisle Loss Data'!$E$2:$E$1931,0)),""))</f>
        <v>D,G</v>
      </c>
      <c r="U189" s="13" t="n">
        <f aca="false">IF($C189="","",IFERROR(INDEX('Aisle Loss Data'!$C$2:$C$1931,MATCH(TRIM($C189)&amp;"|1",'Aisle Loss Data'!$E$2:$E$1931,0)),0)+IFERROR(INDEX('Aisle Loss Data'!$C$2:$C$1931,MATCH(TRIM($C189)&amp;"|2",'Aisle Loss Data'!$E$2:$E$1931,0)),0))</f>
        <v>5648.74</v>
      </c>
      <c r="V189" s="7"/>
      <c r="W189" s="7"/>
      <c r="X189" s="7"/>
      <c r="Y189" s="7"/>
      <c r="Z189" s="7"/>
    </row>
    <row r="190" customFormat="false" ht="15.75" hidden="false" customHeight="true" outlineLevel="0" collapsed="false">
      <c r="A190" s="8" t="s">
        <v>21</v>
      </c>
      <c r="B190" s="9" t="s">
        <v>22</v>
      </c>
      <c r="C190" s="8" t="s">
        <v>230</v>
      </c>
      <c r="D190" s="9" t="str">
        <f aca="false" t="array" ref="D190:D190">IF(C190="","",IFERROR(INDEX('CLM &amp; IM Mapping'!$B$2:$B$270,MATCH(TRIM(C190),'CLM &amp; IM Mapping'!$A$2:$A$270,0)),"Not Mapped"))</f>
        <v>Manjunatha V</v>
      </c>
      <c r="E190" s="9" t="str">
        <f aca="false" t="array" ref="E190:E190">IF(C190="","",IFERROR(INDEX('CLM &amp; IM Mapping'!$C$2:$C$270,MATCH(TRIM(C190),'CLM &amp; IM Mapping'!$A$2:$A$270,0)),"Not Mapped"))</f>
        <v>Un Mapped</v>
      </c>
      <c r="F190" s="9" t="s">
        <v>27</v>
      </c>
      <c r="G190" s="10" t="n">
        <v>-15436</v>
      </c>
      <c r="H190" s="10" t="n">
        <v>7018</v>
      </c>
      <c r="I190" s="10" t="n">
        <v>0</v>
      </c>
      <c r="J190" s="10" t="n">
        <v>49</v>
      </c>
      <c r="K190" s="10" t="n">
        <v>3344</v>
      </c>
      <c r="L190" s="10" t="n">
        <v>0</v>
      </c>
      <c r="M190" s="10" t="n">
        <v>0</v>
      </c>
      <c r="N190" s="10" t="n">
        <v>0</v>
      </c>
      <c r="O190" s="10" t="n">
        <v>-5025</v>
      </c>
      <c r="P190" s="11"/>
      <c r="Q190" s="11"/>
      <c r="R190" s="11"/>
      <c r="S190" s="11"/>
      <c r="T190" s="12" t="str">
        <f aca="false">IF($C190="","",IFERROR(INDEX('Aisle Loss Data'!$B$2:$B$1931,MATCH(TRIM($C190)&amp;"|1",'Aisle Loss Data'!$E$2:$E$1931,0)),"No Loss")&amp;IFERROR(","&amp;INDEX('Aisle Loss Data'!$B$2:$B$1931,MATCH(TRIM($C190)&amp;"|2",'Aisle Loss Data'!$E$2:$E$1931,0)),""))</f>
        <v>L,G</v>
      </c>
      <c r="U190" s="13" t="n">
        <f aca="false">IF($C190="","",IFERROR(INDEX('Aisle Loss Data'!$C$2:$C$1931,MATCH(TRIM($C190)&amp;"|1",'Aisle Loss Data'!$E$2:$E$1931,0)),0)+IFERROR(INDEX('Aisle Loss Data'!$C$2:$C$1931,MATCH(TRIM($C190)&amp;"|2",'Aisle Loss Data'!$E$2:$E$1931,0)),0))</f>
        <v>7819.65</v>
      </c>
      <c r="V190" s="7"/>
      <c r="W190" s="7"/>
      <c r="X190" s="7"/>
      <c r="Y190" s="7"/>
      <c r="Z190" s="7"/>
    </row>
    <row r="191" customFormat="false" ht="15.75" hidden="false" customHeight="true" outlineLevel="0" collapsed="false">
      <c r="A191" s="8" t="s">
        <v>21</v>
      </c>
      <c r="B191" s="9" t="s">
        <v>104</v>
      </c>
      <c r="C191" s="8" t="s">
        <v>231</v>
      </c>
      <c r="D191" s="9" t="str">
        <f aca="false" t="array" ref="D191:D191">IF(C191="","",IFERROR(INDEX('CLM &amp; IM Mapping'!$B$2:$B$270,MATCH(TRIM(C191),'CLM &amp; IM Mapping'!$A$2:$A$270,0)),"Not Mapped"))</f>
        <v>Vishnu V</v>
      </c>
      <c r="E191" s="9" t="str">
        <f aca="false" t="array" ref="E191:E191">IF(C191="","",IFERROR(INDEX('CLM &amp; IM Mapping'!$C$2:$C$270,MATCH(TRIM(C191),'CLM &amp; IM Mapping'!$A$2:$A$270,0)),"Not Mapped"))</f>
        <v>Arivind S</v>
      </c>
      <c r="F191" s="9" t="s">
        <v>27</v>
      </c>
      <c r="G191" s="10" t="n">
        <v>-12408</v>
      </c>
      <c r="H191" s="10" t="n">
        <v>4910</v>
      </c>
      <c r="I191" s="10" t="n">
        <v>2313</v>
      </c>
      <c r="J191" s="10" t="n">
        <v>0</v>
      </c>
      <c r="K191" s="10" t="n">
        <v>139</v>
      </c>
      <c r="L191" s="10" t="n">
        <v>0</v>
      </c>
      <c r="M191" s="10" t="n">
        <v>0</v>
      </c>
      <c r="N191" s="10" t="n">
        <v>0</v>
      </c>
      <c r="O191" s="10" t="n">
        <v>-5046</v>
      </c>
      <c r="P191" s="11"/>
      <c r="Q191" s="11"/>
      <c r="R191" s="11"/>
      <c r="S191" s="11"/>
      <c r="T191" s="12" t="str">
        <f aca="false">IF($C191="","",IFERROR(INDEX('Aisle Loss Data'!$B$2:$B$1931,MATCH(TRIM($C191)&amp;"|1",'Aisle Loss Data'!$E$2:$E$1931,0)),"No Loss")&amp;IFERROR(","&amp;INDEX('Aisle Loss Data'!$B$2:$B$1931,MATCH(TRIM($C191)&amp;"|2",'Aisle Loss Data'!$E$2:$E$1931,0)),""))</f>
        <v>A,N</v>
      </c>
      <c r="U191" s="13" t="n">
        <f aca="false">IF($C191="","",IFERROR(INDEX('Aisle Loss Data'!$C$2:$C$1931,MATCH(TRIM($C191)&amp;"|1",'Aisle Loss Data'!$E$2:$E$1931,0)),0)+IFERROR(INDEX('Aisle Loss Data'!$C$2:$C$1931,MATCH(TRIM($C191)&amp;"|2",'Aisle Loss Data'!$E$2:$E$1931,0)),0))</f>
        <v>1966.67</v>
      </c>
      <c r="V191" s="7"/>
      <c r="W191" s="7"/>
      <c r="X191" s="7"/>
      <c r="Y191" s="7"/>
      <c r="Z191" s="7"/>
    </row>
    <row r="192" customFormat="false" ht="15.75" hidden="false" customHeight="true" outlineLevel="0" collapsed="false">
      <c r="A192" s="8" t="s">
        <v>21</v>
      </c>
      <c r="B192" s="9" t="s">
        <v>22</v>
      </c>
      <c r="C192" s="8" t="s">
        <v>232</v>
      </c>
      <c r="D192" s="9" t="str">
        <f aca="false" t="array" ref="D192:D192">IF(C192="","",IFERROR(INDEX('CLM &amp; IM Mapping'!$B$2:$B$270,MATCH(TRIM(C192),'CLM &amp; IM Mapping'!$A$2:$A$270,0)),"Not Mapped"))</f>
        <v>Silambarasan E</v>
      </c>
      <c r="E192" s="9" t="str">
        <f aca="false" t="array" ref="E192:E192">IF(C192="","",IFERROR(INDEX('CLM &amp; IM Mapping'!$C$2:$C$270,MATCH(TRIM(C192),'CLM &amp; IM Mapping'!$A$2:$A$270,0)),"Not Mapped"))</f>
        <v>Arivind S</v>
      </c>
      <c r="F192" s="9" t="s">
        <v>27</v>
      </c>
      <c r="G192" s="10" t="n">
        <v>-20246</v>
      </c>
      <c r="H192" s="10" t="n">
        <v>14628</v>
      </c>
      <c r="I192" s="10" t="n">
        <v>0</v>
      </c>
      <c r="J192" s="10" t="n">
        <v>34</v>
      </c>
      <c r="K192" s="10" t="n">
        <v>256</v>
      </c>
      <c r="L192" s="10" t="n">
        <v>0</v>
      </c>
      <c r="M192" s="10" t="n">
        <v>251</v>
      </c>
      <c r="N192" s="10" t="n">
        <v>0</v>
      </c>
      <c r="O192" s="10" t="n">
        <v>-5077</v>
      </c>
      <c r="P192" s="11"/>
      <c r="Q192" s="11"/>
      <c r="R192" s="11"/>
      <c r="S192" s="11"/>
      <c r="T192" s="12" t="str">
        <f aca="false">IF($C192="","",IFERROR(INDEX('Aisle Loss Data'!$B$2:$B$1931,MATCH(TRIM($C192)&amp;"|1",'Aisle Loss Data'!$E$2:$E$1931,0)),"No Loss")&amp;IFERROR(","&amp;INDEX('Aisle Loss Data'!$B$2:$B$1931,MATCH(TRIM($C192)&amp;"|2",'Aisle Loss Data'!$E$2:$E$1931,0)),""))</f>
        <v>E,H</v>
      </c>
      <c r="U192" s="13" t="n">
        <f aca="false">IF($C192="","",IFERROR(INDEX('Aisle Loss Data'!$C$2:$C$1931,MATCH(TRIM($C192)&amp;"|1",'Aisle Loss Data'!$E$2:$E$1931,0)),0)+IFERROR(INDEX('Aisle Loss Data'!$C$2:$C$1931,MATCH(TRIM($C192)&amp;"|2",'Aisle Loss Data'!$E$2:$E$1931,0)),0))</f>
        <v>4246.07</v>
      </c>
      <c r="V192" s="7"/>
      <c r="W192" s="7"/>
      <c r="X192" s="7"/>
      <c r="Y192" s="7"/>
      <c r="Z192" s="7"/>
    </row>
    <row r="193" customFormat="false" ht="15.75" hidden="false" customHeight="true" outlineLevel="0" collapsed="false">
      <c r="A193" s="8" t="s">
        <v>21</v>
      </c>
      <c r="B193" s="9" t="s">
        <v>22</v>
      </c>
      <c r="C193" s="8" t="s">
        <v>233</v>
      </c>
      <c r="D193" s="9" t="str">
        <f aca="false" t="array" ref="D193:D193">IF(C193="","",IFERROR(INDEX('CLM &amp; IM Mapping'!$B$2:$B$270,MATCH(TRIM(C193),'CLM &amp; IM Mapping'!$A$2:$A$270,0)),"Not Mapped"))</f>
        <v>Balaji G</v>
      </c>
      <c r="E193" s="9" t="str">
        <f aca="false" t="array" ref="E193:E193">IF(C193="","",IFERROR(INDEX('CLM &amp; IM Mapping'!$C$2:$C$270,MATCH(TRIM(C193),'CLM &amp; IM Mapping'!$A$2:$A$270,0)),"Not Mapped"))</f>
        <v>Mohammed Akbar</v>
      </c>
      <c r="F193" s="9" t="s">
        <v>27</v>
      </c>
      <c r="G193" s="10" t="n">
        <v>-10294</v>
      </c>
      <c r="H193" s="10" t="n">
        <v>4340</v>
      </c>
      <c r="I193" s="10" t="n">
        <v>0</v>
      </c>
      <c r="J193" s="10" t="n">
        <v>702</v>
      </c>
      <c r="K193" s="10" t="n">
        <v>119</v>
      </c>
      <c r="L193" s="10" t="n">
        <v>0</v>
      </c>
      <c r="M193" s="10" t="n">
        <v>0</v>
      </c>
      <c r="N193" s="10" t="n">
        <v>0</v>
      </c>
      <c r="O193" s="10" t="n">
        <v>-5133</v>
      </c>
      <c r="P193" s="11"/>
      <c r="Q193" s="11"/>
      <c r="R193" s="11"/>
      <c r="S193" s="11"/>
      <c r="T193" s="12" t="str">
        <f aca="false">IF($C193="","",IFERROR(INDEX('Aisle Loss Data'!$B$2:$B$1931,MATCH(TRIM($C193)&amp;"|1",'Aisle Loss Data'!$E$2:$E$1931,0)),"No Loss")&amp;IFERROR(","&amp;INDEX('Aisle Loss Data'!$B$2:$B$1931,MATCH(TRIM($C193)&amp;"|2",'Aisle Loss Data'!$E$2:$E$1931,0)),""))</f>
        <v>F,E</v>
      </c>
      <c r="U193" s="13" t="n">
        <f aca="false">IF($C193="","",IFERROR(INDEX('Aisle Loss Data'!$C$2:$C$1931,MATCH(TRIM($C193)&amp;"|1",'Aisle Loss Data'!$E$2:$E$1931,0)),0)+IFERROR(INDEX('Aisle Loss Data'!$C$2:$C$1931,MATCH(TRIM($C193)&amp;"|2",'Aisle Loss Data'!$E$2:$E$1931,0)),0))</f>
        <v>6293.78</v>
      </c>
      <c r="V193" s="7"/>
      <c r="W193" s="7"/>
      <c r="X193" s="7"/>
      <c r="Y193" s="7"/>
      <c r="Z193" s="7"/>
    </row>
    <row r="194" customFormat="false" ht="15.75" hidden="false" customHeight="true" outlineLevel="0" collapsed="false">
      <c r="A194" s="8" t="s">
        <v>21</v>
      </c>
      <c r="B194" s="9" t="s">
        <v>22</v>
      </c>
      <c r="C194" s="8" t="s">
        <v>234</v>
      </c>
      <c r="D194" s="9" t="str">
        <f aca="false" t="array" ref="D194:D194">IF(C194="","",IFERROR(INDEX('CLM &amp; IM Mapping'!$B$2:$B$270,MATCH(TRIM(C194),'CLM &amp; IM Mapping'!$A$2:$A$270,0)),"Not Mapped"))</f>
        <v>Narasimhamurthy R</v>
      </c>
      <c r="E194" s="9" t="str">
        <f aca="false" t="array" ref="E194:E194">IF(C194="","",IFERROR(INDEX('CLM &amp; IM Mapping'!$C$2:$C$270,MATCH(TRIM(C194),'CLM &amp; IM Mapping'!$A$2:$A$270,0)),"Not Mapped"))</f>
        <v>Kishor K</v>
      </c>
      <c r="F194" s="9" t="s">
        <v>27</v>
      </c>
      <c r="G194" s="10" t="n">
        <v>-7590</v>
      </c>
      <c r="H194" s="10" t="n">
        <v>1741</v>
      </c>
      <c r="I194" s="10" t="n">
        <v>115</v>
      </c>
      <c r="J194" s="10" t="n">
        <v>0</v>
      </c>
      <c r="K194" s="10" t="n">
        <v>403</v>
      </c>
      <c r="L194" s="10" t="n">
        <v>0</v>
      </c>
      <c r="M194" s="10" t="n">
        <v>0</v>
      </c>
      <c r="N194" s="10" t="n">
        <v>0</v>
      </c>
      <c r="O194" s="10" t="n">
        <v>-5331</v>
      </c>
      <c r="P194" s="11"/>
      <c r="Q194" s="11"/>
      <c r="R194" s="11"/>
      <c r="S194" s="11"/>
      <c r="T194" s="12" t="str">
        <f aca="false">IF($C194="","",IFERROR(INDEX('Aisle Loss Data'!$B$2:$B$1931,MATCH(TRIM($C194)&amp;"|1",'Aisle Loss Data'!$E$2:$E$1931,0)),"No Loss")&amp;IFERROR(","&amp;INDEX('Aisle Loss Data'!$B$2:$B$1931,MATCH(TRIM($C194)&amp;"|2",'Aisle Loss Data'!$E$2:$E$1931,0)),""))</f>
        <v>A,N</v>
      </c>
      <c r="U194" s="13" t="n">
        <f aca="false">IF($C194="","",IFERROR(INDEX('Aisle Loss Data'!$C$2:$C$1931,MATCH(TRIM($C194)&amp;"|1",'Aisle Loss Data'!$E$2:$E$1931,0)),0)+IFERROR(INDEX('Aisle Loss Data'!$C$2:$C$1931,MATCH(TRIM($C194)&amp;"|2",'Aisle Loss Data'!$E$2:$E$1931,0)),0))</f>
        <v>3536.93</v>
      </c>
      <c r="V194" s="7"/>
      <c r="W194" s="7"/>
      <c r="X194" s="7"/>
      <c r="Y194" s="7"/>
      <c r="Z194" s="7"/>
    </row>
    <row r="195" customFormat="false" ht="15.75" hidden="false" customHeight="true" outlineLevel="0" collapsed="false">
      <c r="A195" s="8" t="s">
        <v>21</v>
      </c>
      <c r="B195" s="9" t="s">
        <v>22</v>
      </c>
      <c r="C195" s="8" t="s">
        <v>235</v>
      </c>
      <c r="D195" s="9" t="str">
        <f aca="false" t="array" ref="D195:D195">IF(C195="","",IFERROR(INDEX('CLM &amp; IM Mapping'!$B$2:$B$270,MATCH(TRIM(C195),'CLM &amp; IM Mapping'!$A$2:$A$270,0)),"Not Mapped"))</f>
        <v>Balaji G</v>
      </c>
      <c r="E195" s="9" t="str">
        <f aca="false" t="array" ref="E195:E195">IF(C195="","",IFERROR(INDEX('CLM &amp; IM Mapping'!$C$2:$C$270,MATCH(TRIM(C195),'CLM &amp; IM Mapping'!$A$2:$A$270,0)),"Not Mapped"))</f>
        <v>Mohammed Akbar</v>
      </c>
      <c r="F195" s="9" t="s">
        <v>27</v>
      </c>
      <c r="G195" s="10" t="n">
        <v>-19317</v>
      </c>
      <c r="H195" s="10" t="n">
        <v>10703</v>
      </c>
      <c r="I195" s="10" t="n">
        <v>0</v>
      </c>
      <c r="J195" s="10" t="n">
        <v>400</v>
      </c>
      <c r="K195" s="10" t="n">
        <v>2810</v>
      </c>
      <c r="L195" s="10" t="n">
        <v>0</v>
      </c>
      <c r="M195" s="10" t="n">
        <v>0</v>
      </c>
      <c r="N195" s="10" t="n">
        <v>0</v>
      </c>
      <c r="O195" s="10" t="n">
        <v>-5403</v>
      </c>
      <c r="P195" s="11"/>
      <c r="Q195" s="11"/>
      <c r="R195" s="11"/>
      <c r="S195" s="11"/>
      <c r="T195" s="12" t="str">
        <f aca="false">IF($C195="","",IFERROR(INDEX('Aisle Loss Data'!$B$2:$B$1931,MATCH(TRIM($C195)&amp;"|1",'Aisle Loss Data'!$E$2:$E$1931,0)),"No Loss")&amp;IFERROR(","&amp;INDEX('Aisle Loss Data'!$B$2:$B$1931,MATCH(TRIM($C195)&amp;"|2",'Aisle Loss Data'!$E$2:$E$1931,0)),""))</f>
        <v>C,A</v>
      </c>
      <c r="U195" s="13" t="n">
        <f aca="false">IF($C195="","",IFERROR(INDEX('Aisle Loss Data'!$C$2:$C$1931,MATCH(TRIM($C195)&amp;"|1",'Aisle Loss Data'!$E$2:$E$1931,0)),0)+IFERROR(INDEX('Aisle Loss Data'!$C$2:$C$1931,MATCH(TRIM($C195)&amp;"|2",'Aisle Loss Data'!$E$2:$E$1931,0)),0))</f>
        <v>19639.39</v>
      </c>
      <c r="V195" s="7"/>
      <c r="W195" s="7"/>
      <c r="X195" s="7"/>
      <c r="Y195" s="7"/>
      <c r="Z195" s="7"/>
    </row>
    <row r="196" customFormat="false" ht="15.75" hidden="false" customHeight="true" outlineLevel="0" collapsed="false">
      <c r="A196" s="8" t="s">
        <v>21</v>
      </c>
      <c r="B196" s="9" t="s">
        <v>221</v>
      </c>
      <c r="C196" s="8" t="s">
        <v>236</v>
      </c>
      <c r="D196" s="9" t="str">
        <f aca="false" t="array" ref="D196:D196">IF(C196="","",IFERROR(INDEX('CLM &amp; IM Mapping'!$B$2:$B$270,MATCH(TRIM(C196),'CLM &amp; IM Mapping'!$A$2:$A$270,0)),"Not Mapped"))</f>
        <v>Vishnu V</v>
      </c>
      <c r="E196" s="9" t="str">
        <f aca="false" t="array" ref="E196:E196">IF(C196="","",IFERROR(INDEX('CLM &amp; IM Mapping'!$C$2:$C$270,MATCH(TRIM(C196),'CLM &amp; IM Mapping'!$A$2:$A$270,0)),"Not Mapped"))</f>
        <v>Arivind S</v>
      </c>
      <c r="F196" s="9" t="s">
        <v>27</v>
      </c>
      <c r="G196" s="10" t="n">
        <v>-5488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-5488</v>
      </c>
      <c r="P196" s="11"/>
      <c r="Q196" s="11"/>
      <c r="R196" s="11"/>
      <c r="S196" s="11"/>
      <c r="T196" s="12" t="str">
        <f aca="false">IF($C196="","",IFERROR(INDEX('Aisle Loss Data'!$B$2:$B$1931,MATCH(TRIM($C196)&amp;"|1",'Aisle Loss Data'!$E$2:$E$1931,0)),"No Loss")&amp;IFERROR(","&amp;INDEX('Aisle Loss Data'!$B$2:$B$1931,MATCH(TRIM($C196)&amp;"|2",'Aisle Loss Data'!$E$2:$E$1931,0)),""))</f>
        <v>D,J</v>
      </c>
      <c r="U196" s="13" t="n">
        <f aca="false">IF($C196="","",IFERROR(INDEX('Aisle Loss Data'!$C$2:$C$1931,MATCH(TRIM($C196)&amp;"|1",'Aisle Loss Data'!$E$2:$E$1931,0)),0)+IFERROR(INDEX('Aisle Loss Data'!$C$2:$C$1931,MATCH(TRIM($C196)&amp;"|2",'Aisle Loss Data'!$E$2:$E$1931,0)),0))</f>
        <v>401.58</v>
      </c>
      <c r="V196" s="7"/>
      <c r="W196" s="7"/>
      <c r="X196" s="7"/>
      <c r="Y196" s="7"/>
      <c r="Z196" s="7"/>
    </row>
    <row r="197" customFormat="false" ht="15.75" hidden="false" customHeight="true" outlineLevel="0" collapsed="false">
      <c r="A197" s="8" t="s">
        <v>21</v>
      </c>
      <c r="B197" s="9" t="s">
        <v>99</v>
      </c>
      <c r="C197" s="8" t="s">
        <v>237</v>
      </c>
      <c r="D197" s="9" t="str">
        <f aca="false" t="array" ref="D197:D197">IF(C197="","",IFERROR(INDEX('CLM &amp; IM Mapping'!$B$2:$B$270,MATCH(TRIM(C197),'CLM &amp; IM Mapping'!$A$2:$A$270,0)),"Not Mapped"))</f>
        <v>Bangareppa CS</v>
      </c>
      <c r="E197" s="9" t="str">
        <f aca="false" t="array" ref="E197:E197">IF(C197="","",IFERROR(INDEX('CLM &amp; IM Mapping'!$C$2:$C$270,MATCH(TRIM(C197),'CLM &amp; IM Mapping'!$A$2:$A$270,0)),"Not Mapped"))</f>
        <v>Kishor K</v>
      </c>
      <c r="F197" s="9" t="s">
        <v>27</v>
      </c>
      <c r="G197" s="10" t="n">
        <v>-5576</v>
      </c>
      <c r="H197" s="10" t="n">
        <v>0</v>
      </c>
      <c r="I197" s="10" t="n">
        <v>0</v>
      </c>
      <c r="J197" s="10" t="n">
        <v>0</v>
      </c>
      <c r="K197" s="10" t="n">
        <v>8</v>
      </c>
      <c r="L197" s="10" t="n">
        <v>0</v>
      </c>
      <c r="M197" s="10" t="n">
        <v>0</v>
      </c>
      <c r="N197" s="10" t="n">
        <v>0</v>
      </c>
      <c r="O197" s="10" t="n">
        <v>-5568</v>
      </c>
      <c r="P197" s="11"/>
      <c r="Q197" s="11"/>
      <c r="R197" s="11"/>
      <c r="S197" s="11"/>
      <c r="T197" s="12" t="str">
        <f aca="false">IF($C197="","",IFERROR(INDEX('Aisle Loss Data'!$B$2:$B$1931,MATCH(TRIM($C197)&amp;"|1",'Aisle Loss Data'!$E$2:$E$1931,0)),"No Loss")&amp;IFERROR(","&amp;INDEX('Aisle Loss Data'!$B$2:$B$1931,MATCH(TRIM($C197)&amp;"|2",'Aisle Loss Data'!$E$2:$E$1931,0)),""))</f>
        <v>D,E</v>
      </c>
      <c r="U197" s="13" t="n">
        <f aca="false">IF($C197="","",IFERROR(INDEX('Aisle Loss Data'!$C$2:$C$1931,MATCH(TRIM($C197)&amp;"|1",'Aisle Loss Data'!$E$2:$E$1931,0)),0)+IFERROR(INDEX('Aisle Loss Data'!$C$2:$C$1931,MATCH(TRIM($C197)&amp;"|2",'Aisle Loss Data'!$E$2:$E$1931,0)),0))</f>
        <v>3285.54</v>
      </c>
      <c r="V197" s="7"/>
      <c r="W197" s="7"/>
      <c r="X197" s="7"/>
      <c r="Y197" s="7"/>
      <c r="Z197" s="7"/>
    </row>
    <row r="198" customFormat="false" ht="15.75" hidden="false" customHeight="true" outlineLevel="0" collapsed="false">
      <c r="A198" s="8" t="s">
        <v>21</v>
      </c>
      <c r="B198" s="9" t="s">
        <v>22</v>
      </c>
      <c r="C198" s="8" t="s">
        <v>238</v>
      </c>
      <c r="D198" s="9" t="str">
        <f aca="false" t="array" ref="D198:D198">IF(C198="","",IFERROR(INDEX('CLM &amp; IM Mapping'!$B$2:$B$270,MATCH(TRIM(C198),'CLM &amp; IM Mapping'!$A$2:$A$270,0)),"Not Mapped"))</f>
        <v>Vijay M</v>
      </c>
      <c r="E198" s="9" t="str">
        <f aca="false" t="array" ref="E198:E198">IF(C198="","",IFERROR(INDEX('CLM &amp; IM Mapping'!$C$2:$C$270,MATCH(TRIM(C198),'CLM &amp; IM Mapping'!$A$2:$A$270,0)),"Not Mapped"))</f>
        <v>Kantha Kumar</v>
      </c>
      <c r="F198" s="9" t="s">
        <v>27</v>
      </c>
      <c r="G198" s="10" t="n">
        <v>-11044</v>
      </c>
      <c r="H198" s="10" t="n">
        <v>4177</v>
      </c>
      <c r="I198" s="10" t="n">
        <v>0</v>
      </c>
      <c r="J198" s="10" t="n">
        <v>197</v>
      </c>
      <c r="K198" s="10" t="n">
        <v>686</v>
      </c>
      <c r="L198" s="10" t="n">
        <v>0</v>
      </c>
      <c r="M198" s="10" t="n">
        <v>0</v>
      </c>
      <c r="N198" s="10" t="n">
        <v>348</v>
      </c>
      <c r="O198" s="10" t="n">
        <v>-5636</v>
      </c>
      <c r="P198" s="11"/>
      <c r="Q198" s="11"/>
      <c r="R198" s="11"/>
      <c r="S198" s="11"/>
      <c r="T198" s="12" t="str">
        <f aca="false">IF($C198="","",IFERROR(INDEX('Aisle Loss Data'!$B$2:$B$1931,MATCH(TRIM($C198)&amp;"|1",'Aisle Loss Data'!$E$2:$E$1931,0)),"No Loss")&amp;IFERROR(","&amp;INDEX('Aisle Loss Data'!$B$2:$B$1931,MATCH(TRIM($C198)&amp;"|2",'Aisle Loss Data'!$E$2:$E$1931,0)),""))</f>
        <v>F,G</v>
      </c>
      <c r="U198" s="13" t="n">
        <f aca="false">IF($C198="","",IFERROR(INDEX('Aisle Loss Data'!$C$2:$C$1931,MATCH(TRIM($C198)&amp;"|1",'Aisle Loss Data'!$E$2:$E$1931,0)),0)+IFERROR(INDEX('Aisle Loss Data'!$C$2:$C$1931,MATCH(TRIM($C198)&amp;"|2",'Aisle Loss Data'!$E$2:$E$1931,0)),0))</f>
        <v>1588.42</v>
      </c>
      <c r="V198" s="7"/>
      <c r="W198" s="7"/>
      <c r="X198" s="7"/>
      <c r="Y198" s="7"/>
      <c r="Z198" s="7"/>
    </row>
    <row r="199" customFormat="false" ht="15.75" hidden="false" customHeight="true" outlineLevel="0" collapsed="false">
      <c r="A199" s="8" t="s">
        <v>21</v>
      </c>
      <c r="B199" s="9" t="s">
        <v>22</v>
      </c>
      <c r="C199" s="8" t="s">
        <v>239</v>
      </c>
      <c r="D199" s="9" t="str">
        <f aca="false" t="array" ref="D199:D199">IF(C199="","",IFERROR(INDEX('CLM &amp; IM Mapping'!$B$2:$B$270,MATCH(TRIM(C199),'CLM &amp; IM Mapping'!$A$2:$A$270,0)),"Not Mapped"))</f>
        <v>Manoj Kj</v>
      </c>
      <c r="E199" s="9" t="str">
        <f aca="false" t="array" ref="E199:E199">IF(C199="","",IFERROR(INDEX('CLM &amp; IM Mapping'!$C$2:$C$270,MATCH(TRIM(C199),'CLM &amp; IM Mapping'!$A$2:$A$270,0)),"Not Mapped"))</f>
        <v>Srittam Dhal</v>
      </c>
      <c r="F199" s="9" t="s">
        <v>27</v>
      </c>
      <c r="G199" s="10" t="n">
        <v>-10049</v>
      </c>
      <c r="H199" s="10" t="n">
        <v>3910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-6139</v>
      </c>
      <c r="P199" s="11"/>
      <c r="Q199" s="11"/>
      <c r="R199" s="11"/>
      <c r="S199" s="11"/>
      <c r="T199" s="12" t="str">
        <f aca="false">IF($C199="","",IFERROR(INDEX('Aisle Loss Data'!$B$2:$B$1931,MATCH(TRIM($C199)&amp;"|1",'Aisle Loss Data'!$E$2:$E$1931,0)),"No Loss")&amp;IFERROR(","&amp;INDEX('Aisle Loss Data'!$B$2:$B$1931,MATCH(TRIM($C199)&amp;"|2",'Aisle Loss Data'!$E$2:$E$1931,0)),""))</f>
        <v>C,E</v>
      </c>
      <c r="U199" s="13" t="n">
        <f aca="false">IF($C199="","",IFERROR(INDEX('Aisle Loss Data'!$C$2:$C$1931,MATCH(TRIM($C199)&amp;"|1",'Aisle Loss Data'!$E$2:$E$1931,0)),0)+IFERROR(INDEX('Aisle Loss Data'!$C$2:$C$1931,MATCH(TRIM($C199)&amp;"|2",'Aisle Loss Data'!$E$2:$E$1931,0)),0))</f>
        <v>10020.75</v>
      </c>
      <c r="V199" s="7"/>
      <c r="W199" s="7"/>
      <c r="X199" s="7"/>
      <c r="Y199" s="7"/>
      <c r="Z199" s="7"/>
    </row>
    <row r="200" customFormat="false" ht="15.75" hidden="false" customHeight="true" outlineLevel="0" collapsed="false">
      <c r="A200" s="8" t="s">
        <v>21</v>
      </c>
      <c r="B200" s="9" t="s">
        <v>22</v>
      </c>
      <c r="C200" s="8" t="s">
        <v>240</v>
      </c>
      <c r="D200" s="9" t="str">
        <f aca="false" t="array" ref="D200:D200">IF(C200="","",IFERROR(INDEX('CLM &amp; IM Mapping'!$B$2:$B$270,MATCH(TRIM(C200),'CLM &amp; IM Mapping'!$A$2:$A$270,0)),"Not Mapped"))</f>
        <v>Narasimhamurthy R</v>
      </c>
      <c r="E200" s="9" t="str">
        <f aca="false" t="array" ref="E200:E200">IF(C200="","",IFERROR(INDEX('CLM &amp; IM Mapping'!$C$2:$C$270,MATCH(TRIM(C200),'CLM &amp; IM Mapping'!$A$2:$A$270,0)),"Not Mapped"))</f>
        <v>Kishor K</v>
      </c>
      <c r="F200" s="9" t="s">
        <v>27</v>
      </c>
      <c r="G200" s="10" t="n">
        <v>-7144</v>
      </c>
      <c r="H200" s="10" t="n">
        <v>933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61</v>
      </c>
      <c r="N200" s="10" t="n">
        <v>0</v>
      </c>
      <c r="O200" s="10" t="n">
        <v>-6150</v>
      </c>
      <c r="P200" s="11"/>
      <c r="Q200" s="11"/>
      <c r="R200" s="11"/>
      <c r="S200" s="11"/>
      <c r="T200" s="12" t="str">
        <f aca="false">IF($C200="","",IFERROR(INDEX('Aisle Loss Data'!$B$2:$B$1931,MATCH(TRIM($C200)&amp;"|1",'Aisle Loss Data'!$E$2:$E$1931,0)),"No Loss")&amp;IFERROR(","&amp;INDEX('Aisle Loss Data'!$B$2:$B$1931,MATCH(TRIM($C200)&amp;"|2",'Aisle Loss Data'!$E$2:$E$1931,0)),""))</f>
        <v>B,A</v>
      </c>
      <c r="U200" s="13" t="n">
        <f aca="false">IF($C200="","",IFERROR(INDEX('Aisle Loss Data'!$C$2:$C$1931,MATCH(TRIM($C200)&amp;"|1",'Aisle Loss Data'!$E$2:$E$1931,0)),0)+IFERROR(INDEX('Aisle Loss Data'!$C$2:$C$1931,MATCH(TRIM($C200)&amp;"|2",'Aisle Loss Data'!$E$2:$E$1931,0)),0))</f>
        <v>4695.95</v>
      </c>
      <c r="V200" s="7"/>
      <c r="W200" s="7"/>
      <c r="X200" s="7"/>
      <c r="Y200" s="7"/>
      <c r="Z200" s="7"/>
    </row>
    <row r="201" customFormat="false" ht="15.75" hidden="false" customHeight="true" outlineLevel="0" collapsed="false">
      <c r="A201" s="8" t="s">
        <v>21</v>
      </c>
      <c r="B201" s="9" t="s">
        <v>22</v>
      </c>
      <c r="C201" s="8" t="s">
        <v>241</v>
      </c>
      <c r="D201" s="9" t="str">
        <f aca="false" t="array" ref="D201:D201">IF(C201="","",IFERROR(INDEX('CLM &amp; IM Mapping'!$B$2:$B$270,MATCH(TRIM(C201),'CLM &amp; IM Mapping'!$A$2:$A$270,0)),"Not Mapped"))</f>
        <v>Sundaresh S</v>
      </c>
      <c r="E201" s="9" t="str">
        <f aca="false" t="array" ref="E201:E201">IF(C201="","",IFERROR(INDEX('CLM &amp; IM Mapping'!$C$2:$C$270,MATCH(TRIM(C201),'CLM &amp; IM Mapping'!$A$2:$A$270,0)),"Not Mapped"))</f>
        <v>Un Mapped</v>
      </c>
      <c r="F201" s="9" t="s">
        <v>27</v>
      </c>
      <c r="G201" s="10" t="n">
        <v>-6726</v>
      </c>
      <c r="H201" s="10" t="n">
        <v>356</v>
      </c>
      <c r="I201" s="10" t="n">
        <v>0</v>
      </c>
      <c r="J201" s="10" t="n">
        <v>0</v>
      </c>
      <c r="K201" s="10" t="n">
        <v>64</v>
      </c>
      <c r="L201" s="10" t="n">
        <v>0</v>
      </c>
      <c r="M201" s="10" t="n">
        <v>0</v>
      </c>
      <c r="N201" s="10" t="n">
        <v>0</v>
      </c>
      <c r="O201" s="10" t="n">
        <v>-6307</v>
      </c>
      <c r="P201" s="11"/>
      <c r="Q201" s="11"/>
      <c r="R201" s="11"/>
      <c r="S201" s="11"/>
      <c r="T201" s="12" t="str">
        <f aca="false">IF($C201="","",IFERROR(INDEX('Aisle Loss Data'!$B$2:$B$1931,MATCH(TRIM($C201)&amp;"|1",'Aisle Loss Data'!$E$2:$E$1931,0)),"No Loss")&amp;IFERROR(","&amp;INDEX('Aisle Loss Data'!$B$2:$B$1931,MATCH(TRIM($C201)&amp;"|2",'Aisle Loss Data'!$E$2:$E$1931,0)),""))</f>
        <v>I</v>
      </c>
      <c r="U201" s="13" t="n">
        <f aca="false">IF($C201="","",IFERROR(INDEX('Aisle Loss Data'!$C$2:$C$1931,MATCH(TRIM($C201)&amp;"|1",'Aisle Loss Data'!$E$2:$E$1931,0)),0)+IFERROR(INDEX('Aisle Loss Data'!$C$2:$C$1931,MATCH(TRIM($C201)&amp;"|2",'Aisle Loss Data'!$E$2:$E$1931,0)),0))</f>
        <v>24.24</v>
      </c>
      <c r="V201" s="7"/>
      <c r="W201" s="7"/>
      <c r="X201" s="7"/>
      <c r="Y201" s="7"/>
      <c r="Z201" s="7"/>
    </row>
    <row r="202" customFormat="false" ht="15.75" hidden="false" customHeight="true" outlineLevel="0" collapsed="false">
      <c r="A202" s="8" t="s">
        <v>21</v>
      </c>
      <c r="B202" s="9" t="s">
        <v>145</v>
      </c>
      <c r="C202" s="8" t="s">
        <v>242</v>
      </c>
      <c r="D202" s="9" t="str">
        <f aca="false" t="array" ref="D202:D202">IF(C202="","",IFERROR(INDEX('CLM &amp; IM Mapping'!$B$2:$B$270,MATCH(TRIM(C202),'CLM &amp; IM Mapping'!$A$2:$A$270,0)),"Not Mapped"))</f>
        <v>John Britto</v>
      </c>
      <c r="E202" s="9" t="str">
        <f aca="false" t="array" ref="E202:E202">IF(C202="","",IFERROR(INDEX('CLM &amp; IM Mapping'!$C$2:$C$270,MATCH(TRIM(C202),'CLM &amp; IM Mapping'!$A$2:$A$270,0)),"Not Mapped"))</f>
        <v>Aravind S</v>
      </c>
      <c r="F202" s="9" t="s">
        <v>27</v>
      </c>
      <c r="G202" s="10" t="n">
        <v>-6360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-6360</v>
      </c>
      <c r="P202" s="11"/>
      <c r="Q202" s="11"/>
      <c r="R202" s="11"/>
      <c r="S202" s="11"/>
      <c r="T202" s="12" t="str">
        <f aca="false">IF($C202="","",IFERROR(INDEX('Aisle Loss Data'!$B$2:$B$1931,MATCH(TRIM($C202)&amp;"|1",'Aisle Loss Data'!$E$2:$E$1931,0)),"No Loss")&amp;IFERROR(","&amp;INDEX('Aisle Loss Data'!$B$2:$B$1931,MATCH(TRIM($C202)&amp;"|2",'Aisle Loss Data'!$E$2:$E$1931,0)),""))</f>
        <v>A</v>
      </c>
      <c r="U202" s="13" t="n">
        <f aca="false">IF($C202="","",IFERROR(INDEX('Aisle Loss Data'!$C$2:$C$1931,MATCH(TRIM($C202)&amp;"|1",'Aisle Loss Data'!$E$2:$E$1931,0)),0)+IFERROR(INDEX('Aisle Loss Data'!$C$2:$C$1931,MATCH(TRIM($C202)&amp;"|2",'Aisle Loss Data'!$E$2:$E$1931,0)),0))</f>
        <v>72.38</v>
      </c>
      <c r="V202" s="7"/>
      <c r="W202" s="7"/>
      <c r="X202" s="7"/>
      <c r="Y202" s="7"/>
      <c r="Z202" s="7"/>
    </row>
    <row r="203" customFormat="false" ht="15.75" hidden="false" customHeight="true" outlineLevel="0" collapsed="false">
      <c r="A203" s="8" t="s">
        <v>21</v>
      </c>
      <c r="B203" s="9" t="s">
        <v>22</v>
      </c>
      <c r="C203" s="8" t="s">
        <v>243</v>
      </c>
      <c r="D203" s="9" t="str">
        <f aca="false" t="array" ref="D203:D203">IF(C203="","",IFERROR(INDEX('CLM &amp; IM Mapping'!$B$2:$B$270,MATCH(TRIM(C203),'CLM &amp; IM Mapping'!$A$2:$A$270,0)),"Not Mapped"))</f>
        <v>Manjunatha V</v>
      </c>
      <c r="E203" s="9" t="str">
        <f aca="false" t="array" ref="E203:E203">IF(C203="","",IFERROR(INDEX('CLM &amp; IM Mapping'!$C$2:$C$270,MATCH(TRIM(C203),'CLM &amp; IM Mapping'!$A$2:$A$270,0)),"Not Mapped"))</f>
        <v>Un Mapped</v>
      </c>
      <c r="F203" s="9" t="s">
        <v>27</v>
      </c>
      <c r="G203" s="10" t="n">
        <v>-11184</v>
      </c>
      <c r="H203" s="10" t="n">
        <v>4108</v>
      </c>
      <c r="I203" s="10" t="n">
        <v>0</v>
      </c>
      <c r="J203" s="10" t="n">
        <v>0</v>
      </c>
      <c r="K203" s="10" t="n">
        <v>182</v>
      </c>
      <c r="L203" s="10" t="n">
        <v>0</v>
      </c>
      <c r="M203" s="10" t="n">
        <v>491</v>
      </c>
      <c r="N203" s="10" t="n">
        <v>0</v>
      </c>
      <c r="O203" s="10" t="n">
        <v>-6403</v>
      </c>
      <c r="P203" s="11"/>
      <c r="Q203" s="11"/>
      <c r="R203" s="11"/>
      <c r="S203" s="11"/>
      <c r="T203" s="12" t="str">
        <f aca="false">IF($C203="","",IFERROR(INDEX('Aisle Loss Data'!$B$2:$B$1931,MATCH(TRIM($C203)&amp;"|1",'Aisle Loss Data'!$E$2:$E$1931,0)),"No Loss")&amp;IFERROR(","&amp;INDEX('Aisle Loss Data'!$B$2:$B$1931,MATCH(TRIM($C203)&amp;"|2",'Aisle Loss Data'!$E$2:$E$1931,0)),""))</f>
        <v>F,H</v>
      </c>
      <c r="U203" s="13" t="n">
        <f aca="false">IF($C203="","",IFERROR(INDEX('Aisle Loss Data'!$C$2:$C$1931,MATCH(TRIM($C203)&amp;"|1",'Aisle Loss Data'!$E$2:$E$1931,0)),0)+IFERROR(INDEX('Aisle Loss Data'!$C$2:$C$1931,MATCH(TRIM($C203)&amp;"|2",'Aisle Loss Data'!$E$2:$E$1931,0)),0))</f>
        <v>4766.86</v>
      </c>
      <c r="V203" s="7"/>
      <c r="W203" s="7"/>
      <c r="X203" s="7"/>
      <c r="Y203" s="7"/>
      <c r="Z203" s="7"/>
    </row>
    <row r="204" customFormat="false" ht="15.75" hidden="false" customHeight="true" outlineLevel="0" collapsed="false">
      <c r="A204" s="8" t="s">
        <v>21</v>
      </c>
      <c r="B204" s="9" t="s">
        <v>130</v>
      </c>
      <c r="C204" s="8" t="s">
        <v>244</v>
      </c>
      <c r="D204" s="9" t="str">
        <f aca="false" t="array" ref="D204:D204">IF(C204="","",IFERROR(INDEX('CLM &amp; IM Mapping'!$B$2:$B$270,MATCH(TRIM(C204),'CLM &amp; IM Mapping'!$A$2:$A$270,0)),"Not Mapped"))</f>
        <v>Santhosha M</v>
      </c>
      <c r="E204" s="9" t="str">
        <f aca="false" t="array" ref="E204:E204">IF(C204="","",IFERROR(INDEX('CLM &amp; IM Mapping'!$C$2:$C$270,MATCH(TRIM(C204),'CLM &amp; IM Mapping'!$A$2:$A$270,0)),"Not Mapped"))</f>
        <v>Aravind S</v>
      </c>
      <c r="F204" s="9" t="s">
        <v>27</v>
      </c>
      <c r="G204" s="10" t="n">
        <v>-7967</v>
      </c>
      <c r="H204" s="10" t="n">
        <v>392</v>
      </c>
      <c r="I204" s="10" t="n">
        <v>0</v>
      </c>
      <c r="J204" s="10" t="n">
        <v>781</v>
      </c>
      <c r="K204" s="10" t="n">
        <v>380</v>
      </c>
      <c r="L204" s="10" t="n">
        <v>0</v>
      </c>
      <c r="M204" s="10" t="n">
        <v>0</v>
      </c>
      <c r="N204" s="10" t="n">
        <v>0</v>
      </c>
      <c r="O204" s="10" t="n">
        <v>-6416</v>
      </c>
      <c r="P204" s="11"/>
      <c r="Q204" s="11"/>
      <c r="R204" s="11"/>
      <c r="S204" s="11"/>
      <c r="T204" s="12" t="str">
        <f aca="false">IF($C204="","",IFERROR(INDEX('Aisle Loss Data'!$B$2:$B$1931,MATCH(TRIM($C204)&amp;"|1",'Aisle Loss Data'!$E$2:$E$1931,0)),"No Loss")&amp;IFERROR(","&amp;INDEX('Aisle Loss Data'!$B$2:$B$1931,MATCH(TRIM($C204)&amp;"|2",'Aisle Loss Data'!$E$2:$E$1931,0)),""))</f>
        <v>G,H</v>
      </c>
      <c r="U204" s="13" t="n">
        <f aca="false">IF($C204="","",IFERROR(INDEX('Aisle Loss Data'!$C$2:$C$1931,MATCH(TRIM($C204)&amp;"|1",'Aisle Loss Data'!$E$2:$E$1931,0)),0)+IFERROR(INDEX('Aisle Loss Data'!$C$2:$C$1931,MATCH(TRIM($C204)&amp;"|2",'Aisle Loss Data'!$E$2:$E$1931,0)),0))</f>
        <v>3242.92</v>
      </c>
      <c r="V204" s="7"/>
      <c r="W204" s="7"/>
      <c r="X204" s="7"/>
      <c r="Y204" s="7"/>
      <c r="Z204" s="7"/>
    </row>
    <row r="205" customFormat="false" ht="15.75" hidden="false" customHeight="true" outlineLevel="0" collapsed="false">
      <c r="A205" s="8" t="s">
        <v>21</v>
      </c>
      <c r="B205" s="9" t="s">
        <v>22</v>
      </c>
      <c r="C205" s="8" t="s">
        <v>245</v>
      </c>
      <c r="D205" s="9" t="str">
        <f aca="false" t="array" ref="D205:D205">IF(C205="","",IFERROR(INDEX('CLM &amp; IM Mapping'!$B$2:$B$270,MATCH(TRIM(C205),'CLM &amp; IM Mapping'!$A$2:$A$270,0)),"Not Mapped"))</f>
        <v>Ashwath S</v>
      </c>
      <c r="E205" s="9" t="str">
        <f aca="false" t="array" ref="E205:E205">IF(C205="","",IFERROR(INDEX('CLM &amp; IM Mapping'!$C$2:$C$270,MATCH(TRIM(C205),'CLM &amp; IM Mapping'!$A$2:$A$270,0)),"Not Mapped"))</f>
        <v>Kantha Kumar</v>
      </c>
      <c r="F205" s="9" t="s">
        <v>27</v>
      </c>
      <c r="G205" s="10" t="n">
        <v>-10079</v>
      </c>
      <c r="H205" s="10" t="n">
        <v>815</v>
      </c>
      <c r="I205" s="10" t="n">
        <v>1168</v>
      </c>
      <c r="J205" s="10" t="n">
        <v>635</v>
      </c>
      <c r="K205" s="10" t="n">
        <v>277</v>
      </c>
      <c r="L205" s="10" t="n">
        <v>0</v>
      </c>
      <c r="M205" s="10" t="n">
        <v>593</v>
      </c>
      <c r="N205" s="10" t="n">
        <v>0</v>
      </c>
      <c r="O205" s="10" t="n">
        <v>-6592</v>
      </c>
      <c r="P205" s="11"/>
      <c r="Q205" s="11"/>
      <c r="R205" s="11"/>
      <c r="S205" s="11"/>
      <c r="T205" s="12" t="str">
        <f aca="false">IF($C205="","",IFERROR(INDEX('Aisle Loss Data'!$B$2:$B$1931,MATCH(TRIM($C205)&amp;"|1",'Aisle Loss Data'!$E$2:$E$1931,0)),"No Loss")&amp;IFERROR(","&amp;INDEX('Aisle Loss Data'!$B$2:$B$1931,MATCH(TRIM($C205)&amp;"|2",'Aisle Loss Data'!$E$2:$E$1931,0)),""))</f>
        <v>D,F</v>
      </c>
      <c r="U205" s="13" t="n">
        <f aca="false">IF($C205="","",IFERROR(INDEX('Aisle Loss Data'!$C$2:$C$1931,MATCH(TRIM($C205)&amp;"|1",'Aisle Loss Data'!$E$2:$E$1931,0)),0)+IFERROR(INDEX('Aisle Loss Data'!$C$2:$C$1931,MATCH(TRIM($C205)&amp;"|2",'Aisle Loss Data'!$E$2:$E$1931,0)),0))</f>
        <v>8678.88</v>
      </c>
      <c r="V205" s="7"/>
      <c r="W205" s="7"/>
      <c r="X205" s="7"/>
      <c r="Y205" s="7"/>
      <c r="Z205" s="7"/>
    </row>
    <row r="206" customFormat="false" ht="15.75" hidden="false" customHeight="true" outlineLevel="0" collapsed="false">
      <c r="A206" s="8" t="s">
        <v>21</v>
      </c>
      <c r="B206" s="9" t="s">
        <v>221</v>
      </c>
      <c r="C206" s="8" t="s">
        <v>246</v>
      </c>
      <c r="D206" s="9" t="str">
        <f aca="false" t="array" ref="D206:D206">IF(C206="","",IFERROR(INDEX('CLM &amp; IM Mapping'!$B$2:$B$270,MATCH(TRIM(C206),'CLM &amp; IM Mapping'!$A$2:$A$270,0)),"Not Mapped"))</f>
        <v>Vishnu V</v>
      </c>
      <c r="E206" s="9" t="str">
        <f aca="false" t="array" ref="E206:E206">IF(C206="","",IFERROR(INDEX('CLM &amp; IM Mapping'!$C$2:$C$270,MATCH(TRIM(C206),'CLM &amp; IM Mapping'!$A$2:$A$270,0)),"Not Mapped"))</f>
        <v>Arivind S</v>
      </c>
      <c r="F206" s="9" t="s">
        <v>27</v>
      </c>
      <c r="G206" s="10" t="n">
        <v>-6649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-6649</v>
      </c>
      <c r="P206" s="11"/>
      <c r="Q206" s="11"/>
      <c r="R206" s="11"/>
      <c r="S206" s="11"/>
      <c r="T206" s="12" t="str">
        <f aca="false">IF($C206="","",IFERROR(INDEX('Aisle Loss Data'!$B$2:$B$1931,MATCH(TRIM($C206)&amp;"|1",'Aisle Loss Data'!$E$2:$E$1931,0)),"No Loss")&amp;IFERROR(","&amp;INDEX('Aisle Loss Data'!$B$2:$B$1931,MATCH(TRIM($C206)&amp;"|2",'Aisle Loss Data'!$E$2:$E$1931,0)),""))</f>
        <v>F,C</v>
      </c>
      <c r="U206" s="13" t="n">
        <f aca="false">IF($C206="","",IFERROR(INDEX('Aisle Loss Data'!$C$2:$C$1931,MATCH(TRIM($C206)&amp;"|1",'Aisle Loss Data'!$E$2:$E$1931,0)),0)+IFERROR(INDEX('Aisle Loss Data'!$C$2:$C$1931,MATCH(TRIM($C206)&amp;"|2",'Aisle Loss Data'!$E$2:$E$1931,0)),0))</f>
        <v>200.5</v>
      </c>
      <c r="V206" s="7"/>
      <c r="W206" s="7"/>
      <c r="X206" s="7"/>
      <c r="Y206" s="7"/>
      <c r="Z206" s="7"/>
    </row>
    <row r="207" customFormat="false" ht="15.75" hidden="false" customHeight="true" outlineLevel="0" collapsed="false">
      <c r="A207" s="8" t="s">
        <v>21</v>
      </c>
      <c r="B207" s="9" t="s">
        <v>22</v>
      </c>
      <c r="C207" s="8" t="s">
        <v>247</v>
      </c>
      <c r="D207" s="9" t="str">
        <f aca="false" t="array" ref="D207:D207">IF(C207="","",IFERROR(INDEX('CLM &amp; IM Mapping'!$B$2:$B$270,MATCH(TRIM(C207),'CLM &amp; IM Mapping'!$A$2:$A$270,0)),"Not Mapped"))</f>
        <v>Balaji G</v>
      </c>
      <c r="E207" s="9" t="str">
        <f aca="false" t="array" ref="E207:E207">IF(C207="","",IFERROR(INDEX('CLM &amp; IM Mapping'!$C$2:$C$270,MATCH(TRIM(C207),'CLM &amp; IM Mapping'!$A$2:$A$270,0)),"Not Mapped"))</f>
        <v>Mohammed Akbar</v>
      </c>
      <c r="F207" s="9" t="s">
        <v>27</v>
      </c>
      <c r="G207" s="10" t="n">
        <v>-12490</v>
      </c>
      <c r="H207" s="10" t="n">
        <v>5741</v>
      </c>
      <c r="I207" s="10" t="n">
        <v>0</v>
      </c>
      <c r="J207" s="10" t="n">
        <v>30</v>
      </c>
      <c r="K207" s="10" t="n">
        <v>0</v>
      </c>
      <c r="L207" s="10" t="n">
        <v>0</v>
      </c>
      <c r="M207" s="10" t="n">
        <v>0</v>
      </c>
      <c r="N207" s="10" t="n">
        <v>0</v>
      </c>
      <c r="O207" s="10" t="n">
        <v>-6720</v>
      </c>
      <c r="P207" s="11"/>
      <c r="Q207" s="11"/>
      <c r="R207" s="11"/>
      <c r="S207" s="11"/>
      <c r="T207" s="12" t="str">
        <f aca="false">IF($C207="","",IFERROR(INDEX('Aisle Loss Data'!$B$2:$B$1931,MATCH(TRIM($C207)&amp;"|1",'Aisle Loss Data'!$E$2:$E$1931,0)),"No Loss")&amp;IFERROR(","&amp;INDEX('Aisle Loss Data'!$B$2:$B$1931,MATCH(TRIM($C207)&amp;"|2",'Aisle Loss Data'!$E$2:$E$1931,0)),""))</f>
        <v>B,H</v>
      </c>
      <c r="U207" s="13" t="n">
        <f aca="false">IF($C207="","",IFERROR(INDEX('Aisle Loss Data'!$C$2:$C$1931,MATCH(TRIM($C207)&amp;"|1",'Aisle Loss Data'!$E$2:$E$1931,0)),0)+IFERROR(INDEX('Aisle Loss Data'!$C$2:$C$1931,MATCH(TRIM($C207)&amp;"|2",'Aisle Loss Data'!$E$2:$E$1931,0)),0))</f>
        <v>7290.43</v>
      </c>
      <c r="V207" s="7"/>
      <c r="W207" s="7"/>
      <c r="X207" s="7"/>
      <c r="Y207" s="7"/>
      <c r="Z207" s="7"/>
    </row>
    <row r="208" customFormat="false" ht="15.75" hidden="false" customHeight="true" outlineLevel="0" collapsed="false">
      <c r="A208" s="8" t="s">
        <v>21</v>
      </c>
      <c r="B208" s="9" t="s">
        <v>22</v>
      </c>
      <c r="C208" s="8" t="s">
        <v>248</v>
      </c>
      <c r="D208" s="9" t="str">
        <f aca="false" t="array" ref="D208:D208">IF(C208="","",IFERROR(INDEX('CLM &amp; IM Mapping'!$B$2:$B$270,MATCH(TRIM(C208),'CLM &amp; IM Mapping'!$A$2:$A$270,0)),"Not Mapped"))</f>
        <v>Rizwan Ahmed</v>
      </c>
      <c r="E208" s="9" t="str">
        <f aca="false" t="array" ref="E208:E208">IF(C208="","",IFERROR(INDEX('CLM &amp; IM Mapping'!$C$2:$C$270,MATCH(TRIM(C208),'CLM &amp; IM Mapping'!$A$2:$A$270,0)),"Not Mapped"))</f>
        <v>Un Mapped</v>
      </c>
      <c r="F208" s="9" t="s">
        <v>27</v>
      </c>
      <c r="G208" s="10" t="n">
        <v>-10959</v>
      </c>
      <c r="H208" s="10" t="n">
        <v>3796</v>
      </c>
      <c r="I208" s="10" t="n">
        <v>0</v>
      </c>
      <c r="J208" s="10" t="n">
        <v>260</v>
      </c>
      <c r="K208" s="10" t="n">
        <v>73</v>
      </c>
      <c r="L208" s="10" t="n">
        <v>0</v>
      </c>
      <c r="M208" s="10" t="n">
        <v>0</v>
      </c>
      <c r="N208" s="10" t="n">
        <v>0</v>
      </c>
      <c r="O208" s="10" t="n">
        <v>-6830</v>
      </c>
      <c r="P208" s="11"/>
      <c r="Q208" s="11"/>
      <c r="R208" s="11"/>
      <c r="S208" s="11"/>
      <c r="T208" s="12" t="str">
        <f aca="false">IF($C208="","",IFERROR(INDEX('Aisle Loss Data'!$B$2:$B$1931,MATCH(TRIM($C208)&amp;"|1",'Aisle Loss Data'!$E$2:$E$1931,0)),"No Loss")&amp;IFERROR(","&amp;INDEX('Aisle Loss Data'!$B$2:$B$1931,MATCH(TRIM($C208)&amp;"|2",'Aisle Loss Data'!$E$2:$E$1931,0)),""))</f>
        <v>G,A</v>
      </c>
      <c r="U208" s="13" t="n">
        <f aca="false">IF($C208="","",IFERROR(INDEX('Aisle Loss Data'!$C$2:$C$1931,MATCH(TRIM($C208)&amp;"|1",'Aisle Loss Data'!$E$2:$E$1931,0)),0)+IFERROR(INDEX('Aisle Loss Data'!$C$2:$C$1931,MATCH(TRIM($C208)&amp;"|2",'Aisle Loss Data'!$E$2:$E$1931,0)),0))</f>
        <v>5613.02</v>
      </c>
      <c r="V208" s="7"/>
      <c r="W208" s="7"/>
      <c r="X208" s="7"/>
      <c r="Y208" s="7"/>
      <c r="Z208" s="7"/>
    </row>
    <row r="209" customFormat="false" ht="15.75" hidden="false" customHeight="true" outlineLevel="0" collapsed="false">
      <c r="A209" s="8" t="s">
        <v>21</v>
      </c>
      <c r="B209" s="9" t="s">
        <v>22</v>
      </c>
      <c r="C209" s="8" t="s">
        <v>249</v>
      </c>
      <c r="D209" s="9" t="str">
        <f aca="false" t="array" ref="D209:D209">IF(C209="","",IFERROR(INDEX('CLM &amp; IM Mapping'!$B$2:$B$270,MATCH(TRIM(C209),'CLM &amp; IM Mapping'!$A$2:$A$270,0)),"Not Mapped"))</f>
        <v>Saddam Hussain</v>
      </c>
      <c r="E209" s="9" t="str">
        <f aca="false" t="array" ref="E209:E209">IF(C209="","",IFERROR(INDEX('CLM &amp; IM Mapping'!$C$2:$C$270,MATCH(TRIM(C209),'CLM &amp; IM Mapping'!$A$2:$A$270,0)),"Not Mapped"))</f>
        <v>Un Mapped</v>
      </c>
      <c r="F209" s="9" t="s">
        <v>27</v>
      </c>
      <c r="G209" s="10" t="n">
        <v>-7373</v>
      </c>
      <c r="H209" s="10" t="n">
        <v>190</v>
      </c>
      <c r="I209" s="10" t="n">
        <v>0</v>
      </c>
      <c r="J209" s="10" t="n">
        <v>0</v>
      </c>
      <c r="K209" s="10" t="n">
        <v>333</v>
      </c>
      <c r="L209" s="10" t="n">
        <v>0</v>
      </c>
      <c r="M209" s="10" t="n">
        <v>0</v>
      </c>
      <c r="N209" s="10" t="n">
        <v>0</v>
      </c>
      <c r="O209" s="10" t="n">
        <v>-6850</v>
      </c>
      <c r="P209" s="11"/>
      <c r="Q209" s="11"/>
      <c r="R209" s="11"/>
      <c r="S209" s="11"/>
      <c r="T209" s="12" t="str">
        <f aca="false">IF($C209="","",IFERROR(INDEX('Aisle Loss Data'!$B$2:$B$1931,MATCH(TRIM($C209)&amp;"|1",'Aisle Loss Data'!$E$2:$E$1931,0)),"No Loss")&amp;IFERROR(","&amp;INDEX('Aisle Loss Data'!$B$2:$B$1931,MATCH(TRIM($C209)&amp;"|2",'Aisle Loss Data'!$E$2:$E$1931,0)),""))</f>
        <v>B,J</v>
      </c>
      <c r="U209" s="13" t="n">
        <f aca="false">IF($C209="","",IFERROR(INDEX('Aisle Loss Data'!$C$2:$C$1931,MATCH(TRIM($C209)&amp;"|1",'Aisle Loss Data'!$E$2:$E$1931,0)),0)+IFERROR(INDEX('Aisle Loss Data'!$C$2:$C$1931,MATCH(TRIM($C209)&amp;"|2",'Aisle Loss Data'!$E$2:$E$1931,0)),0))</f>
        <v>280.47</v>
      </c>
      <c r="V209" s="7"/>
      <c r="W209" s="7"/>
      <c r="X209" s="7"/>
      <c r="Y209" s="7"/>
      <c r="Z209" s="7"/>
    </row>
    <row r="210" customFormat="false" ht="15.75" hidden="false" customHeight="true" outlineLevel="0" collapsed="false">
      <c r="A210" s="8" t="s">
        <v>21</v>
      </c>
      <c r="B210" s="9" t="s">
        <v>145</v>
      </c>
      <c r="C210" s="8" t="s">
        <v>250</v>
      </c>
      <c r="D210" s="9" t="str">
        <f aca="false" t="array" ref="D210:D210">IF(C210="","",IFERROR(INDEX('CLM &amp; IM Mapping'!$B$2:$B$270,MATCH(TRIM(C210),'CLM &amp; IM Mapping'!$A$2:$A$270,0)),"Not Mapped"))</f>
        <v>John Britto</v>
      </c>
      <c r="E210" s="9" t="str">
        <f aca="false" t="array" ref="E210:E210">IF(C210="","",IFERROR(INDEX('CLM &amp; IM Mapping'!$C$2:$C$270,MATCH(TRIM(C210),'CLM &amp; IM Mapping'!$A$2:$A$270,0)),"Not Mapped"))</f>
        <v>Aravind S</v>
      </c>
      <c r="F210" s="9" t="s">
        <v>27</v>
      </c>
      <c r="G210" s="10" t="n">
        <v>-7519</v>
      </c>
      <c r="H210" s="10" t="n">
        <v>299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-7220</v>
      </c>
      <c r="P210" s="11"/>
      <c r="Q210" s="11"/>
      <c r="R210" s="11"/>
      <c r="S210" s="11"/>
      <c r="T210" s="12" t="str">
        <f aca="false">IF($C210="","",IFERROR(INDEX('Aisle Loss Data'!$B$2:$B$1931,MATCH(TRIM($C210)&amp;"|1",'Aisle Loss Data'!$E$2:$E$1931,0)),"No Loss")&amp;IFERROR(","&amp;INDEX('Aisle Loss Data'!$B$2:$B$1931,MATCH(TRIM($C210)&amp;"|2",'Aisle Loss Data'!$E$2:$E$1931,0)),""))</f>
        <v>H,Q</v>
      </c>
      <c r="U210" s="13" t="n">
        <f aca="false">IF($C210="","",IFERROR(INDEX('Aisle Loss Data'!$C$2:$C$1931,MATCH(TRIM($C210)&amp;"|1",'Aisle Loss Data'!$E$2:$E$1931,0)),0)+IFERROR(INDEX('Aisle Loss Data'!$C$2:$C$1931,MATCH(TRIM($C210)&amp;"|2",'Aisle Loss Data'!$E$2:$E$1931,0)),0))</f>
        <v>3911.39</v>
      </c>
      <c r="V210" s="7"/>
      <c r="W210" s="7"/>
      <c r="X210" s="7"/>
      <c r="Y210" s="7"/>
      <c r="Z210" s="7"/>
    </row>
    <row r="211" customFormat="false" ht="15.75" hidden="false" customHeight="true" outlineLevel="0" collapsed="false">
      <c r="A211" s="8" t="s">
        <v>21</v>
      </c>
      <c r="B211" s="9" t="s">
        <v>22</v>
      </c>
      <c r="C211" s="8" t="s">
        <v>251</v>
      </c>
      <c r="D211" s="9" t="str">
        <f aca="false" t="array" ref="D211:D211">IF(C211="","",IFERROR(INDEX('CLM &amp; IM Mapping'!$B$2:$B$270,MATCH(TRIM(C211),'CLM &amp; IM Mapping'!$A$2:$A$270,0)),"Not Mapped"))</f>
        <v>Vijay M</v>
      </c>
      <c r="E211" s="9" t="str">
        <f aca="false" t="array" ref="E211:E211">IF(C211="","",IFERROR(INDEX('CLM &amp; IM Mapping'!$C$2:$C$270,MATCH(TRIM(C211),'CLM &amp; IM Mapping'!$A$2:$A$270,0)),"Not Mapped"))</f>
        <v>Kantha Kumar</v>
      </c>
      <c r="F211" s="9" t="s">
        <v>27</v>
      </c>
      <c r="G211" s="10" t="n">
        <v>-23739</v>
      </c>
      <c r="H211" s="10" t="n">
        <v>14937</v>
      </c>
      <c r="I211" s="10" t="n">
        <v>0</v>
      </c>
      <c r="J211" s="10" t="n">
        <v>322</v>
      </c>
      <c r="K211" s="10" t="n">
        <v>878</v>
      </c>
      <c r="L211" s="10" t="n">
        <v>0</v>
      </c>
      <c r="M211" s="10" t="n">
        <v>0</v>
      </c>
      <c r="N211" s="10" t="n">
        <v>0</v>
      </c>
      <c r="O211" s="10" t="n">
        <v>-7602</v>
      </c>
      <c r="P211" s="11"/>
      <c r="Q211" s="11"/>
      <c r="R211" s="11"/>
      <c r="S211" s="11"/>
      <c r="T211" s="12" t="str">
        <f aca="false">IF($C211="","",IFERROR(INDEX('Aisle Loss Data'!$B$2:$B$1931,MATCH(TRIM($C211)&amp;"|1",'Aisle Loss Data'!$E$2:$E$1931,0)),"No Loss")&amp;IFERROR(","&amp;INDEX('Aisle Loss Data'!$B$2:$B$1931,MATCH(TRIM($C211)&amp;"|2",'Aisle Loss Data'!$E$2:$E$1931,0)),""))</f>
        <v>H,I</v>
      </c>
      <c r="U211" s="13" t="n">
        <f aca="false">IF($C211="","",IFERROR(INDEX('Aisle Loss Data'!$C$2:$C$1931,MATCH(TRIM($C211)&amp;"|1",'Aisle Loss Data'!$E$2:$E$1931,0)),0)+IFERROR(INDEX('Aisle Loss Data'!$C$2:$C$1931,MATCH(TRIM($C211)&amp;"|2",'Aisle Loss Data'!$E$2:$E$1931,0)),0))</f>
        <v>19440.28</v>
      </c>
      <c r="V211" s="7"/>
      <c r="W211" s="7"/>
      <c r="X211" s="7"/>
      <c r="Y211" s="7"/>
      <c r="Z211" s="7"/>
    </row>
    <row r="212" customFormat="false" ht="15.75" hidden="false" customHeight="true" outlineLevel="0" collapsed="false">
      <c r="A212" s="8" t="s">
        <v>21</v>
      </c>
      <c r="B212" s="9" t="s">
        <v>22</v>
      </c>
      <c r="C212" s="8" t="s">
        <v>252</v>
      </c>
      <c r="D212" s="9" t="str">
        <f aca="false" t="array" ref="D212:D212">IF(C212="","",IFERROR(INDEX('CLM &amp; IM Mapping'!$B$2:$B$270,MATCH(TRIM(C212),'CLM &amp; IM Mapping'!$A$2:$A$270,0)),"Not Mapped"))</f>
        <v>Arun Raj</v>
      </c>
      <c r="E212" s="9" t="str">
        <f aca="false" t="array" ref="E212:E212">IF(C212="","",IFERROR(INDEX('CLM &amp; IM Mapping'!$C$2:$C$270,MATCH(TRIM(C212),'CLM &amp; IM Mapping'!$A$2:$A$270,0)),"Not Mapped"))</f>
        <v>Simon Manoharan</v>
      </c>
      <c r="F212" s="9" t="s">
        <v>24</v>
      </c>
      <c r="G212" s="10" t="n">
        <v>-10777</v>
      </c>
      <c r="H212" s="10" t="n">
        <v>3143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-7634</v>
      </c>
      <c r="P212" s="11"/>
      <c r="Q212" s="11"/>
      <c r="R212" s="11"/>
      <c r="S212" s="11"/>
      <c r="T212" s="12" t="str">
        <f aca="false">IF($C212="","",IFERROR(INDEX('Aisle Loss Data'!$B$2:$B$1931,MATCH(TRIM($C212)&amp;"|1",'Aisle Loss Data'!$E$2:$E$1931,0)),"No Loss")&amp;IFERROR(","&amp;INDEX('Aisle Loss Data'!$B$2:$B$1931,MATCH(TRIM($C212)&amp;"|2",'Aisle Loss Data'!$E$2:$E$1931,0)),""))</f>
        <v>MC</v>
      </c>
      <c r="U212" s="13" t="n">
        <f aca="false">IF($C212="","",IFERROR(INDEX('Aisle Loss Data'!$C$2:$C$1931,MATCH(TRIM($C212)&amp;"|1",'Aisle Loss Data'!$E$2:$E$1931,0)),0)+IFERROR(INDEX('Aisle Loss Data'!$C$2:$C$1931,MATCH(TRIM($C212)&amp;"|2",'Aisle Loss Data'!$E$2:$E$1931,0)),0))</f>
        <v>36.53</v>
      </c>
      <c r="V212" s="7"/>
      <c r="W212" s="7"/>
      <c r="X212" s="7"/>
      <c r="Y212" s="7"/>
      <c r="Z212" s="7"/>
    </row>
    <row r="213" customFormat="false" ht="15.75" hidden="false" customHeight="true" outlineLevel="0" collapsed="false">
      <c r="A213" s="8" t="s">
        <v>21</v>
      </c>
      <c r="B213" s="9" t="s">
        <v>22</v>
      </c>
      <c r="C213" s="8" t="s">
        <v>253</v>
      </c>
      <c r="D213" s="9" t="str">
        <f aca="false" t="array" ref="D213:D213">IF(C213="","",IFERROR(INDEX('CLM &amp; IM Mapping'!$B$2:$B$270,MATCH(TRIM(C213),'CLM &amp; IM Mapping'!$A$2:$A$270,0)),"Not Mapped"))</f>
        <v>Ashwath S</v>
      </c>
      <c r="E213" s="9" t="str">
        <f aca="false" t="array" ref="E213:E213">IF(C213="","",IFERROR(INDEX('CLM &amp; IM Mapping'!$C$2:$C$270,MATCH(TRIM(C213),'CLM &amp; IM Mapping'!$A$2:$A$270,0)),"Not Mapped"))</f>
        <v>Kantha Kumar</v>
      </c>
      <c r="F213" s="9" t="s">
        <v>27</v>
      </c>
      <c r="G213" s="10" t="n">
        <v>-9149</v>
      </c>
      <c r="H213" s="10" t="n">
        <v>1023</v>
      </c>
      <c r="I213" s="10" t="n">
        <v>336</v>
      </c>
      <c r="J213" s="10" t="n">
        <v>27</v>
      </c>
      <c r="K213" s="10" t="n">
        <v>56</v>
      </c>
      <c r="L213" s="10" t="n">
        <v>0</v>
      </c>
      <c r="M213" s="10" t="n">
        <v>0</v>
      </c>
      <c r="N213" s="10" t="n">
        <v>0</v>
      </c>
      <c r="O213" s="10" t="n">
        <v>-7708</v>
      </c>
      <c r="P213" s="11"/>
      <c r="Q213" s="11"/>
      <c r="R213" s="11"/>
      <c r="S213" s="11"/>
      <c r="T213" s="12" t="str">
        <f aca="false">IF($C213="","",IFERROR(INDEX('Aisle Loss Data'!$B$2:$B$1931,MATCH(TRIM($C213)&amp;"|1",'Aisle Loss Data'!$E$2:$E$1931,0)),"No Loss")&amp;IFERROR(","&amp;INDEX('Aisle Loss Data'!$B$2:$B$1931,MATCH(TRIM($C213)&amp;"|2",'Aisle Loss Data'!$E$2:$E$1931,0)),""))</f>
        <v>N,F</v>
      </c>
      <c r="U213" s="13" t="n">
        <f aca="false">IF($C213="","",IFERROR(INDEX('Aisle Loss Data'!$C$2:$C$1931,MATCH(TRIM($C213)&amp;"|1",'Aisle Loss Data'!$E$2:$E$1931,0)),0)+IFERROR(INDEX('Aisle Loss Data'!$C$2:$C$1931,MATCH(TRIM($C213)&amp;"|2",'Aisle Loss Data'!$E$2:$E$1931,0)),0))</f>
        <v>9138.35</v>
      </c>
      <c r="V213" s="7"/>
      <c r="W213" s="7"/>
      <c r="X213" s="7"/>
      <c r="Y213" s="7"/>
      <c r="Z213" s="7"/>
    </row>
    <row r="214" customFormat="false" ht="15.75" hidden="false" customHeight="true" outlineLevel="0" collapsed="false">
      <c r="A214" s="8" t="s">
        <v>21</v>
      </c>
      <c r="B214" s="9" t="s">
        <v>22</v>
      </c>
      <c r="C214" s="8" t="s">
        <v>254</v>
      </c>
      <c r="D214" s="9" t="str">
        <f aca="false" t="array" ref="D214:D214">IF(C214="","",IFERROR(INDEX('CLM &amp; IM Mapping'!$B$2:$B$270,MATCH(TRIM(C214),'CLM &amp; IM Mapping'!$A$2:$A$270,0)),"Not Mapped"))</f>
        <v>Suhas N</v>
      </c>
      <c r="E214" s="9" t="str">
        <f aca="false" t="array" ref="E214:E214">IF(C214="","",IFERROR(INDEX('CLM &amp; IM Mapping'!$C$2:$C$270,MATCH(TRIM(C214),'CLM &amp; IM Mapping'!$A$2:$A$270,0)),"Not Mapped"))</f>
        <v>Aravind S</v>
      </c>
      <c r="F214" s="9" t="s">
        <v>27</v>
      </c>
      <c r="G214" s="10" t="n">
        <v>-12944</v>
      </c>
      <c r="H214" s="10" t="n">
        <v>4491</v>
      </c>
      <c r="I214" s="10" t="n">
        <v>0</v>
      </c>
      <c r="J214" s="10" t="n">
        <v>648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-7805</v>
      </c>
      <c r="P214" s="11"/>
      <c r="Q214" s="11"/>
      <c r="R214" s="11"/>
      <c r="S214" s="11"/>
      <c r="T214" s="12" t="str">
        <f aca="false">IF($C214="","",IFERROR(INDEX('Aisle Loss Data'!$B$2:$B$1931,MATCH(TRIM($C214)&amp;"|1",'Aisle Loss Data'!$E$2:$E$1931,0)),"No Loss")&amp;IFERROR(","&amp;INDEX('Aisle Loss Data'!$B$2:$B$1931,MATCH(TRIM($C214)&amp;"|2",'Aisle Loss Data'!$E$2:$E$1931,0)),""))</f>
        <v>C,G</v>
      </c>
      <c r="U214" s="13" t="n">
        <f aca="false">IF($C214="","",IFERROR(INDEX('Aisle Loss Data'!$C$2:$C$1931,MATCH(TRIM($C214)&amp;"|1",'Aisle Loss Data'!$E$2:$E$1931,0)),0)+IFERROR(INDEX('Aisle Loss Data'!$C$2:$C$1931,MATCH(TRIM($C214)&amp;"|2",'Aisle Loss Data'!$E$2:$E$1931,0)),0))</f>
        <v>3091.31</v>
      </c>
      <c r="V214" s="7"/>
      <c r="W214" s="7"/>
      <c r="X214" s="7"/>
      <c r="Y214" s="7"/>
      <c r="Z214" s="7"/>
    </row>
    <row r="215" customFormat="false" ht="15.75" hidden="false" customHeight="true" outlineLevel="0" collapsed="false">
      <c r="A215" s="8" t="s">
        <v>21</v>
      </c>
      <c r="B215" s="9" t="s">
        <v>104</v>
      </c>
      <c r="C215" s="8" t="s">
        <v>255</v>
      </c>
      <c r="D215" s="9" t="str">
        <f aca="false" t="array" ref="D215:D215">IF(C215="","",IFERROR(INDEX('CLM &amp; IM Mapping'!$B$2:$B$270,MATCH(TRIM(C215),'CLM &amp; IM Mapping'!$A$2:$A$270,0)),"Not Mapped"))</f>
        <v>Vishnu V</v>
      </c>
      <c r="E215" s="9" t="str">
        <f aca="false" t="array" ref="E215:E215">IF(C215="","",IFERROR(INDEX('CLM &amp; IM Mapping'!$C$2:$C$270,MATCH(TRIM(C215),'CLM &amp; IM Mapping'!$A$2:$A$270,0)),"Not Mapped"))</f>
        <v>Arivind S</v>
      </c>
      <c r="F215" s="9" t="s">
        <v>27</v>
      </c>
      <c r="G215" s="10" t="n">
        <v>-19476</v>
      </c>
      <c r="H215" s="10" t="n">
        <v>6667</v>
      </c>
      <c r="I215" s="10" t="n">
        <v>1000</v>
      </c>
      <c r="J215" s="10" t="n">
        <v>0</v>
      </c>
      <c r="K215" s="10" t="n">
        <v>0</v>
      </c>
      <c r="L215" s="10" t="n">
        <v>0</v>
      </c>
      <c r="M215" s="10" t="n">
        <v>3786</v>
      </c>
      <c r="N215" s="10" t="n">
        <v>0</v>
      </c>
      <c r="O215" s="10" t="n">
        <v>-8023</v>
      </c>
      <c r="P215" s="11"/>
      <c r="Q215" s="11"/>
      <c r="R215" s="11"/>
      <c r="S215" s="11"/>
      <c r="T215" s="12" t="str">
        <f aca="false">IF($C215="","",IFERROR(INDEX('Aisle Loss Data'!$B$2:$B$1931,MATCH(TRIM($C215)&amp;"|1",'Aisle Loss Data'!$E$2:$E$1931,0)),"No Loss")&amp;IFERROR(","&amp;INDEX('Aisle Loss Data'!$B$2:$B$1931,MATCH(TRIM($C215)&amp;"|2",'Aisle Loss Data'!$E$2:$E$1931,0)),""))</f>
        <v>G,Q</v>
      </c>
      <c r="U215" s="13" t="n">
        <f aca="false">IF($C215="","",IFERROR(INDEX('Aisle Loss Data'!$C$2:$C$1931,MATCH(TRIM($C215)&amp;"|1",'Aisle Loss Data'!$E$2:$E$1931,0)),0)+IFERROR(INDEX('Aisle Loss Data'!$C$2:$C$1931,MATCH(TRIM($C215)&amp;"|2",'Aisle Loss Data'!$E$2:$E$1931,0)),0))</f>
        <v>2761.13</v>
      </c>
      <c r="V215" s="7"/>
      <c r="W215" s="7"/>
      <c r="X215" s="7"/>
      <c r="Y215" s="7"/>
      <c r="Z215" s="7"/>
    </row>
    <row r="216" customFormat="false" ht="15.75" hidden="false" customHeight="true" outlineLevel="0" collapsed="false">
      <c r="A216" s="8" t="s">
        <v>21</v>
      </c>
      <c r="B216" s="9" t="s">
        <v>22</v>
      </c>
      <c r="C216" s="9" t="s">
        <v>256</v>
      </c>
      <c r="D216" s="9" t="str">
        <f aca="false" t="array" ref="D216:D216">IF(C216="","",IFERROR(INDEX('CLM &amp; IM Mapping'!$B$2:$B$270,MATCH(TRIM(C216),'CLM &amp; IM Mapping'!$A$2:$A$270,0)),"Not Mapped"))</f>
        <v>Suhas N</v>
      </c>
      <c r="E216" s="9" t="str">
        <f aca="false" t="array" ref="E216:E216">IF(C216="","",IFERROR(INDEX('CLM &amp; IM Mapping'!$C$2:$C$270,MATCH(TRIM(C216),'CLM &amp; IM Mapping'!$A$2:$A$270,0)),"Not Mapped"))</f>
        <v>Aravind S</v>
      </c>
      <c r="F216" s="9" t="s">
        <v>27</v>
      </c>
      <c r="G216" s="10" t="n">
        <v>-23503</v>
      </c>
      <c r="H216" s="10" t="n">
        <v>12828</v>
      </c>
      <c r="I216" s="10" t="n">
        <v>0</v>
      </c>
      <c r="J216" s="10" t="n">
        <v>842</v>
      </c>
      <c r="K216" s="10" t="n">
        <v>622</v>
      </c>
      <c r="L216" s="10" t="n">
        <v>0</v>
      </c>
      <c r="M216" s="10" t="n">
        <v>1082</v>
      </c>
      <c r="N216" s="10" t="n">
        <v>19</v>
      </c>
      <c r="O216" s="10" t="n">
        <v>-8110</v>
      </c>
      <c r="P216" s="11"/>
      <c r="Q216" s="11"/>
      <c r="R216" s="11"/>
      <c r="S216" s="11"/>
      <c r="T216" s="12" t="str">
        <f aca="false">IF($C216="","",IFERROR(INDEX('Aisle Loss Data'!$B$2:$B$1931,MATCH(TRIM($C216)&amp;"|1",'Aisle Loss Data'!$E$2:$E$1931,0)),"No Loss")&amp;IFERROR(","&amp;INDEX('Aisle Loss Data'!$B$2:$B$1931,MATCH(TRIM($C216)&amp;"|2",'Aisle Loss Data'!$E$2:$E$1931,0)),""))</f>
        <v>O,P</v>
      </c>
      <c r="U216" s="13" t="n">
        <f aca="false">IF($C216="","",IFERROR(INDEX('Aisle Loss Data'!$C$2:$C$1931,MATCH(TRIM($C216)&amp;"|1",'Aisle Loss Data'!$E$2:$E$1931,0)),0)+IFERROR(INDEX('Aisle Loss Data'!$C$2:$C$1931,MATCH(TRIM($C216)&amp;"|2",'Aisle Loss Data'!$E$2:$E$1931,0)),0))</f>
        <v>15206.51</v>
      </c>
      <c r="V216" s="7"/>
      <c r="W216" s="7"/>
      <c r="X216" s="7"/>
      <c r="Y216" s="7"/>
      <c r="Z216" s="7"/>
    </row>
    <row r="217" customFormat="false" ht="15.75" hidden="false" customHeight="true" outlineLevel="0" collapsed="false">
      <c r="A217" s="8" t="s">
        <v>21</v>
      </c>
      <c r="B217" s="9" t="s">
        <v>104</v>
      </c>
      <c r="C217" s="8" t="s">
        <v>257</v>
      </c>
      <c r="D217" s="9" t="str">
        <f aca="false" t="array" ref="D217:D217">IF(C217="","",IFERROR(INDEX('CLM &amp; IM Mapping'!$B$2:$B$270,MATCH(TRIM(C217),'CLM &amp; IM Mapping'!$A$2:$A$270,0)),"Not Mapped"))</f>
        <v>Vishnu V</v>
      </c>
      <c r="E217" s="9" t="str">
        <f aca="false" t="array" ref="E217:E217">IF(C217="","",IFERROR(INDEX('CLM &amp; IM Mapping'!$C$2:$C$270,MATCH(TRIM(C217),'CLM &amp; IM Mapping'!$A$2:$A$270,0)),"Not Mapped"))</f>
        <v>Arivind S</v>
      </c>
      <c r="F217" s="9" t="s">
        <v>27</v>
      </c>
      <c r="G217" s="10" t="n">
        <v>-10069</v>
      </c>
      <c r="H217" s="10" t="n">
        <v>1068</v>
      </c>
      <c r="I217" s="10" t="n">
        <v>0</v>
      </c>
      <c r="J217" s="10" t="n">
        <v>0</v>
      </c>
      <c r="K217" s="10" t="n">
        <v>443</v>
      </c>
      <c r="L217" s="10" t="n">
        <v>0</v>
      </c>
      <c r="M217" s="10" t="n">
        <v>0</v>
      </c>
      <c r="N217" s="10" t="n">
        <v>0</v>
      </c>
      <c r="O217" s="10" t="n">
        <v>-8558</v>
      </c>
      <c r="P217" s="11"/>
      <c r="Q217" s="11"/>
      <c r="R217" s="11"/>
      <c r="S217" s="11"/>
      <c r="T217" s="12" t="str">
        <f aca="false">IF($C217="","",IFERROR(INDEX('Aisle Loss Data'!$B$2:$B$1931,MATCH(TRIM($C217)&amp;"|1",'Aisle Loss Data'!$E$2:$E$1931,0)),"No Loss")&amp;IFERROR(","&amp;INDEX('Aisle Loss Data'!$B$2:$B$1931,MATCH(TRIM($C217)&amp;"|2",'Aisle Loss Data'!$E$2:$E$1931,0)),""))</f>
        <v>F,O</v>
      </c>
      <c r="U217" s="13" t="n">
        <f aca="false">IF($C217="","",IFERROR(INDEX('Aisle Loss Data'!$C$2:$C$1931,MATCH(TRIM($C217)&amp;"|1",'Aisle Loss Data'!$E$2:$E$1931,0)),0)+IFERROR(INDEX('Aisle Loss Data'!$C$2:$C$1931,MATCH(TRIM($C217)&amp;"|2",'Aisle Loss Data'!$E$2:$E$1931,0)),0))</f>
        <v>2423.58</v>
      </c>
      <c r="V217" s="7"/>
      <c r="W217" s="7"/>
      <c r="X217" s="7"/>
      <c r="Y217" s="7"/>
      <c r="Z217" s="7"/>
    </row>
    <row r="218" customFormat="false" ht="15.75" hidden="false" customHeight="true" outlineLevel="0" collapsed="false">
      <c r="A218" s="8" t="s">
        <v>21</v>
      </c>
      <c r="B218" s="9" t="s">
        <v>99</v>
      </c>
      <c r="C218" s="8" t="s">
        <v>258</v>
      </c>
      <c r="D218" s="9" t="str">
        <f aca="false" t="array" ref="D218:D218">IF(C218="","",IFERROR(INDEX('CLM &amp; IM Mapping'!$B$2:$B$270,MATCH(TRIM(C218),'CLM &amp; IM Mapping'!$A$2:$A$270,0)),"Not Mapped"))</f>
        <v>Bangareppa CS</v>
      </c>
      <c r="E218" s="9" t="str">
        <f aca="false" t="array" ref="E218:E218">IF(C218="","",IFERROR(INDEX('CLM &amp; IM Mapping'!$C$2:$C$270,MATCH(TRIM(C218),'CLM &amp; IM Mapping'!$A$2:$A$270,0)),"Not Mapped"))</f>
        <v>Kishor K</v>
      </c>
      <c r="F218" s="9" t="s">
        <v>27</v>
      </c>
      <c r="G218" s="10" t="n">
        <v>-15646</v>
      </c>
      <c r="H218" s="10" t="n">
        <v>5885</v>
      </c>
      <c r="I218" s="10" t="n">
        <v>641</v>
      </c>
      <c r="J218" s="10" t="n">
        <v>0</v>
      </c>
      <c r="K218" s="10" t="n">
        <v>555</v>
      </c>
      <c r="L218" s="10" t="n">
        <v>0</v>
      </c>
      <c r="M218" s="10" t="n">
        <v>0</v>
      </c>
      <c r="N218" s="10" t="n">
        <v>0</v>
      </c>
      <c r="O218" s="10" t="n">
        <v>-8566</v>
      </c>
      <c r="P218" s="11"/>
      <c r="Q218" s="11"/>
      <c r="R218" s="11"/>
      <c r="S218" s="11"/>
      <c r="T218" s="12" t="str">
        <f aca="false">IF($C218="","",IFERROR(INDEX('Aisle Loss Data'!$B$2:$B$1931,MATCH(TRIM($C218)&amp;"|1",'Aisle Loss Data'!$E$2:$E$1931,0)),"No Loss")&amp;IFERROR(","&amp;INDEX('Aisle Loss Data'!$B$2:$B$1931,MATCH(TRIM($C218)&amp;"|2",'Aisle Loss Data'!$E$2:$E$1931,0)),""))</f>
        <v>N,D</v>
      </c>
      <c r="U218" s="13" t="n">
        <f aca="false">IF($C218="","",IFERROR(INDEX('Aisle Loss Data'!$C$2:$C$1931,MATCH(TRIM($C218)&amp;"|1",'Aisle Loss Data'!$E$2:$E$1931,0)),0)+IFERROR(INDEX('Aisle Loss Data'!$C$2:$C$1931,MATCH(TRIM($C218)&amp;"|2",'Aisle Loss Data'!$E$2:$E$1931,0)),0))</f>
        <v>1185.69</v>
      </c>
      <c r="V218" s="7"/>
      <c r="W218" s="7"/>
      <c r="X218" s="7"/>
      <c r="Y218" s="7"/>
      <c r="Z218" s="7"/>
    </row>
    <row r="219" customFormat="false" ht="15.75" hidden="false" customHeight="true" outlineLevel="0" collapsed="false">
      <c r="A219" s="8" t="s">
        <v>21</v>
      </c>
      <c r="B219" s="9" t="s">
        <v>22</v>
      </c>
      <c r="C219" s="8" t="s">
        <v>259</v>
      </c>
      <c r="D219" s="9" t="str">
        <f aca="false" t="array" ref="D219:D219">IF(C219="","",IFERROR(INDEX('CLM &amp; IM Mapping'!$B$2:$B$270,MATCH(TRIM(C219),'CLM &amp; IM Mapping'!$A$2:$A$270,0)),"Not Mapped"))</f>
        <v>Raghavendra Vernekar</v>
      </c>
      <c r="E219" s="9" t="str">
        <f aca="false" t="array" ref="E219:E219">IF(C219="","",IFERROR(INDEX('CLM &amp; IM Mapping'!$C$2:$C$270,MATCH(TRIM(C219),'CLM &amp; IM Mapping'!$A$2:$A$270,0)),"Not Mapped"))</f>
        <v>Prakash BS</v>
      </c>
      <c r="F219" s="9" t="s">
        <v>27</v>
      </c>
      <c r="G219" s="10" t="n">
        <v>-11983</v>
      </c>
      <c r="H219" s="10" t="n">
        <v>2784</v>
      </c>
      <c r="I219" s="10" t="n">
        <v>0</v>
      </c>
      <c r="J219" s="10" t="n">
        <v>0</v>
      </c>
      <c r="K219" s="10" t="n">
        <v>346</v>
      </c>
      <c r="L219" s="10" t="n">
        <v>0</v>
      </c>
      <c r="M219" s="10" t="n">
        <v>0</v>
      </c>
      <c r="N219" s="10" t="n">
        <v>0</v>
      </c>
      <c r="O219" s="10" t="n">
        <v>-8853</v>
      </c>
      <c r="P219" s="11"/>
      <c r="Q219" s="11"/>
      <c r="R219" s="11"/>
      <c r="S219" s="11"/>
      <c r="T219" s="12" t="str">
        <f aca="false">IF($C219="","",IFERROR(INDEX('Aisle Loss Data'!$B$2:$B$1931,MATCH(TRIM($C219)&amp;"|1",'Aisle Loss Data'!$E$2:$E$1931,0)),"No Loss")&amp;IFERROR(","&amp;INDEX('Aisle Loss Data'!$B$2:$B$1931,MATCH(TRIM($C219)&amp;"|2",'Aisle Loss Data'!$E$2:$E$1931,0)),""))</f>
        <v>B,A</v>
      </c>
      <c r="U219" s="13" t="n">
        <f aca="false">IF($C219="","",IFERROR(INDEX('Aisle Loss Data'!$C$2:$C$1931,MATCH(TRIM($C219)&amp;"|1",'Aisle Loss Data'!$E$2:$E$1931,0)),0)+IFERROR(INDEX('Aisle Loss Data'!$C$2:$C$1931,MATCH(TRIM($C219)&amp;"|2",'Aisle Loss Data'!$E$2:$E$1931,0)),0))</f>
        <v>2132.94</v>
      </c>
      <c r="V219" s="7"/>
      <c r="W219" s="7"/>
      <c r="X219" s="7"/>
      <c r="Y219" s="7"/>
      <c r="Z219" s="7"/>
    </row>
    <row r="220" customFormat="false" ht="15.75" hidden="false" customHeight="true" outlineLevel="0" collapsed="false">
      <c r="A220" s="8" t="s">
        <v>21</v>
      </c>
      <c r="B220" s="9" t="s">
        <v>22</v>
      </c>
      <c r="C220" s="8" t="s">
        <v>260</v>
      </c>
      <c r="D220" s="9" t="str">
        <f aca="false" t="array" ref="D220:D220">IF(C220="","",IFERROR(INDEX('CLM &amp; IM Mapping'!$B$2:$B$270,MATCH(TRIM(C220),'CLM &amp; IM Mapping'!$A$2:$A$270,0)),"Not Mapped"))</f>
        <v>Silambarasan E</v>
      </c>
      <c r="E220" s="9" t="str">
        <f aca="false" t="array" ref="E220:E220">IF(C220="","",IFERROR(INDEX('CLM &amp; IM Mapping'!$C$2:$C$270,MATCH(TRIM(C220),'CLM &amp; IM Mapping'!$A$2:$A$270,0)),"Not Mapped"))</f>
        <v>Arivind S</v>
      </c>
      <c r="F220" s="9" t="s">
        <v>27</v>
      </c>
      <c r="G220" s="10" t="n">
        <v>-19351</v>
      </c>
      <c r="H220" s="10" t="n">
        <v>9488</v>
      </c>
      <c r="I220" s="10" t="n">
        <v>179</v>
      </c>
      <c r="J220" s="10" t="n">
        <v>43</v>
      </c>
      <c r="K220" s="10" t="n">
        <v>471</v>
      </c>
      <c r="L220" s="10" t="n">
        <v>0</v>
      </c>
      <c r="M220" s="10" t="n">
        <v>0</v>
      </c>
      <c r="N220" s="10" t="n">
        <v>0</v>
      </c>
      <c r="O220" s="10" t="n">
        <v>-9170</v>
      </c>
      <c r="P220" s="11"/>
      <c r="Q220" s="11"/>
      <c r="R220" s="11"/>
      <c r="S220" s="11"/>
      <c r="T220" s="12" t="str">
        <f aca="false">IF($C220="","",IFERROR(INDEX('Aisle Loss Data'!$B$2:$B$1931,MATCH(TRIM($C220)&amp;"|1",'Aisle Loss Data'!$E$2:$E$1931,0)),"No Loss")&amp;IFERROR(","&amp;INDEX('Aisle Loss Data'!$B$2:$B$1931,MATCH(TRIM($C220)&amp;"|2",'Aisle Loss Data'!$E$2:$E$1931,0)),""))</f>
        <v>I,A</v>
      </c>
      <c r="U220" s="13" t="n">
        <f aca="false">IF($C220="","",IFERROR(INDEX('Aisle Loss Data'!$C$2:$C$1931,MATCH(TRIM($C220)&amp;"|1",'Aisle Loss Data'!$E$2:$E$1931,0)),0)+IFERROR(INDEX('Aisle Loss Data'!$C$2:$C$1931,MATCH(TRIM($C220)&amp;"|2",'Aisle Loss Data'!$E$2:$E$1931,0)),0))</f>
        <v>3468.61</v>
      </c>
      <c r="V220" s="7"/>
      <c r="W220" s="7"/>
      <c r="X220" s="7"/>
      <c r="Y220" s="7"/>
      <c r="Z220" s="7"/>
    </row>
    <row r="221" customFormat="false" ht="15.75" hidden="false" customHeight="true" outlineLevel="0" collapsed="false">
      <c r="A221" s="8" t="s">
        <v>21</v>
      </c>
      <c r="B221" s="9" t="s">
        <v>145</v>
      </c>
      <c r="C221" s="8" t="s">
        <v>261</v>
      </c>
      <c r="D221" s="9" t="str">
        <f aca="false" t="array" ref="D221:D221">IF(C221="","",IFERROR(INDEX('CLM &amp; IM Mapping'!$B$2:$B$270,MATCH(TRIM(C221),'CLM &amp; IM Mapping'!$A$2:$A$270,0)),"Not Mapped"))</f>
        <v>John Britto</v>
      </c>
      <c r="E221" s="9" t="str">
        <f aca="false" t="array" ref="E221:E221">IF(C221="","",IFERROR(INDEX('CLM &amp; IM Mapping'!$C$2:$C$270,MATCH(TRIM(C221),'CLM &amp; IM Mapping'!$A$2:$A$270,0)),"Not Mapped"))</f>
        <v>Aravind S</v>
      </c>
      <c r="F221" s="9" t="s">
        <v>27</v>
      </c>
      <c r="G221" s="10" t="n">
        <v>-11910</v>
      </c>
      <c r="H221" s="10" t="n">
        <v>2411</v>
      </c>
      <c r="I221" s="10" t="n">
        <v>0</v>
      </c>
      <c r="J221" s="10" t="n">
        <v>0</v>
      </c>
      <c r="K221" s="10" t="n">
        <v>246</v>
      </c>
      <c r="L221" s="10" t="n">
        <v>0</v>
      </c>
      <c r="M221" s="10" t="n">
        <v>0</v>
      </c>
      <c r="N221" s="10" t="n">
        <v>0</v>
      </c>
      <c r="O221" s="10" t="n">
        <v>-9253</v>
      </c>
      <c r="P221" s="11"/>
      <c r="Q221" s="11"/>
      <c r="R221" s="11"/>
      <c r="S221" s="11"/>
      <c r="T221" s="12" t="str">
        <f aca="false">IF($C221="","",IFERROR(INDEX('Aisle Loss Data'!$B$2:$B$1931,MATCH(TRIM($C221)&amp;"|1",'Aisle Loss Data'!$E$2:$E$1931,0)),"No Loss")&amp;IFERROR(","&amp;INDEX('Aisle Loss Data'!$B$2:$B$1931,MATCH(TRIM($C221)&amp;"|2",'Aisle Loss Data'!$E$2:$E$1931,0)),""))</f>
        <v>C,M</v>
      </c>
      <c r="U221" s="13" t="n">
        <f aca="false">IF($C221="","",IFERROR(INDEX('Aisle Loss Data'!$C$2:$C$1931,MATCH(TRIM($C221)&amp;"|1",'Aisle Loss Data'!$E$2:$E$1931,0)),0)+IFERROR(INDEX('Aisle Loss Data'!$C$2:$C$1931,MATCH(TRIM($C221)&amp;"|2",'Aisle Loss Data'!$E$2:$E$1931,0)),0))</f>
        <v>7345.14</v>
      </c>
      <c r="V221" s="7"/>
      <c r="W221" s="7"/>
      <c r="X221" s="7"/>
      <c r="Y221" s="7"/>
      <c r="Z221" s="7"/>
    </row>
    <row r="222" customFormat="false" ht="15.75" hidden="false" customHeight="true" outlineLevel="0" collapsed="false">
      <c r="A222" s="8" t="s">
        <v>21</v>
      </c>
      <c r="B222" s="9" t="s">
        <v>22</v>
      </c>
      <c r="C222" s="8" t="s">
        <v>262</v>
      </c>
      <c r="D222" s="9" t="str">
        <f aca="false" t="array" ref="D222:D222">IF(C222="","",IFERROR(INDEX('CLM &amp; IM Mapping'!$B$2:$B$270,MATCH(TRIM(C222),'CLM &amp; IM Mapping'!$A$2:$A$270,0)),"Not Mapped"))</f>
        <v>MH</v>
      </c>
      <c r="E222" s="9" t="str">
        <f aca="false" t="array" ref="E222:E222">IF(C222="","",IFERROR(INDEX('CLM &amp; IM Mapping'!$C$2:$C$270,MATCH(TRIM(C222),'CLM &amp; IM Mapping'!$A$2:$A$270,0)),"Not Mapped"))</f>
        <v>MH</v>
      </c>
      <c r="F222" s="9" t="s">
        <v>27</v>
      </c>
      <c r="G222" s="10" t="n">
        <v>-10316</v>
      </c>
      <c r="H222" s="10" t="n">
        <v>0</v>
      </c>
      <c r="I222" s="10" t="n">
        <v>0</v>
      </c>
      <c r="J222" s="10" t="n">
        <v>0</v>
      </c>
      <c r="K222" s="10" t="n">
        <v>953</v>
      </c>
      <c r="L222" s="10" t="n">
        <v>0</v>
      </c>
      <c r="M222" s="10" t="n">
        <v>0</v>
      </c>
      <c r="N222" s="10" t="n">
        <v>0</v>
      </c>
      <c r="O222" s="10" t="n">
        <v>-9363</v>
      </c>
      <c r="P222" s="11"/>
      <c r="Q222" s="11"/>
      <c r="R222" s="11"/>
      <c r="S222" s="11"/>
      <c r="T222" s="12" t="str">
        <f aca="false">IF($C222="","",IFERROR(INDEX('Aisle Loss Data'!$B$2:$B$1931,MATCH(TRIM($C222)&amp;"|1",'Aisle Loss Data'!$E$2:$E$1931,0)),"No Loss")&amp;IFERROR(","&amp;INDEX('Aisle Loss Data'!$B$2:$B$1931,MATCH(TRIM($C222)&amp;"|2",'Aisle Loss Data'!$E$2:$E$1931,0)),""))</f>
        <v>No Loss</v>
      </c>
      <c r="U222" s="13" t="n">
        <f aca="false">IF($C222="","",IFERROR(INDEX('Aisle Loss Data'!$C$2:$C$1931,MATCH(TRIM($C222)&amp;"|1",'Aisle Loss Data'!$E$2:$E$1931,0)),0)+IFERROR(INDEX('Aisle Loss Data'!$C$2:$C$1931,MATCH(TRIM($C222)&amp;"|2",'Aisle Loss Data'!$E$2:$E$1931,0)),0))</f>
        <v>0</v>
      </c>
      <c r="V222" s="7"/>
      <c r="W222" s="7"/>
      <c r="X222" s="7"/>
      <c r="Y222" s="7"/>
      <c r="Z222" s="7"/>
    </row>
    <row r="223" customFormat="false" ht="15.75" hidden="false" customHeight="true" outlineLevel="0" collapsed="false">
      <c r="A223" s="8" t="s">
        <v>21</v>
      </c>
      <c r="B223" s="9" t="s">
        <v>104</v>
      </c>
      <c r="C223" s="8" t="s">
        <v>263</v>
      </c>
      <c r="D223" s="9" t="str">
        <f aca="false" t="array" ref="D223:D223">IF(C223="","",IFERROR(INDEX('CLM &amp; IM Mapping'!$B$2:$B$270,MATCH(TRIM(C223),'CLM &amp; IM Mapping'!$A$2:$A$270,0)),"Not Mapped"))</f>
        <v>Vishnu V</v>
      </c>
      <c r="E223" s="9" t="str">
        <f aca="false" t="array" ref="E223:E223">IF(C223="","",IFERROR(INDEX('CLM &amp; IM Mapping'!$C$2:$C$270,MATCH(TRIM(C223),'CLM &amp; IM Mapping'!$A$2:$A$270,0)),"Not Mapped"))</f>
        <v>Arivind S</v>
      </c>
      <c r="F223" s="9" t="s">
        <v>27</v>
      </c>
      <c r="G223" s="10" t="n">
        <v>-17880</v>
      </c>
      <c r="H223" s="10" t="n">
        <v>6443</v>
      </c>
      <c r="I223" s="10" t="n">
        <v>624</v>
      </c>
      <c r="J223" s="10" t="n">
        <v>74</v>
      </c>
      <c r="K223" s="10" t="n">
        <v>509</v>
      </c>
      <c r="L223" s="10" t="n">
        <v>0</v>
      </c>
      <c r="M223" s="10" t="n">
        <v>0</v>
      </c>
      <c r="N223" s="10" t="n">
        <v>0</v>
      </c>
      <c r="O223" s="10" t="n">
        <v>-10230</v>
      </c>
      <c r="P223" s="11"/>
      <c r="Q223" s="11"/>
      <c r="R223" s="11"/>
      <c r="S223" s="11"/>
      <c r="T223" s="12" t="str">
        <f aca="false">IF($C223="","",IFERROR(INDEX('Aisle Loss Data'!$B$2:$B$1931,MATCH(TRIM($C223)&amp;"|1",'Aisle Loss Data'!$E$2:$E$1931,0)),"No Loss")&amp;IFERROR(","&amp;INDEX('Aisle Loss Data'!$B$2:$B$1931,MATCH(TRIM($C223)&amp;"|2",'Aisle Loss Data'!$E$2:$E$1931,0)),""))</f>
        <v>G,H</v>
      </c>
      <c r="U223" s="13" t="n">
        <f aca="false">IF($C223="","",IFERROR(INDEX('Aisle Loss Data'!$C$2:$C$1931,MATCH(TRIM($C223)&amp;"|1",'Aisle Loss Data'!$E$2:$E$1931,0)),0)+IFERROR(INDEX('Aisle Loss Data'!$C$2:$C$1931,MATCH(TRIM($C223)&amp;"|2",'Aisle Loss Data'!$E$2:$E$1931,0)),0))</f>
        <v>9423.41</v>
      </c>
      <c r="V223" s="7"/>
      <c r="W223" s="7"/>
      <c r="X223" s="7"/>
      <c r="Y223" s="7"/>
      <c r="Z223" s="7"/>
    </row>
    <row r="224" customFormat="false" ht="15.75" hidden="false" customHeight="true" outlineLevel="0" collapsed="false">
      <c r="A224" s="8" t="s">
        <v>21</v>
      </c>
      <c r="B224" s="9" t="s">
        <v>22</v>
      </c>
      <c r="C224" s="8" t="s">
        <v>264</v>
      </c>
      <c r="D224" s="9" t="str">
        <f aca="false" t="array" ref="D224:D224">IF(C224="","",IFERROR(INDEX('CLM &amp; IM Mapping'!$B$2:$B$270,MATCH(TRIM(C224),'CLM &amp; IM Mapping'!$A$2:$A$270,0)),"Not Mapped"))</f>
        <v>Arun Raj</v>
      </c>
      <c r="E224" s="9" t="str">
        <f aca="false" t="array" ref="E224:E224">IF(C224="","",IFERROR(INDEX('CLM &amp; IM Mapping'!$C$2:$C$270,MATCH(TRIM(C224),'CLM &amp; IM Mapping'!$A$2:$A$270,0)),"Not Mapped"))</f>
        <v>Simon Manoharan</v>
      </c>
      <c r="F224" s="9" t="s">
        <v>24</v>
      </c>
      <c r="G224" s="10" t="n">
        <v>-10970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-10970</v>
      </c>
      <c r="P224" s="11"/>
      <c r="Q224" s="11"/>
      <c r="R224" s="11"/>
      <c r="S224" s="11"/>
      <c r="T224" s="12" t="str">
        <f aca="false">IF($C224="","",IFERROR(INDEX('Aisle Loss Data'!$B$2:$B$1931,MATCH(TRIM($C224)&amp;"|1",'Aisle Loss Data'!$E$2:$E$1931,0)),"No Loss")&amp;IFERROR(","&amp;INDEX('Aisle Loss Data'!$B$2:$B$1931,MATCH(TRIM($C224)&amp;"|2",'Aisle Loss Data'!$E$2:$E$1931,0)),""))</f>
        <v>O,N</v>
      </c>
      <c r="U224" s="13" t="n">
        <f aca="false">IF($C224="","",IFERROR(INDEX('Aisle Loss Data'!$C$2:$C$1931,MATCH(TRIM($C224)&amp;"|1",'Aisle Loss Data'!$E$2:$E$1931,0)),0)+IFERROR(INDEX('Aisle Loss Data'!$C$2:$C$1931,MATCH(TRIM($C224)&amp;"|2",'Aisle Loss Data'!$E$2:$E$1931,0)),0))</f>
        <v>979.53</v>
      </c>
      <c r="V224" s="7"/>
      <c r="W224" s="7"/>
      <c r="X224" s="7"/>
      <c r="Y224" s="7"/>
      <c r="Z224" s="7"/>
    </row>
    <row r="225" customFormat="false" ht="15.75" hidden="false" customHeight="true" outlineLevel="0" collapsed="false">
      <c r="A225" s="8" t="s">
        <v>21</v>
      </c>
      <c r="B225" s="9" t="s">
        <v>22</v>
      </c>
      <c r="C225" s="8" t="s">
        <v>265</v>
      </c>
      <c r="D225" s="9" t="str">
        <f aca="false" t="array" ref="D225:D225">IF(C225="","",IFERROR(INDEX('CLM &amp; IM Mapping'!$B$2:$B$270,MATCH(TRIM(C225),'CLM &amp; IM Mapping'!$A$2:$A$270,0)),"Not Mapped"))</f>
        <v>Akshay P</v>
      </c>
      <c r="E225" s="9" t="str">
        <f aca="false" t="array" ref="E225:E225">IF(C225="","",IFERROR(INDEX('CLM &amp; IM Mapping'!$C$2:$C$270,MATCH(TRIM(C225),'CLM &amp; IM Mapping'!$A$2:$A$270,0)),"Not Mapped"))</f>
        <v>Srittam Dhal</v>
      </c>
      <c r="F225" s="9" t="s">
        <v>27</v>
      </c>
      <c r="G225" s="10" t="n">
        <v>-11107</v>
      </c>
      <c r="H225" s="10" t="n">
        <v>0</v>
      </c>
      <c r="I225" s="10" t="n">
        <v>0</v>
      </c>
      <c r="J225" s="10" t="n">
        <v>0</v>
      </c>
      <c r="K225" s="10" t="n">
        <v>48</v>
      </c>
      <c r="L225" s="10" t="n">
        <v>0</v>
      </c>
      <c r="M225" s="10" t="n">
        <v>0</v>
      </c>
      <c r="N225" s="10" t="n">
        <v>0</v>
      </c>
      <c r="O225" s="10" t="n">
        <v>-11059</v>
      </c>
      <c r="P225" s="11"/>
      <c r="Q225" s="11"/>
      <c r="R225" s="11"/>
      <c r="S225" s="11"/>
      <c r="T225" s="12" t="str">
        <f aca="false">IF($C225="","",IFERROR(INDEX('Aisle Loss Data'!$B$2:$B$1931,MATCH(TRIM($C225)&amp;"|1",'Aisle Loss Data'!$E$2:$E$1931,0)),"No Loss")&amp;IFERROR(","&amp;INDEX('Aisle Loss Data'!$B$2:$B$1931,MATCH(TRIM($C225)&amp;"|2",'Aisle Loss Data'!$E$2:$E$1931,0)),""))</f>
        <v>H,1</v>
      </c>
      <c r="U225" s="13" t="n">
        <f aca="false">IF($C225="","",IFERROR(INDEX('Aisle Loss Data'!$C$2:$C$1931,MATCH(TRIM($C225)&amp;"|1",'Aisle Loss Data'!$E$2:$E$1931,0)),0)+IFERROR(INDEX('Aisle Loss Data'!$C$2:$C$1931,MATCH(TRIM($C225)&amp;"|2",'Aisle Loss Data'!$E$2:$E$1931,0)),0))</f>
        <v>2218.47</v>
      </c>
      <c r="V225" s="7"/>
      <c r="W225" s="7"/>
      <c r="X225" s="7"/>
      <c r="Y225" s="7"/>
      <c r="Z225" s="7"/>
    </row>
    <row r="226" customFormat="false" ht="15.75" hidden="false" customHeight="true" outlineLevel="0" collapsed="false">
      <c r="A226" s="8" t="s">
        <v>21</v>
      </c>
      <c r="B226" s="9" t="s">
        <v>22</v>
      </c>
      <c r="C226" s="8" t="s">
        <v>266</v>
      </c>
      <c r="D226" s="9" t="str">
        <f aca="false" t="array" ref="D226:D226">IF(C226="","",IFERROR(INDEX('CLM &amp; IM Mapping'!$B$2:$B$270,MATCH(TRIM(C226),'CLM &amp; IM Mapping'!$A$2:$A$270,0)),"Not Mapped"))</f>
        <v>Sundaresh S</v>
      </c>
      <c r="E226" s="9" t="str">
        <f aca="false" t="array" ref="E226:E226">IF(C226="","",IFERROR(INDEX('CLM &amp; IM Mapping'!$C$2:$C$270,MATCH(TRIM(C226),'CLM &amp; IM Mapping'!$A$2:$A$270,0)),"Not Mapped"))</f>
        <v>Un Mapped</v>
      </c>
      <c r="F226" s="9" t="s">
        <v>27</v>
      </c>
      <c r="G226" s="10" t="n">
        <v>-14078</v>
      </c>
      <c r="H226" s="10" t="n">
        <v>1038</v>
      </c>
      <c r="I226" s="10" t="n">
        <v>0</v>
      </c>
      <c r="J226" s="10" t="n">
        <v>0</v>
      </c>
      <c r="K226" s="10" t="n">
        <v>62</v>
      </c>
      <c r="L226" s="10" t="n">
        <v>0</v>
      </c>
      <c r="M226" s="10" t="n">
        <v>1375</v>
      </c>
      <c r="N226" s="10" t="n">
        <v>506</v>
      </c>
      <c r="O226" s="10" t="n">
        <v>-11098</v>
      </c>
      <c r="P226" s="11"/>
      <c r="Q226" s="11"/>
      <c r="R226" s="11"/>
      <c r="S226" s="11"/>
      <c r="T226" s="12" t="str">
        <f aca="false">IF($C226="","",IFERROR(INDEX('Aisle Loss Data'!$B$2:$B$1931,MATCH(TRIM($C226)&amp;"|1",'Aisle Loss Data'!$E$2:$E$1931,0)),"No Loss")&amp;IFERROR(","&amp;INDEX('Aisle Loss Data'!$B$2:$B$1931,MATCH(TRIM($C226)&amp;"|2",'Aisle Loss Data'!$E$2:$E$1931,0)),""))</f>
        <v>F,E</v>
      </c>
      <c r="U226" s="13" t="n">
        <f aca="false">IF($C226="","",IFERROR(INDEX('Aisle Loss Data'!$C$2:$C$1931,MATCH(TRIM($C226)&amp;"|1",'Aisle Loss Data'!$E$2:$E$1931,0)),0)+IFERROR(INDEX('Aisle Loss Data'!$C$2:$C$1931,MATCH(TRIM($C226)&amp;"|2",'Aisle Loss Data'!$E$2:$E$1931,0)),0))</f>
        <v>1108.36</v>
      </c>
      <c r="V226" s="7"/>
      <c r="W226" s="7"/>
      <c r="X226" s="7"/>
      <c r="Y226" s="7"/>
      <c r="Z226" s="7"/>
    </row>
    <row r="227" customFormat="false" ht="15.75" hidden="false" customHeight="true" outlineLevel="0" collapsed="false">
      <c r="A227" s="8" t="s">
        <v>21</v>
      </c>
      <c r="B227" s="9" t="s">
        <v>22</v>
      </c>
      <c r="C227" s="8" t="s">
        <v>267</v>
      </c>
      <c r="D227" s="9" t="str">
        <f aca="false" t="array" ref="D227:D227">IF(C227="","",IFERROR(INDEX('CLM &amp; IM Mapping'!$B$2:$B$270,MATCH(TRIM(C227),'CLM &amp; IM Mapping'!$A$2:$A$270,0)),"Not Mapped"))</f>
        <v>Raghavendra Vernekar</v>
      </c>
      <c r="E227" s="9" t="str">
        <f aca="false" t="array" ref="E227:E227">IF(C227="","",IFERROR(INDEX('CLM &amp; IM Mapping'!$C$2:$C$270,MATCH(TRIM(C227),'CLM &amp; IM Mapping'!$A$2:$A$270,0)),"Not Mapped"))</f>
        <v>Prakash BS</v>
      </c>
      <c r="F227" s="9" t="s">
        <v>27</v>
      </c>
      <c r="G227" s="10" t="n">
        <v>-13071</v>
      </c>
      <c r="H227" s="10" t="n">
        <v>1396</v>
      </c>
      <c r="I227" s="10" t="n">
        <v>0</v>
      </c>
      <c r="J227" s="10" t="n">
        <v>232</v>
      </c>
      <c r="K227" s="10" t="n">
        <v>107</v>
      </c>
      <c r="L227" s="10" t="n">
        <v>0</v>
      </c>
      <c r="M227" s="10" t="n">
        <v>54</v>
      </c>
      <c r="N227" s="10" t="n">
        <v>0</v>
      </c>
      <c r="O227" s="10" t="n">
        <v>-11283</v>
      </c>
      <c r="P227" s="11"/>
      <c r="Q227" s="11"/>
      <c r="R227" s="11"/>
      <c r="S227" s="11"/>
      <c r="T227" s="12" t="str">
        <f aca="false">IF($C227="","",IFERROR(INDEX('Aisle Loss Data'!$B$2:$B$1931,MATCH(TRIM($C227)&amp;"|1",'Aisle Loss Data'!$E$2:$E$1931,0)),"No Loss")&amp;IFERROR(","&amp;INDEX('Aisle Loss Data'!$B$2:$B$1931,MATCH(TRIM($C227)&amp;"|2",'Aisle Loss Data'!$E$2:$E$1931,0)),""))</f>
        <v>H,G</v>
      </c>
      <c r="U227" s="13" t="n">
        <f aca="false">IF($C227="","",IFERROR(INDEX('Aisle Loss Data'!$C$2:$C$1931,MATCH(TRIM($C227)&amp;"|1",'Aisle Loss Data'!$E$2:$E$1931,0)),0)+IFERROR(INDEX('Aisle Loss Data'!$C$2:$C$1931,MATCH(TRIM($C227)&amp;"|2",'Aisle Loss Data'!$E$2:$E$1931,0)),0))</f>
        <v>6924.3</v>
      </c>
      <c r="V227" s="7"/>
      <c r="W227" s="7"/>
      <c r="X227" s="7"/>
      <c r="Y227" s="7"/>
      <c r="Z227" s="7"/>
    </row>
    <row r="228" customFormat="false" ht="15.75" hidden="false" customHeight="true" outlineLevel="0" collapsed="false">
      <c r="A228" s="8" t="s">
        <v>21</v>
      </c>
      <c r="B228" s="9" t="s">
        <v>22</v>
      </c>
      <c r="C228" s="8" t="s">
        <v>268</v>
      </c>
      <c r="D228" s="9" t="str">
        <f aca="false" t="array" ref="D228:D228">IF(C228="","",IFERROR(INDEX('CLM &amp; IM Mapping'!$B$2:$B$270,MATCH(TRIM(C228),'CLM &amp; IM Mapping'!$A$2:$A$270,0)),"Not Mapped"))</f>
        <v>Balaji G</v>
      </c>
      <c r="E228" s="9" t="str">
        <f aca="false" t="array" ref="E228:E228">IF(C228="","",IFERROR(INDEX('CLM &amp; IM Mapping'!$C$2:$C$270,MATCH(TRIM(C228),'CLM &amp; IM Mapping'!$A$2:$A$270,0)),"Not Mapped"))</f>
        <v>Mohammed Akbar</v>
      </c>
      <c r="F228" s="9" t="s">
        <v>27</v>
      </c>
      <c r="G228" s="10" t="n">
        <v>-25203</v>
      </c>
      <c r="H228" s="10" t="n">
        <v>13631</v>
      </c>
      <c r="I228" s="10" t="n">
        <v>0</v>
      </c>
      <c r="J228" s="10" t="n">
        <v>0</v>
      </c>
      <c r="K228" s="10" t="n">
        <v>258</v>
      </c>
      <c r="L228" s="10" t="n">
        <v>0</v>
      </c>
      <c r="M228" s="10" t="n">
        <v>0</v>
      </c>
      <c r="N228" s="10" t="n">
        <v>0</v>
      </c>
      <c r="O228" s="10" t="n">
        <v>-11314</v>
      </c>
      <c r="P228" s="11"/>
      <c r="Q228" s="11"/>
      <c r="R228" s="11"/>
      <c r="S228" s="11"/>
      <c r="T228" s="12" t="str">
        <f aca="false">IF($C228="","",IFERROR(INDEX('Aisle Loss Data'!$B$2:$B$1931,MATCH(TRIM($C228)&amp;"|1",'Aisle Loss Data'!$E$2:$E$1931,0)),"No Loss")&amp;IFERROR(","&amp;INDEX('Aisle Loss Data'!$B$2:$B$1931,MATCH(TRIM($C228)&amp;"|2",'Aisle Loss Data'!$E$2:$E$1931,0)),""))</f>
        <v>J,I</v>
      </c>
      <c r="U228" s="13" t="n">
        <f aca="false">IF($C228="","",IFERROR(INDEX('Aisle Loss Data'!$C$2:$C$1931,MATCH(TRIM($C228)&amp;"|1",'Aisle Loss Data'!$E$2:$E$1931,0)),0)+IFERROR(INDEX('Aisle Loss Data'!$C$2:$C$1931,MATCH(TRIM($C228)&amp;"|2",'Aisle Loss Data'!$E$2:$E$1931,0)),0))</f>
        <v>1469.96</v>
      </c>
      <c r="V228" s="7"/>
      <c r="W228" s="7"/>
      <c r="X228" s="7"/>
      <c r="Y228" s="7"/>
      <c r="Z228" s="7"/>
    </row>
    <row r="229" customFormat="false" ht="15.75" hidden="false" customHeight="true" outlineLevel="0" collapsed="false">
      <c r="A229" s="8" t="s">
        <v>21</v>
      </c>
      <c r="B229" s="9" t="s">
        <v>22</v>
      </c>
      <c r="C229" s="8" t="s">
        <v>269</v>
      </c>
      <c r="D229" s="9" t="str">
        <f aca="false" t="array" ref="D229:D229">IF(C229="","",IFERROR(INDEX('CLM &amp; IM Mapping'!$B$2:$B$270,MATCH(TRIM(C229),'CLM &amp; IM Mapping'!$A$2:$A$270,0)),"Not Mapped"))</f>
        <v>Sundaresh S</v>
      </c>
      <c r="E229" s="9" t="str">
        <f aca="false" t="array" ref="E229:E229">IF(C229="","",IFERROR(INDEX('CLM &amp; IM Mapping'!$C$2:$C$270,MATCH(TRIM(C229),'CLM &amp; IM Mapping'!$A$2:$A$270,0)),"Not Mapped"))</f>
        <v>Un Mapped</v>
      </c>
      <c r="F229" s="9" t="s">
        <v>27</v>
      </c>
      <c r="G229" s="10" t="n">
        <v>-18091</v>
      </c>
      <c r="H229" s="10" t="n">
        <v>5898</v>
      </c>
      <c r="I229" s="10" t="n">
        <v>0</v>
      </c>
      <c r="J229" s="10" t="n">
        <v>0</v>
      </c>
      <c r="K229" s="10" t="n">
        <v>863</v>
      </c>
      <c r="L229" s="10" t="n">
        <v>0</v>
      </c>
      <c r="M229" s="10" t="n">
        <v>0</v>
      </c>
      <c r="N229" s="10" t="n">
        <v>0</v>
      </c>
      <c r="O229" s="10" t="n">
        <v>-11330</v>
      </c>
      <c r="P229" s="11"/>
      <c r="Q229" s="11"/>
      <c r="R229" s="11"/>
      <c r="S229" s="11"/>
      <c r="T229" s="12" t="str">
        <f aca="false">IF($C229="","",IFERROR(INDEX('Aisle Loss Data'!$B$2:$B$1931,MATCH(TRIM($C229)&amp;"|1",'Aisle Loss Data'!$E$2:$E$1931,0)),"No Loss")&amp;IFERROR(","&amp;INDEX('Aisle Loss Data'!$B$2:$B$1931,MATCH(TRIM($C229)&amp;"|2",'Aisle Loss Data'!$E$2:$E$1931,0)),""))</f>
        <v>N,B</v>
      </c>
      <c r="U229" s="13" t="n">
        <f aca="false">IF($C229="","",IFERROR(INDEX('Aisle Loss Data'!$C$2:$C$1931,MATCH(TRIM($C229)&amp;"|1",'Aisle Loss Data'!$E$2:$E$1931,0)),0)+IFERROR(INDEX('Aisle Loss Data'!$C$2:$C$1931,MATCH(TRIM($C229)&amp;"|2",'Aisle Loss Data'!$E$2:$E$1931,0)),0))</f>
        <v>7016.17</v>
      </c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8" t="s">
        <v>21</v>
      </c>
      <c r="B230" s="9" t="s">
        <v>22</v>
      </c>
      <c r="C230" s="8" t="s">
        <v>270</v>
      </c>
      <c r="D230" s="9" t="str">
        <f aca="false" t="array" ref="D230:D230">IF(C230="","",IFERROR(INDEX('CLM &amp; IM Mapping'!$B$2:$B$270,MATCH(TRIM(C230),'CLM &amp; IM Mapping'!$A$2:$A$270,0)),"Not Mapped"))</f>
        <v>Arun Raj</v>
      </c>
      <c r="E230" s="9" t="str">
        <f aca="false" t="array" ref="E230:E230">IF(C230="","",IFERROR(INDEX('CLM &amp; IM Mapping'!$C$2:$C$270,MATCH(TRIM(C230),'CLM &amp; IM Mapping'!$A$2:$A$270,0)),"Not Mapped"))</f>
        <v>Simon Manoharan</v>
      </c>
      <c r="F230" s="9" t="s">
        <v>24</v>
      </c>
      <c r="G230" s="10" t="n">
        <v>-13119</v>
      </c>
      <c r="H230" s="10" t="n">
        <v>756</v>
      </c>
      <c r="I230" s="10" t="n">
        <v>0</v>
      </c>
      <c r="J230" s="10" t="n">
        <v>0</v>
      </c>
      <c r="K230" s="10" t="n">
        <v>966</v>
      </c>
      <c r="L230" s="10" t="n">
        <v>0</v>
      </c>
      <c r="M230" s="10" t="n">
        <v>0</v>
      </c>
      <c r="N230" s="10" t="n">
        <v>0</v>
      </c>
      <c r="O230" s="10" t="n">
        <v>-11397</v>
      </c>
      <c r="P230" s="11"/>
      <c r="Q230" s="11"/>
      <c r="R230" s="11"/>
      <c r="S230" s="11"/>
      <c r="T230" s="12" t="str">
        <f aca="false">IF($C230="","",IFERROR(INDEX('Aisle Loss Data'!$B$2:$B$1931,MATCH(TRIM($C230)&amp;"|1",'Aisle Loss Data'!$E$2:$E$1931,0)),"No Loss")&amp;IFERROR(","&amp;INDEX('Aisle Loss Data'!$B$2:$B$1931,MATCH(TRIM($C230)&amp;"|2",'Aisle Loss Data'!$E$2:$E$1931,0)),""))</f>
        <v>F,O</v>
      </c>
      <c r="U230" s="13" t="n">
        <f aca="false">IF($C230="","",IFERROR(INDEX('Aisle Loss Data'!$C$2:$C$1931,MATCH(TRIM($C230)&amp;"|1",'Aisle Loss Data'!$E$2:$E$1931,0)),0)+IFERROR(INDEX('Aisle Loss Data'!$C$2:$C$1931,MATCH(TRIM($C230)&amp;"|2",'Aisle Loss Data'!$E$2:$E$1931,0)),0))</f>
        <v>6270.96</v>
      </c>
      <c r="V230" s="7"/>
      <c r="W230" s="7"/>
      <c r="X230" s="7"/>
      <c r="Y230" s="7"/>
      <c r="Z230" s="7"/>
    </row>
    <row r="231" customFormat="false" ht="15.75" hidden="false" customHeight="true" outlineLevel="0" collapsed="false">
      <c r="A231" s="8" t="s">
        <v>21</v>
      </c>
      <c r="B231" s="9" t="s">
        <v>22</v>
      </c>
      <c r="C231" s="9" t="s">
        <v>271</v>
      </c>
      <c r="D231" s="9" t="str">
        <f aca="false" t="array" ref="D231:D231">IF(C231="","",IFERROR(INDEX('CLM &amp; IM Mapping'!$B$2:$B$270,MATCH(TRIM(C231),'CLM &amp; IM Mapping'!$A$2:$A$270,0)),"Not Mapped"))</f>
        <v>Manjunatha V</v>
      </c>
      <c r="E231" s="9" t="str">
        <f aca="false" t="array" ref="E231:E231">IF(C231="","",IFERROR(INDEX('CLM &amp; IM Mapping'!$C$2:$C$270,MATCH(TRIM(C231),'CLM &amp; IM Mapping'!$A$2:$A$270,0)),"Not Mapped"))</f>
        <v>Un Mapped</v>
      </c>
      <c r="F231" s="9" t="s">
        <v>27</v>
      </c>
      <c r="G231" s="10" t="n">
        <v>-15262</v>
      </c>
      <c r="H231" s="10" t="n">
        <v>2022</v>
      </c>
      <c r="I231" s="10" t="n">
        <v>0</v>
      </c>
      <c r="J231" s="10" t="n">
        <v>262</v>
      </c>
      <c r="K231" s="10" t="n">
        <v>1084</v>
      </c>
      <c r="L231" s="10" t="n">
        <v>0</v>
      </c>
      <c r="M231" s="10" t="n">
        <v>323</v>
      </c>
      <c r="N231" s="10" t="n">
        <v>0</v>
      </c>
      <c r="O231" s="10" t="n">
        <v>-11570</v>
      </c>
      <c r="P231" s="11"/>
      <c r="Q231" s="11"/>
      <c r="R231" s="11"/>
      <c r="S231" s="11"/>
      <c r="T231" s="12" t="str">
        <f aca="false">IF($C231="","",IFERROR(INDEX('Aisle Loss Data'!$B$2:$B$1931,MATCH(TRIM($C231)&amp;"|1",'Aisle Loss Data'!$E$2:$E$1931,0)),"No Loss")&amp;IFERROR(","&amp;INDEX('Aisle Loss Data'!$B$2:$B$1931,MATCH(TRIM($C231)&amp;"|2",'Aisle Loss Data'!$E$2:$E$1931,0)),""))</f>
        <v>H,G</v>
      </c>
      <c r="U231" s="13" t="n">
        <f aca="false">IF($C231="","",IFERROR(INDEX('Aisle Loss Data'!$C$2:$C$1931,MATCH(TRIM($C231)&amp;"|1",'Aisle Loss Data'!$E$2:$E$1931,0)),0)+IFERROR(INDEX('Aisle Loss Data'!$C$2:$C$1931,MATCH(TRIM($C231)&amp;"|2",'Aisle Loss Data'!$E$2:$E$1931,0)),0))</f>
        <v>10143.2</v>
      </c>
      <c r="V231" s="7"/>
      <c r="W231" s="7"/>
      <c r="X231" s="7"/>
      <c r="Y231" s="7"/>
      <c r="Z231" s="7"/>
    </row>
    <row r="232" customFormat="false" ht="15.75" hidden="false" customHeight="true" outlineLevel="0" collapsed="false">
      <c r="A232" s="8" t="s">
        <v>21</v>
      </c>
      <c r="B232" s="9" t="s">
        <v>22</v>
      </c>
      <c r="C232" s="8" t="s">
        <v>272</v>
      </c>
      <c r="D232" s="9" t="str">
        <f aca="false" t="array" ref="D232:D232">IF(C232="","",IFERROR(INDEX('CLM &amp; IM Mapping'!$B$2:$B$270,MATCH(TRIM(C232),'CLM &amp; IM Mapping'!$A$2:$A$270,0)),"Not Mapped"))</f>
        <v>Balaji G</v>
      </c>
      <c r="E232" s="9" t="str">
        <f aca="false" t="array" ref="E232:E232">IF(C232="","",IFERROR(INDEX('CLM &amp; IM Mapping'!$C$2:$C$270,MATCH(TRIM(C232),'CLM &amp; IM Mapping'!$A$2:$A$270,0)),"Not Mapped"))</f>
        <v>Mohammed Akbar</v>
      </c>
      <c r="F232" s="9" t="s">
        <v>27</v>
      </c>
      <c r="G232" s="10" t="n">
        <v>-12306</v>
      </c>
      <c r="H232" s="10" t="n">
        <v>627</v>
      </c>
      <c r="I232" s="10" t="n">
        <v>0</v>
      </c>
      <c r="J232" s="10" t="n">
        <v>0</v>
      </c>
      <c r="K232" s="10" t="n">
        <v>36</v>
      </c>
      <c r="L232" s="10" t="n">
        <v>0</v>
      </c>
      <c r="M232" s="10" t="n">
        <v>0</v>
      </c>
      <c r="N232" s="10" t="n">
        <v>0</v>
      </c>
      <c r="O232" s="10" t="n">
        <v>-11643</v>
      </c>
      <c r="P232" s="11"/>
      <c r="Q232" s="11"/>
      <c r="R232" s="11"/>
      <c r="S232" s="11"/>
      <c r="T232" s="12" t="str">
        <f aca="false">IF($C232="","",IFERROR(INDEX('Aisle Loss Data'!$B$2:$B$1931,MATCH(TRIM($C232)&amp;"|1",'Aisle Loss Data'!$E$2:$E$1931,0)),"No Loss")&amp;IFERROR(","&amp;INDEX('Aisle Loss Data'!$B$2:$B$1931,MATCH(TRIM($C232)&amp;"|2",'Aisle Loss Data'!$E$2:$E$1931,0)),""))</f>
        <v>J,F</v>
      </c>
      <c r="U232" s="13" t="n">
        <f aca="false">IF($C232="","",IFERROR(INDEX('Aisle Loss Data'!$C$2:$C$1931,MATCH(TRIM($C232)&amp;"|1",'Aisle Loss Data'!$E$2:$E$1931,0)),0)+IFERROR(INDEX('Aisle Loss Data'!$C$2:$C$1931,MATCH(TRIM($C232)&amp;"|2",'Aisle Loss Data'!$E$2:$E$1931,0)),0))</f>
        <v>1921.84</v>
      </c>
      <c r="V232" s="7"/>
      <c r="W232" s="7"/>
      <c r="X232" s="7"/>
      <c r="Y232" s="7"/>
      <c r="Z232" s="7"/>
    </row>
    <row r="233" customFormat="false" ht="15.75" hidden="false" customHeight="true" outlineLevel="0" collapsed="false">
      <c r="A233" s="8" t="s">
        <v>21</v>
      </c>
      <c r="B233" s="9" t="s">
        <v>130</v>
      </c>
      <c r="C233" s="8" t="s">
        <v>273</v>
      </c>
      <c r="D233" s="9" t="str">
        <f aca="false" t="array" ref="D233:D233">IF(C233="","",IFERROR(INDEX('CLM &amp; IM Mapping'!$B$2:$B$270,MATCH(TRIM(C233),'CLM &amp; IM Mapping'!$A$2:$A$270,0)),"Not Mapped"))</f>
        <v>Santhosha M</v>
      </c>
      <c r="E233" s="9" t="str">
        <f aca="false" t="array" ref="E233:E233">IF(C233="","",IFERROR(INDEX('CLM &amp; IM Mapping'!$C$2:$C$270,MATCH(TRIM(C233),'CLM &amp; IM Mapping'!$A$2:$A$270,0)),"Not Mapped"))</f>
        <v>Aravind S</v>
      </c>
      <c r="F233" s="9" t="s">
        <v>27</v>
      </c>
      <c r="G233" s="10" t="n">
        <v>-12987</v>
      </c>
      <c r="H233" s="10" t="n">
        <v>551</v>
      </c>
      <c r="I233" s="10" t="n">
        <v>0</v>
      </c>
      <c r="J233" s="10" t="n">
        <v>0</v>
      </c>
      <c r="K233" s="10" t="n">
        <v>573</v>
      </c>
      <c r="L233" s="10" t="n">
        <v>0</v>
      </c>
      <c r="M233" s="10" t="n">
        <v>0</v>
      </c>
      <c r="N233" s="10" t="n">
        <v>19</v>
      </c>
      <c r="O233" s="10" t="n">
        <v>-11844</v>
      </c>
      <c r="P233" s="11"/>
      <c r="Q233" s="11"/>
      <c r="R233" s="11"/>
      <c r="S233" s="11"/>
      <c r="T233" s="12" t="str">
        <f aca="false">IF($C233="","",IFERROR(INDEX('Aisle Loss Data'!$B$2:$B$1931,MATCH(TRIM($C233)&amp;"|1",'Aisle Loss Data'!$E$2:$E$1931,0)),"No Loss")&amp;IFERROR(","&amp;INDEX('Aisle Loss Data'!$B$2:$B$1931,MATCH(TRIM($C233)&amp;"|2",'Aisle Loss Data'!$E$2:$E$1931,0)),""))</f>
        <v>F,B</v>
      </c>
      <c r="U233" s="13" t="n">
        <f aca="false">IF($C233="","",IFERROR(INDEX('Aisle Loss Data'!$C$2:$C$1931,MATCH(TRIM($C233)&amp;"|1",'Aisle Loss Data'!$E$2:$E$1931,0)),0)+IFERROR(INDEX('Aisle Loss Data'!$C$2:$C$1931,MATCH(TRIM($C233)&amp;"|2",'Aisle Loss Data'!$E$2:$E$1931,0)),0))</f>
        <v>3081.82</v>
      </c>
      <c r="V233" s="7"/>
      <c r="W233" s="7"/>
      <c r="X233" s="7"/>
      <c r="Y233" s="7"/>
      <c r="Z233" s="7"/>
    </row>
    <row r="234" customFormat="false" ht="15.75" hidden="false" customHeight="true" outlineLevel="0" collapsed="false">
      <c r="A234" s="8" t="s">
        <v>21</v>
      </c>
      <c r="B234" s="9" t="s">
        <v>22</v>
      </c>
      <c r="C234" s="8" t="s">
        <v>274</v>
      </c>
      <c r="D234" s="9" t="str">
        <f aca="false" t="array" ref="D234:D234">IF(C234="","",IFERROR(INDEX('CLM &amp; IM Mapping'!$B$2:$B$270,MATCH(TRIM(C234),'CLM &amp; IM Mapping'!$A$2:$A$270,0)),"Not Mapped"))</f>
        <v>Arun Raj</v>
      </c>
      <c r="E234" s="9" t="str">
        <f aca="false" t="array" ref="E234:E234">IF(C234="","",IFERROR(INDEX('CLM &amp; IM Mapping'!$C$2:$C$270,MATCH(TRIM(C234),'CLM &amp; IM Mapping'!$A$2:$A$270,0)),"Not Mapped"))</f>
        <v>Simon Manoharan</v>
      </c>
      <c r="F234" s="9" t="s">
        <v>24</v>
      </c>
      <c r="G234" s="10" t="n">
        <v>-14560</v>
      </c>
      <c r="H234" s="10" t="n">
        <v>1882</v>
      </c>
      <c r="I234" s="10" t="n">
        <v>0</v>
      </c>
      <c r="J234" s="10" t="n">
        <v>0</v>
      </c>
      <c r="K234" s="10" t="n">
        <v>534</v>
      </c>
      <c r="L234" s="10" t="n">
        <v>0</v>
      </c>
      <c r="M234" s="10" t="n">
        <v>0</v>
      </c>
      <c r="N234" s="10" t="n">
        <v>0</v>
      </c>
      <c r="O234" s="10" t="n">
        <v>-12144</v>
      </c>
      <c r="P234" s="11"/>
      <c r="Q234" s="11"/>
      <c r="R234" s="11"/>
      <c r="S234" s="11"/>
      <c r="T234" s="12" t="str">
        <f aca="false">IF($C234="","",IFERROR(INDEX('Aisle Loss Data'!$B$2:$B$1931,MATCH(TRIM($C234)&amp;"|1",'Aisle Loss Data'!$E$2:$E$1931,0)),"No Loss")&amp;IFERROR(","&amp;INDEX('Aisle Loss Data'!$B$2:$B$1931,MATCH(TRIM($C234)&amp;"|2",'Aisle Loss Data'!$E$2:$E$1931,0)),""))</f>
        <v>P15,Q</v>
      </c>
      <c r="U234" s="13" t="n">
        <f aca="false">IF($C234="","",IFERROR(INDEX('Aisle Loss Data'!$C$2:$C$1931,MATCH(TRIM($C234)&amp;"|1",'Aisle Loss Data'!$E$2:$E$1931,0)),0)+IFERROR(INDEX('Aisle Loss Data'!$C$2:$C$1931,MATCH(TRIM($C234)&amp;"|2",'Aisle Loss Data'!$E$2:$E$1931,0)),0))</f>
        <v>1727.15</v>
      </c>
      <c r="V234" s="7"/>
      <c r="W234" s="7"/>
      <c r="X234" s="7"/>
      <c r="Y234" s="7"/>
      <c r="Z234" s="7"/>
    </row>
    <row r="235" customFormat="false" ht="15.75" hidden="false" customHeight="true" outlineLevel="0" collapsed="false">
      <c r="A235" s="8" t="s">
        <v>21</v>
      </c>
      <c r="B235" s="9" t="s">
        <v>22</v>
      </c>
      <c r="C235" s="8" t="s">
        <v>275</v>
      </c>
      <c r="D235" s="9" t="str">
        <f aca="false" t="array" ref="D235:D235">IF(C235="","",IFERROR(INDEX('CLM &amp; IM Mapping'!$B$2:$B$270,MATCH(TRIM(C235),'CLM &amp; IM Mapping'!$A$2:$A$270,0)),"Not Mapped"))</f>
        <v>Keshav G</v>
      </c>
      <c r="E235" s="9" t="str">
        <f aca="false" t="array" ref="E235:E235">IF(C235="","",IFERROR(INDEX('CLM &amp; IM Mapping'!$C$2:$C$270,MATCH(TRIM(C235),'CLM &amp; IM Mapping'!$A$2:$A$270,0)),"Not Mapped"))</f>
        <v>Un Mapped</v>
      </c>
      <c r="F235" s="9" t="s">
        <v>27</v>
      </c>
      <c r="G235" s="10" t="n">
        <v>-18949</v>
      </c>
      <c r="H235" s="10" t="n">
        <v>6267</v>
      </c>
      <c r="I235" s="10" t="n">
        <v>0</v>
      </c>
      <c r="J235" s="10" t="n">
        <v>0</v>
      </c>
      <c r="K235" s="10" t="n">
        <v>146</v>
      </c>
      <c r="L235" s="10" t="n">
        <v>0</v>
      </c>
      <c r="M235" s="10" t="n">
        <v>0</v>
      </c>
      <c r="N235" s="10" t="n">
        <v>0</v>
      </c>
      <c r="O235" s="10" t="n">
        <v>-12536</v>
      </c>
      <c r="P235" s="11"/>
      <c r="Q235" s="11"/>
      <c r="R235" s="11"/>
      <c r="S235" s="11"/>
      <c r="T235" s="12" t="str">
        <f aca="false">IF($C235="","",IFERROR(INDEX('Aisle Loss Data'!$B$2:$B$1931,MATCH(TRIM($C235)&amp;"|1",'Aisle Loss Data'!$E$2:$E$1931,0)),"No Loss")&amp;IFERROR(","&amp;INDEX('Aisle Loss Data'!$B$2:$B$1931,MATCH(TRIM($C235)&amp;"|2",'Aisle Loss Data'!$E$2:$E$1931,0)),""))</f>
        <v>A,G</v>
      </c>
      <c r="U235" s="13" t="n">
        <f aca="false">IF($C235="","",IFERROR(INDEX('Aisle Loss Data'!$C$2:$C$1931,MATCH(TRIM($C235)&amp;"|1",'Aisle Loss Data'!$E$2:$E$1931,0)),0)+IFERROR(INDEX('Aisle Loss Data'!$C$2:$C$1931,MATCH(TRIM($C235)&amp;"|2",'Aisle Loss Data'!$E$2:$E$1931,0)),0))</f>
        <v>2922.92</v>
      </c>
      <c r="V235" s="7"/>
      <c r="W235" s="7"/>
      <c r="X235" s="7"/>
      <c r="Y235" s="7"/>
      <c r="Z235" s="7"/>
    </row>
    <row r="236" customFormat="false" ht="15.75" hidden="false" customHeight="true" outlineLevel="0" collapsed="false">
      <c r="A236" s="8" t="s">
        <v>21</v>
      </c>
      <c r="B236" s="9" t="s">
        <v>22</v>
      </c>
      <c r="C236" s="8" t="s">
        <v>276</v>
      </c>
      <c r="D236" s="9" t="str">
        <f aca="false" t="array" ref="D236:D236">IF(C236="","",IFERROR(INDEX('CLM &amp; IM Mapping'!$B$2:$B$270,MATCH(TRIM(C236),'CLM &amp; IM Mapping'!$A$2:$A$270,0)),"Not Mapped"))</f>
        <v>Narasimhamurthy R</v>
      </c>
      <c r="E236" s="9" t="str">
        <f aca="false" t="array" ref="E236:E236">IF(C236="","",IFERROR(INDEX('CLM &amp; IM Mapping'!$C$2:$C$270,MATCH(TRIM(C236),'CLM &amp; IM Mapping'!$A$2:$A$270,0)),"Not Mapped"))</f>
        <v>Kishor K</v>
      </c>
      <c r="F236" s="9" t="s">
        <v>27</v>
      </c>
      <c r="G236" s="10" t="n">
        <v>-13313</v>
      </c>
      <c r="H236" s="10" t="n">
        <v>0</v>
      </c>
      <c r="I236" s="10" t="n">
        <v>0</v>
      </c>
      <c r="J236" s="10" t="n">
        <v>63</v>
      </c>
      <c r="K236" s="10" t="n">
        <v>23</v>
      </c>
      <c r="L236" s="10" t="n">
        <v>0</v>
      </c>
      <c r="M236" s="10" t="n">
        <v>0</v>
      </c>
      <c r="N236" s="10" t="n">
        <v>0</v>
      </c>
      <c r="O236" s="10" t="n">
        <v>-13227</v>
      </c>
      <c r="P236" s="11"/>
      <c r="Q236" s="11"/>
      <c r="R236" s="11"/>
      <c r="S236" s="11"/>
      <c r="T236" s="12" t="str">
        <f aca="false">IF($C236="","",IFERROR(INDEX('Aisle Loss Data'!$B$2:$B$1931,MATCH(TRIM($C236)&amp;"|1",'Aisle Loss Data'!$E$2:$E$1931,0)),"No Loss")&amp;IFERROR(","&amp;INDEX('Aisle Loss Data'!$B$2:$B$1931,MATCH(TRIM($C236)&amp;"|2",'Aisle Loss Data'!$E$2:$E$1931,0)),""))</f>
        <v>E,D</v>
      </c>
      <c r="U236" s="13" t="n">
        <f aca="false">IF($C236="","",IFERROR(INDEX('Aisle Loss Data'!$C$2:$C$1931,MATCH(TRIM($C236)&amp;"|1",'Aisle Loss Data'!$E$2:$E$1931,0)),0)+IFERROR(INDEX('Aisle Loss Data'!$C$2:$C$1931,MATCH(TRIM($C236)&amp;"|2",'Aisle Loss Data'!$E$2:$E$1931,0)),0))</f>
        <v>1498.93</v>
      </c>
      <c r="V236" s="7"/>
      <c r="W236" s="7"/>
      <c r="X236" s="7"/>
      <c r="Y236" s="7"/>
      <c r="Z236" s="7"/>
    </row>
    <row r="237" customFormat="false" ht="15.75" hidden="false" customHeight="true" outlineLevel="0" collapsed="false">
      <c r="A237" s="8" t="s">
        <v>21</v>
      </c>
      <c r="B237" s="9" t="s">
        <v>22</v>
      </c>
      <c r="C237" s="8" t="s">
        <v>277</v>
      </c>
      <c r="D237" s="9" t="str">
        <f aca="false" t="array" ref="D237:D237">IF(C237="","",IFERROR(INDEX('CLM &amp; IM Mapping'!$B$2:$B$270,MATCH(TRIM(C237),'CLM &amp; IM Mapping'!$A$2:$A$270,0)),"Not Mapped"))</f>
        <v>Adhavan Subramani</v>
      </c>
      <c r="E237" s="9" t="str">
        <f aca="false" t="array" ref="E237:E237">IF(C237="","",IFERROR(INDEX('CLM &amp; IM Mapping'!$C$2:$C$270,MATCH(TRIM(C237),'CLM &amp; IM Mapping'!$A$2:$A$270,0)),"Not Mapped"))</f>
        <v>Mohammed Akbar</v>
      </c>
      <c r="F237" s="9" t="s">
        <v>27</v>
      </c>
      <c r="G237" s="10" t="n">
        <v>-13519</v>
      </c>
      <c r="H237" s="10" t="n">
        <v>154</v>
      </c>
      <c r="I237" s="10" t="n">
        <v>0</v>
      </c>
      <c r="J237" s="10" t="n">
        <v>0</v>
      </c>
      <c r="K237" s="10" t="n">
        <v>51</v>
      </c>
      <c r="L237" s="10" t="n">
        <v>0</v>
      </c>
      <c r="M237" s="10" t="n">
        <v>0</v>
      </c>
      <c r="N237" s="10" t="n">
        <v>0</v>
      </c>
      <c r="O237" s="10" t="n">
        <v>-13314</v>
      </c>
      <c r="P237" s="11"/>
      <c r="Q237" s="11"/>
      <c r="R237" s="11"/>
      <c r="S237" s="11"/>
      <c r="T237" s="12" t="str">
        <f aca="false">IF($C237="","",IFERROR(INDEX('Aisle Loss Data'!$B$2:$B$1931,MATCH(TRIM($C237)&amp;"|1",'Aisle Loss Data'!$E$2:$E$1931,0)),"No Loss")&amp;IFERROR(","&amp;INDEX('Aisle Loss Data'!$B$2:$B$1931,MATCH(TRIM($C237)&amp;"|2",'Aisle Loss Data'!$E$2:$E$1931,0)),""))</f>
        <v>I,D</v>
      </c>
      <c r="U237" s="13" t="n">
        <f aca="false">IF($C237="","",IFERROR(INDEX('Aisle Loss Data'!$C$2:$C$1931,MATCH(TRIM($C237)&amp;"|1",'Aisle Loss Data'!$E$2:$E$1931,0)),0)+IFERROR(INDEX('Aisle Loss Data'!$C$2:$C$1931,MATCH(TRIM($C237)&amp;"|2",'Aisle Loss Data'!$E$2:$E$1931,0)),0))</f>
        <v>449.66</v>
      </c>
      <c r="V237" s="7"/>
      <c r="W237" s="7"/>
      <c r="X237" s="7"/>
      <c r="Y237" s="7"/>
      <c r="Z237" s="7"/>
    </row>
    <row r="238" customFormat="false" ht="15.75" hidden="false" customHeight="true" outlineLevel="0" collapsed="false">
      <c r="A238" s="8" t="s">
        <v>21</v>
      </c>
      <c r="B238" s="9" t="s">
        <v>22</v>
      </c>
      <c r="C238" s="8" t="s">
        <v>278</v>
      </c>
      <c r="D238" s="9" t="str">
        <f aca="false" t="array" ref="D238:D238">IF(C238="","",IFERROR(INDEX('CLM &amp; IM Mapping'!$B$2:$B$270,MATCH(TRIM(C238),'CLM &amp; IM Mapping'!$A$2:$A$270,0)),"Not Mapped"))</f>
        <v>Ravishankar gowda</v>
      </c>
      <c r="E238" s="9" t="str">
        <f aca="false" t="array" ref="E238:E238">IF(C238="","",IFERROR(INDEX('CLM &amp; IM Mapping'!$C$2:$C$270,MATCH(TRIM(C238),'CLM &amp; IM Mapping'!$A$2:$A$270,0)),"Not Mapped"))</f>
        <v>Kishor K</v>
      </c>
      <c r="F238" s="9" t="s">
        <v>27</v>
      </c>
      <c r="G238" s="10" t="n">
        <v>-16096</v>
      </c>
      <c r="H238" s="10" t="n">
        <v>2123</v>
      </c>
      <c r="I238" s="10" t="n">
        <v>0</v>
      </c>
      <c r="J238" s="10" t="n">
        <v>124</v>
      </c>
      <c r="K238" s="10" t="n">
        <v>27</v>
      </c>
      <c r="L238" s="10" t="n">
        <v>0</v>
      </c>
      <c r="M238" s="10" t="n">
        <v>0</v>
      </c>
      <c r="N238" s="10" t="n">
        <v>0</v>
      </c>
      <c r="O238" s="10" t="n">
        <v>-13822</v>
      </c>
      <c r="P238" s="11"/>
      <c r="Q238" s="11"/>
      <c r="R238" s="11"/>
      <c r="S238" s="11"/>
      <c r="T238" s="12" t="str">
        <f aca="false">IF($C238="","",IFERROR(INDEX('Aisle Loss Data'!$B$2:$B$1931,MATCH(TRIM($C238)&amp;"|1",'Aisle Loss Data'!$E$2:$E$1931,0)),"No Loss")&amp;IFERROR(","&amp;INDEX('Aisle Loss Data'!$B$2:$B$1931,MATCH(TRIM($C238)&amp;"|2",'Aisle Loss Data'!$E$2:$E$1931,0)),""))</f>
        <v>D,B</v>
      </c>
      <c r="U238" s="13" t="n">
        <f aca="false">IF($C238="","",IFERROR(INDEX('Aisle Loss Data'!$C$2:$C$1931,MATCH(TRIM($C238)&amp;"|1",'Aisle Loss Data'!$E$2:$E$1931,0)),0)+IFERROR(INDEX('Aisle Loss Data'!$C$2:$C$1931,MATCH(TRIM($C238)&amp;"|2",'Aisle Loss Data'!$E$2:$E$1931,0)),0))</f>
        <v>1924.86</v>
      </c>
      <c r="V238" s="7"/>
      <c r="W238" s="7"/>
      <c r="X238" s="7"/>
      <c r="Y238" s="7"/>
      <c r="Z238" s="7"/>
    </row>
    <row r="239" customFormat="false" ht="15.75" hidden="false" customHeight="true" outlineLevel="0" collapsed="false">
      <c r="A239" s="8" t="s">
        <v>21</v>
      </c>
      <c r="B239" s="9" t="s">
        <v>22</v>
      </c>
      <c r="C239" s="8" t="s">
        <v>279</v>
      </c>
      <c r="D239" s="9" t="str">
        <f aca="false" t="array" ref="D239:D239">IF(C239="","",IFERROR(INDEX('CLM &amp; IM Mapping'!$B$2:$B$270,MATCH(TRIM(C239),'CLM &amp; IM Mapping'!$A$2:$A$270,0)),"Not Mapped"))</f>
        <v>Manjunatha V</v>
      </c>
      <c r="E239" s="9" t="str">
        <f aca="false" t="array" ref="E239:E239">IF(C239="","",IFERROR(INDEX('CLM &amp; IM Mapping'!$C$2:$C$270,MATCH(TRIM(C239),'CLM &amp; IM Mapping'!$A$2:$A$270,0)),"Not Mapped"))</f>
        <v>Un Mapped</v>
      </c>
      <c r="F239" s="9" t="s">
        <v>27</v>
      </c>
      <c r="G239" s="10" t="n">
        <v>-49282</v>
      </c>
      <c r="H239" s="10" t="n">
        <v>0</v>
      </c>
      <c r="I239" s="10" t="n">
        <v>0</v>
      </c>
      <c r="J239" s="10" t="n">
        <v>34008</v>
      </c>
      <c r="K239" s="10" t="n">
        <v>0</v>
      </c>
      <c r="L239" s="10" t="n">
        <v>0</v>
      </c>
      <c r="M239" s="10" t="n">
        <v>0</v>
      </c>
      <c r="N239" s="10" t="n">
        <v>0</v>
      </c>
      <c r="O239" s="10" t="n">
        <v>-15274</v>
      </c>
      <c r="P239" s="11"/>
      <c r="Q239" s="11"/>
      <c r="R239" s="11"/>
      <c r="S239" s="11"/>
      <c r="T239" s="12" t="str">
        <f aca="false">IF($C239="","",IFERROR(INDEX('Aisle Loss Data'!$B$2:$B$1931,MATCH(TRIM($C239)&amp;"|1",'Aisle Loss Data'!$E$2:$E$1931,0)),"No Loss")&amp;IFERROR(","&amp;INDEX('Aisle Loss Data'!$B$2:$B$1931,MATCH(TRIM($C239)&amp;"|2",'Aisle Loss Data'!$E$2:$E$1931,0)),""))</f>
        <v>No Loss</v>
      </c>
      <c r="U239" s="13" t="n">
        <f aca="false">IF($C239="","",IFERROR(INDEX('Aisle Loss Data'!$C$2:$C$1931,MATCH(TRIM($C239)&amp;"|1",'Aisle Loss Data'!$E$2:$E$1931,0)),0)+IFERROR(INDEX('Aisle Loss Data'!$C$2:$C$1931,MATCH(TRIM($C239)&amp;"|2",'Aisle Loss Data'!$E$2:$E$1931,0)),0))</f>
        <v>0</v>
      </c>
      <c r="V239" s="7"/>
      <c r="W239" s="7"/>
      <c r="X239" s="7"/>
      <c r="Y239" s="7"/>
      <c r="Z239" s="7"/>
    </row>
    <row r="240" customFormat="false" ht="15.75" hidden="false" customHeight="true" outlineLevel="0" collapsed="false">
      <c r="A240" s="8" t="s">
        <v>21</v>
      </c>
      <c r="B240" s="9" t="s">
        <v>130</v>
      </c>
      <c r="C240" s="8" t="s">
        <v>280</v>
      </c>
      <c r="D240" s="9" t="str">
        <f aca="false" t="array" ref="D240:D240">IF(C240="","",IFERROR(INDEX('CLM &amp; IM Mapping'!$B$2:$B$270,MATCH(TRIM(C240),'CLM &amp; IM Mapping'!$A$2:$A$270,0)),"Not Mapped"))</f>
        <v>Santhosha M</v>
      </c>
      <c r="E240" s="9" t="str">
        <f aca="false" t="array" ref="E240:E240">IF(C240="","",IFERROR(INDEX('CLM &amp; IM Mapping'!$C$2:$C$270,MATCH(TRIM(C240),'CLM &amp; IM Mapping'!$A$2:$A$270,0)),"Not Mapped"))</f>
        <v>Aravind S</v>
      </c>
      <c r="F240" s="9" t="s">
        <v>27</v>
      </c>
      <c r="G240" s="10" t="n">
        <v>-15689</v>
      </c>
      <c r="H240" s="10" t="n">
        <v>91</v>
      </c>
      <c r="I240" s="10" t="n">
        <v>0</v>
      </c>
      <c r="J240" s="10" t="n">
        <v>0</v>
      </c>
      <c r="K240" s="10" t="n">
        <v>63</v>
      </c>
      <c r="L240" s="10" t="n">
        <v>0</v>
      </c>
      <c r="M240" s="10" t="n">
        <v>0</v>
      </c>
      <c r="N240" s="10" t="n">
        <v>0</v>
      </c>
      <c r="O240" s="10" t="n">
        <v>-15536</v>
      </c>
      <c r="P240" s="11"/>
      <c r="Q240" s="11"/>
      <c r="R240" s="11"/>
      <c r="S240" s="11"/>
      <c r="T240" s="12" t="str">
        <f aca="false">IF($C240="","",IFERROR(INDEX('Aisle Loss Data'!$B$2:$B$1931,MATCH(TRIM($C240)&amp;"|1",'Aisle Loss Data'!$E$2:$E$1931,0)),"No Loss")&amp;IFERROR(","&amp;INDEX('Aisle Loss Data'!$B$2:$B$1931,MATCH(TRIM($C240)&amp;"|2",'Aisle Loss Data'!$E$2:$E$1931,0)),""))</f>
        <v>L,I</v>
      </c>
      <c r="U240" s="13" t="n">
        <f aca="false">IF($C240="","",IFERROR(INDEX('Aisle Loss Data'!$C$2:$C$1931,MATCH(TRIM($C240)&amp;"|1",'Aisle Loss Data'!$E$2:$E$1931,0)),0)+IFERROR(INDEX('Aisle Loss Data'!$C$2:$C$1931,MATCH(TRIM($C240)&amp;"|2",'Aisle Loss Data'!$E$2:$E$1931,0)),0))</f>
        <v>5421.16</v>
      </c>
      <c r="V240" s="7"/>
      <c r="W240" s="7"/>
      <c r="X240" s="7"/>
      <c r="Y240" s="7"/>
      <c r="Z240" s="7"/>
    </row>
    <row r="241" customFormat="false" ht="15.75" hidden="false" customHeight="true" outlineLevel="0" collapsed="false">
      <c r="A241" s="8" t="s">
        <v>21</v>
      </c>
      <c r="B241" s="9" t="s">
        <v>22</v>
      </c>
      <c r="C241" s="8" t="s">
        <v>281</v>
      </c>
      <c r="D241" s="9" t="str">
        <f aca="false" t="array" ref="D241:D241">IF(C241="","",IFERROR(INDEX('CLM &amp; IM Mapping'!$B$2:$B$270,MATCH(TRIM(C241),'CLM &amp; IM Mapping'!$A$2:$A$270,0)),"Not Mapped"))</f>
        <v>Basil Scariya</v>
      </c>
      <c r="E241" s="9" t="str">
        <f aca="false" t="array" ref="E241:E241">IF(C241="","",IFERROR(INDEX('CLM &amp; IM Mapping'!$C$2:$C$270,MATCH(TRIM(C241),'CLM &amp; IM Mapping'!$A$2:$A$270,0)),"Not Mapped"))</f>
        <v>Prakash BS</v>
      </c>
      <c r="F241" s="9" t="s">
        <v>27</v>
      </c>
      <c r="G241" s="10" t="n">
        <v>-23346</v>
      </c>
      <c r="H241" s="10" t="n">
        <v>6265</v>
      </c>
      <c r="I241" s="10" t="n">
        <v>0</v>
      </c>
      <c r="J241" s="10" t="n">
        <v>143</v>
      </c>
      <c r="K241" s="10" t="n">
        <v>692</v>
      </c>
      <c r="L241" s="10" t="n">
        <v>0</v>
      </c>
      <c r="M241" s="10" t="n">
        <v>0</v>
      </c>
      <c r="N241" s="10" t="n">
        <v>0</v>
      </c>
      <c r="O241" s="10" t="n">
        <v>-16246</v>
      </c>
      <c r="P241" s="11"/>
      <c r="Q241" s="11"/>
      <c r="R241" s="11"/>
      <c r="S241" s="11"/>
      <c r="T241" s="12" t="str">
        <f aca="false">IF($C241="","",IFERROR(INDEX('Aisle Loss Data'!$B$2:$B$1931,MATCH(TRIM($C241)&amp;"|1",'Aisle Loss Data'!$E$2:$E$1931,0)),"No Loss")&amp;IFERROR(","&amp;INDEX('Aisle Loss Data'!$B$2:$B$1931,MATCH(TRIM($C241)&amp;"|2",'Aisle Loss Data'!$E$2:$E$1931,0)),""))</f>
        <v>UU,I</v>
      </c>
      <c r="U241" s="13" t="n">
        <f aca="false">IF($C241="","",IFERROR(INDEX('Aisle Loss Data'!$C$2:$C$1931,MATCH(TRIM($C241)&amp;"|1",'Aisle Loss Data'!$E$2:$E$1931,0)),0)+IFERROR(INDEX('Aisle Loss Data'!$C$2:$C$1931,MATCH(TRIM($C241)&amp;"|2",'Aisle Loss Data'!$E$2:$E$1931,0)),0))</f>
        <v>5985.08</v>
      </c>
      <c r="V241" s="7"/>
      <c r="W241" s="7"/>
      <c r="X241" s="7"/>
      <c r="Y241" s="7"/>
      <c r="Z241" s="7"/>
    </row>
    <row r="242" customFormat="false" ht="15.75" hidden="false" customHeight="true" outlineLevel="0" collapsed="false">
      <c r="A242" s="8" t="s">
        <v>21</v>
      </c>
      <c r="B242" s="9" t="s">
        <v>22</v>
      </c>
      <c r="C242" s="8" t="s">
        <v>282</v>
      </c>
      <c r="D242" s="9" t="str">
        <f aca="false" t="array" ref="D242:D242">IF(C242="","",IFERROR(INDEX('CLM &amp; IM Mapping'!$B$2:$B$270,MATCH(TRIM(C242),'CLM &amp; IM Mapping'!$A$2:$A$270,0)),"Not Mapped"))</f>
        <v>Raghavendra Vernekar</v>
      </c>
      <c r="E242" s="9" t="str">
        <f aca="false" t="array" ref="E242:E242">IF(C242="","",IFERROR(INDEX('CLM &amp; IM Mapping'!$C$2:$C$270,MATCH(TRIM(C242),'CLM &amp; IM Mapping'!$A$2:$A$270,0)),"Not Mapped"))</f>
        <v>Prakash BS</v>
      </c>
      <c r="F242" s="9" t="s">
        <v>27</v>
      </c>
      <c r="G242" s="10" t="n">
        <v>-22617</v>
      </c>
      <c r="H242" s="10" t="n">
        <v>3338</v>
      </c>
      <c r="I242" s="10" t="n">
        <v>1831</v>
      </c>
      <c r="J242" s="10" t="n">
        <v>123</v>
      </c>
      <c r="K242" s="10" t="n">
        <v>680</v>
      </c>
      <c r="L242" s="10" t="n">
        <v>0</v>
      </c>
      <c r="M242" s="10" t="n">
        <v>0</v>
      </c>
      <c r="N242" s="10" t="n">
        <v>0</v>
      </c>
      <c r="O242" s="10" t="n">
        <v>-16644</v>
      </c>
      <c r="P242" s="11"/>
      <c r="Q242" s="11"/>
      <c r="R242" s="11"/>
      <c r="S242" s="11"/>
      <c r="T242" s="12" t="str">
        <f aca="false">IF($C242="","",IFERROR(INDEX('Aisle Loss Data'!$B$2:$B$1931,MATCH(TRIM($C242)&amp;"|1",'Aisle Loss Data'!$E$2:$E$1931,0)),"No Loss")&amp;IFERROR(","&amp;INDEX('Aisle Loss Data'!$B$2:$B$1931,MATCH(TRIM($C242)&amp;"|2",'Aisle Loss Data'!$E$2:$E$1931,0)),""))</f>
        <v>B,L</v>
      </c>
      <c r="U242" s="13" t="n">
        <f aca="false">IF($C242="","",IFERROR(INDEX('Aisle Loss Data'!$C$2:$C$1931,MATCH(TRIM($C242)&amp;"|1",'Aisle Loss Data'!$E$2:$E$1931,0)),0)+IFERROR(INDEX('Aisle Loss Data'!$C$2:$C$1931,MATCH(TRIM($C242)&amp;"|2",'Aisle Loss Data'!$E$2:$E$1931,0)),0))</f>
        <v>1721.59</v>
      </c>
      <c r="V242" s="7"/>
      <c r="W242" s="7"/>
      <c r="X242" s="7"/>
      <c r="Y242" s="7"/>
      <c r="Z242" s="7"/>
    </row>
    <row r="243" customFormat="false" ht="15.75" hidden="false" customHeight="true" outlineLevel="0" collapsed="false">
      <c r="A243" s="8" t="s">
        <v>21</v>
      </c>
      <c r="B243" s="9" t="s">
        <v>22</v>
      </c>
      <c r="C243" s="8" t="s">
        <v>283</v>
      </c>
      <c r="D243" s="9" t="str">
        <f aca="false" t="array" ref="D243:D243">IF(C243="","",IFERROR(INDEX('CLM &amp; IM Mapping'!$B$2:$B$270,MATCH(TRIM(C243),'CLM &amp; IM Mapping'!$A$2:$A$270,0)),"Not Mapped"))</f>
        <v>Ravishankar gowda</v>
      </c>
      <c r="E243" s="9" t="str">
        <f aca="false" t="array" ref="E243:E243">IF(C243="","",IFERROR(INDEX('CLM &amp; IM Mapping'!$C$2:$C$270,MATCH(TRIM(C243),'CLM &amp; IM Mapping'!$A$2:$A$270,0)),"Not Mapped"))</f>
        <v>Kishor K</v>
      </c>
      <c r="F243" s="9" t="s">
        <v>27</v>
      </c>
      <c r="G243" s="10" t="n">
        <v>-19869</v>
      </c>
      <c r="H243" s="10" t="n">
        <v>3031</v>
      </c>
      <c r="I243" s="10" t="n">
        <v>0</v>
      </c>
      <c r="J243" s="10" t="n">
        <v>18</v>
      </c>
      <c r="K243" s="10" t="n">
        <v>129</v>
      </c>
      <c r="L243" s="10" t="n">
        <v>0</v>
      </c>
      <c r="M243" s="10" t="n">
        <v>0</v>
      </c>
      <c r="N243" s="10" t="n">
        <v>0</v>
      </c>
      <c r="O243" s="10" t="n">
        <v>-16691</v>
      </c>
      <c r="P243" s="11"/>
      <c r="Q243" s="11"/>
      <c r="R243" s="11"/>
      <c r="S243" s="11"/>
      <c r="T243" s="12" t="str">
        <f aca="false">IF($C243="","",IFERROR(INDEX('Aisle Loss Data'!$B$2:$B$1931,MATCH(TRIM($C243)&amp;"|1",'Aisle Loss Data'!$E$2:$E$1931,0)),"No Loss")&amp;IFERROR(","&amp;INDEX('Aisle Loss Data'!$B$2:$B$1931,MATCH(TRIM($C243)&amp;"|2",'Aisle Loss Data'!$E$2:$E$1931,0)),""))</f>
        <v>C,1</v>
      </c>
      <c r="U243" s="13" t="n">
        <f aca="false">IF($C243="","",IFERROR(INDEX('Aisle Loss Data'!$C$2:$C$1931,MATCH(TRIM($C243)&amp;"|1",'Aisle Loss Data'!$E$2:$E$1931,0)),0)+IFERROR(INDEX('Aisle Loss Data'!$C$2:$C$1931,MATCH(TRIM($C243)&amp;"|2",'Aisle Loss Data'!$E$2:$E$1931,0)),0))</f>
        <v>980.61</v>
      </c>
      <c r="V243" s="7"/>
      <c r="W243" s="7"/>
      <c r="X243" s="7"/>
      <c r="Y243" s="7"/>
      <c r="Z243" s="7"/>
    </row>
    <row r="244" customFormat="false" ht="15.75" hidden="false" customHeight="true" outlineLevel="0" collapsed="false">
      <c r="A244" s="8" t="s">
        <v>21</v>
      </c>
      <c r="B244" s="9" t="s">
        <v>22</v>
      </c>
      <c r="C244" s="9" t="s">
        <v>284</v>
      </c>
      <c r="D244" s="9" t="str">
        <f aca="false" t="array" ref="D244:D244">IF(C244="","",IFERROR(INDEX('CLM &amp; IM Mapping'!$B$2:$B$270,MATCH(TRIM(C244),'CLM &amp; IM Mapping'!$A$2:$A$270,0)),"Not Mapped"))</f>
        <v>Manjunatha V</v>
      </c>
      <c r="E244" s="9" t="str">
        <f aca="false" t="array" ref="E244:E244">IF(C244="","",IFERROR(INDEX('CLM &amp; IM Mapping'!$C$2:$C$270,MATCH(TRIM(C244),'CLM &amp; IM Mapping'!$A$2:$A$270,0)),"Not Mapped"))</f>
        <v>Un Mapped</v>
      </c>
      <c r="F244" s="9" t="s">
        <v>27</v>
      </c>
      <c r="G244" s="10" t="n">
        <v>-22334</v>
      </c>
      <c r="H244" s="10" t="n">
        <v>3779</v>
      </c>
      <c r="I244" s="10" t="n">
        <v>0</v>
      </c>
      <c r="J244" s="10" t="n">
        <v>0</v>
      </c>
      <c r="K244" s="10" t="n">
        <v>231</v>
      </c>
      <c r="L244" s="10" t="n">
        <v>0</v>
      </c>
      <c r="M244" s="10" t="n">
        <v>0</v>
      </c>
      <c r="N244" s="10" t="n">
        <v>0</v>
      </c>
      <c r="O244" s="10" t="n">
        <v>-18324</v>
      </c>
      <c r="P244" s="11"/>
      <c r="Q244" s="11"/>
      <c r="R244" s="11"/>
      <c r="S244" s="11"/>
      <c r="T244" s="12" t="str">
        <f aca="false">IF($C244="","",IFERROR(INDEX('Aisle Loss Data'!$B$2:$B$1931,MATCH(TRIM($C244)&amp;"|1",'Aisle Loss Data'!$E$2:$E$1931,0)),"No Loss")&amp;IFERROR(","&amp;INDEX('Aisle Loss Data'!$B$2:$B$1931,MATCH(TRIM($C244)&amp;"|2",'Aisle Loss Data'!$E$2:$E$1931,0)),""))</f>
        <v>I,1</v>
      </c>
      <c r="U244" s="13" t="n">
        <f aca="false">IF($C244="","",IFERROR(INDEX('Aisle Loss Data'!$C$2:$C$1931,MATCH(TRIM($C244)&amp;"|1",'Aisle Loss Data'!$E$2:$E$1931,0)),0)+IFERROR(INDEX('Aisle Loss Data'!$C$2:$C$1931,MATCH(TRIM($C244)&amp;"|2",'Aisle Loss Data'!$E$2:$E$1931,0)),0))</f>
        <v>6940.3</v>
      </c>
      <c r="V244" s="7"/>
      <c r="W244" s="7"/>
      <c r="X244" s="7"/>
      <c r="Y244" s="7"/>
      <c r="Z244" s="7"/>
    </row>
    <row r="245" customFormat="false" ht="15.75" hidden="false" customHeight="true" outlineLevel="0" collapsed="false">
      <c r="A245" s="8" t="s">
        <v>21</v>
      </c>
      <c r="B245" s="9" t="s">
        <v>22</v>
      </c>
      <c r="C245" s="8" t="s">
        <v>285</v>
      </c>
      <c r="D245" s="9" t="str">
        <f aca="false" t="array" ref="D245:D245">IF(C245="","",IFERROR(INDEX('CLM &amp; IM Mapping'!$B$2:$B$270,MATCH(TRIM(C245),'CLM &amp; IM Mapping'!$A$2:$A$270,0)),"Not Mapped"))</f>
        <v>Saddam Hussain</v>
      </c>
      <c r="E245" s="9" t="str">
        <f aca="false" t="array" ref="E245:E245">IF(C245="","",IFERROR(INDEX('CLM &amp; IM Mapping'!$C$2:$C$270,MATCH(TRIM(C245),'CLM &amp; IM Mapping'!$A$2:$A$270,0)),"Not Mapped"))</f>
        <v>Un Mapped</v>
      </c>
      <c r="F245" s="9" t="s">
        <v>27</v>
      </c>
      <c r="G245" s="10" t="n">
        <v>-22532</v>
      </c>
      <c r="H245" s="10" t="n">
        <v>2440</v>
      </c>
      <c r="I245" s="10" t="n">
        <v>0</v>
      </c>
      <c r="J245" s="10" t="n">
        <v>0</v>
      </c>
      <c r="K245" s="10" t="n">
        <v>697</v>
      </c>
      <c r="L245" s="10" t="n">
        <v>0</v>
      </c>
      <c r="M245" s="10" t="n">
        <v>0</v>
      </c>
      <c r="N245" s="10" t="n">
        <v>0</v>
      </c>
      <c r="O245" s="10" t="n">
        <v>-19395</v>
      </c>
      <c r="P245" s="11"/>
      <c r="Q245" s="11"/>
      <c r="R245" s="11"/>
      <c r="S245" s="11"/>
      <c r="T245" s="12" t="str">
        <f aca="false">IF($C245="","",IFERROR(INDEX('Aisle Loss Data'!$B$2:$B$1931,MATCH(TRIM($C245)&amp;"|1",'Aisle Loss Data'!$E$2:$E$1931,0)),"No Loss")&amp;IFERROR(","&amp;INDEX('Aisle Loss Data'!$B$2:$B$1931,MATCH(TRIM($C245)&amp;"|2",'Aisle Loss Data'!$E$2:$E$1931,0)),""))</f>
        <v>A,E</v>
      </c>
      <c r="U245" s="13" t="n">
        <f aca="false">IF($C245="","",IFERROR(INDEX('Aisle Loss Data'!$C$2:$C$1931,MATCH(TRIM($C245)&amp;"|1",'Aisle Loss Data'!$E$2:$E$1931,0)),0)+IFERROR(INDEX('Aisle Loss Data'!$C$2:$C$1931,MATCH(TRIM($C245)&amp;"|2",'Aisle Loss Data'!$E$2:$E$1931,0)),0))</f>
        <v>5686.96</v>
      </c>
      <c r="V245" s="7"/>
      <c r="W245" s="7"/>
      <c r="X245" s="7"/>
      <c r="Y245" s="7"/>
      <c r="Z245" s="7"/>
    </row>
    <row r="246" customFormat="false" ht="15.75" hidden="false" customHeight="true" outlineLevel="0" collapsed="false">
      <c r="A246" s="8" t="s">
        <v>21</v>
      </c>
      <c r="B246" s="9" t="s">
        <v>22</v>
      </c>
      <c r="C246" s="8" t="s">
        <v>286</v>
      </c>
      <c r="D246" s="9" t="str">
        <f aca="false" t="array" ref="D246:D246">IF(C246="","",IFERROR(INDEX('CLM &amp; IM Mapping'!$B$2:$B$270,MATCH(TRIM(C246),'CLM &amp; IM Mapping'!$A$2:$A$270,0)),"Not Mapped"))</f>
        <v>Manoj Kj</v>
      </c>
      <c r="E246" s="9" t="str">
        <f aca="false" t="array" ref="E246:E246">IF(C246="","",IFERROR(INDEX('CLM &amp; IM Mapping'!$C$2:$C$270,MATCH(TRIM(C246),'CLM &amp; IM Mapping'!$A$2:$A$270,0)),"Not Mapped"))</f>
        <v>Srittam Dhal</v>
      </c>
      <c r="F246" s="9" t="s">
        <v>27</v>
      </c>
      <c r="G246" s="10" t="n">
        <v>-22263</v>
      </c>
      <c r="H246" s="10" t="n">
        <v>19</v>
      </c>
      <c r="I246" s="10" t="n">
        <v>854</v>
      </c>
      <c r="J246" s="10" t="n">
        <v>0</v>
      </c>
      <c r="K246" s="10" t="n">
        <v>51</v>
      </c>
      <c r="L246" s="10" t="n">
        <v>0</v>
      </c>
      <c r="M246" s="10" t="n">
        <v>0</v>
      </c>
      <c r="N246" s="10" t="n">
        <v>0</v>
      </c>
      <c r="O246" s="10" t="n">
        <v>-21339</v>
      </c>
      <c r="P246" s="11"/>
      <c r="Q246" s="11"/>
      <c r="R246" s="11"/>
      <c r="S246" s="11"/>
      <c r="T246" s="12" t="str">
        <f aca="false">IF($C246="","",IFERROR(INDEX('Aisle Loss Data'!$B$2:$B$1931,MATCH(TRIM($C246)&amp;"|1",'Aisle Loss Data'!$E$2:$E$1931,0)),"No Loss")&amp;IFERROR(","&amp;INDEX('Aisle Loss Data'!$B$2:$B$1931,MATCH(TRIM($C246)&amp;"|2",'Aisle Loss Data'!$E$2:$E$1931,0)),""))</f>
        <v>1,H</v>
      </c>
      <c r="U246" s="13" t="n">
        <f aca="false">IF($C246="","",IFERROR(INDEX('Aisle Loss Data'!$C$2:$C$1931,MATCH(TRIM($C246)&amp;"|1",'Aisle Loss Data'!$E$2:$E$1931,0)),0)+IFERROR(INDEX('Aisle Loss Data'!$C$2:$C$1931,MATCH(TRIM($C246)&amp;"|2",'Aisle Loss Data'!$E$2:$E$1931,0)),0))</f>
        <v>708.87</v>
      </c>
      <c r="V246" s="7"/>
      <c r="W246" s="7"/>
      <c r="X246" s="7"/>
      <c r="Y246" s="7"/>
      <c r="Z246" s="7"/>
    </row>
    <row r="247" customFormat="false" ht="15.75" hidden="false" customHeight="true" outlineLevel="0" collapsed="false">
      <c r="A247" s="8" t="s">
        <v>21</v>
      </c>
      <c r="B247" s="9" t="s">
        <v>22</v>
      </c>
      <c r="C247" s="8" t="s">
        <v>287</v>
      </c>
      <c r="D247" s="9" t="str">
        <f aca="false" t="array" ref="D247:D247">IF(C247="","",IFERROR(INDEX('CLM &amp; IM Mapping'!$B$2:$B$270,MATCH(TRIM(C247),'CLM &amp; IM Mapping'!$A$2:$A$270,0)),"Not Mapped"))</f>
        <v>Balaji G</v>
      </c>
      <c r="E247" s="9" t="str">
        <f aca="false" t="array" ref="E247:E247">IF(C247="","",IFERROR(INDEX('CLM &amp; IM Mapping'!$C$2:$C$270,MATCH(TRIM(C247),'CLM &amp; IM Mapping'!$A$2:$A$270,0)),"Not Mapped"))</f>
        <v>Mohammed Akbar</v>
      </c>
      <c r="F247" s="9" t="s">
        <v>27</v>
      </c>
      <c r="G247" s="10" t="n">
        <v>-25168</v>
      </c>
      <c r="H247" s="10" t="n">
        <v>2458</v>
      </c>
      <c r="I247" s="10" t="n">
        <v>0</v>
      </c>
      <c r="J247" s="10" t="n">
        <v>0</v>
      </c>
      <c r="K247" s="10" t="n">
        <v>113</v>
      </c>
      <c r="L247" s="10" t="n">
        <v>0</v>
      </c>
      <c r="M247" s="10" t="n">
        <v>0</v>
      </c>
      <c r="N247" s="10" t="n">
        <v>0</v>
      </c>
      <c r="O247" s="10" t="n">
        <v>-22597</v>
      </c>
      <c r="P247" s="11"/>
      <c r="Q247" s="11"/>
      <c r="R247" s="11"/>
      <c r="S247" s="11"/>
      <c r="T247" s="12" t="str">
        <f aca="false">IF($C247="","",IFERROR(INDEX('Aisle Loss Data'!$B$2:$B$1931,MATCH(TRIM($C247)&amp;"|1",'Aisle Loss Data'!$E$2:$E$1931,0)),"No Loss")&amp;IFERROR(","&amp;INDEX('Aisle Loss Data'!$B$2:$B$1931,MATCH(TRIM($C247)&amp;"|2",'Aisle Loss Data'!$E$2:$E$1931,0)),""))</f>
        <v>I,H</v>
      </c>
      <c r="U247" s="13" t="n">
        <f aca="false">IF($C247="","",IFERROR(INDEX('Aisle Loss Data'!$C$2:$C$1931,MATCH(TRIM($C247)&amp;"|1",'Aisle Loss Data'!$E$2:$E$1931,0)),0)+IFERROR(INDEX('Aisle Loss Data'!$C$2:$C$1931,MATCH(TRIM($C247)&amp;"|2",'Aisle Loss Data'!$E$2:$E$1931,0)),0))</f>
        <v>6845.68</v>
      </c>
      <c r="V247" s="7"/>
      <c r="W247" s="7"/>
      <c r="X247" s="7"/>
      <c r="Y247" s="7"/>
      <c r="Z247" s="7"/>
    </row>
    <row r="248" customFormat="false" ht="15.75" hidden="false" customHeight="true" outlineLevel="0" collapsed="false">
      <c r="A248" s="8" t="s">
        <v>21</v>
      </c>
      <c r="B248" s="9" t="s">
        <v>22</v>
      </c>
      <c r="C248" s="8" t="s">
        <v>288</v>
      </c>
      <c r="D248" s="9" t="str">
        <f aca="false" t="array" ref="D248:D248">IF(C248="","",IFERROR(INDEX('CLM &amp; IM Mapping'!$B$2:$B$270,MATCH(TRIM(C248),'CLM &amp; IM Mapping'!$A$2:$A$270,0)),"Not Mapped"))</f>
        <v>Sundaresh S</v>
      </c>
      <c r="E248" s="9" t="str">
        <f aca="false" t="array" ref="E248:E248">IF(C248="","",IFERROR(INDEX('CLM &amp; IM Mapping'!$C$2:$C$270,MATCH(TRIM(C248),'CLM &amp; IM Mapping'!$A$2:$A$270,0)),"Not Mapped"))</f>
        <v>Un Mapped</v>
      </c>
      <c r="F248" s="9" t="s">
        <v>27</v>
      </c>
      <c r="G248" s="10" t="n">
        <v>-26123</v>
      </c>
      <c r="H248" s="10" t="n">
        <v>1504</v>
      </c>
      <c r="I248" s="10" t="n">
        <v>434</v>
      </c>
      <c r="J248" s="10" t="n">
        <v>527</v>
      </c>
      <c r="K248" s="10" t="n">
        <v>23</v>
      </c>
      <c r="L248" s="10" t="n">
        <v>0</v>
      </c>
      <c r="M248" s="10" t="n">
        <v>404</v>
      </c>
      <c r="N248" s="10" t="n">
        <v>0</v>
      </c>
      <c r="O248" s="10" t="n">
        <v>-23232</v>
      </c>
      <c r="P248" s="11"/>
      <c r="Q248" s="11"/>
      <c r="R248" s="11"/>
      <c r="S248" s="11"/>
      <c r="T248" s="12" t="str">
        <f aca="false">IF($C248="","",IFERROR(INDEX('Aisle Loss Data'!$B$2:$B$1931,MATCH(TRIM($C248)&amp;"|1",'Aisle Loss Data'!$E$2:$E$1931,0)),"No Loss")&amp;IFERROR(","&amp;INDEX('Aisle Loss Data'!$B$2:$B$1931,MATCH(TRIM($C248)&amp;"|2",'Aisle Loss Data'!$E$2:$E$1931,0)),""))</f>
        <v>I,G</v>
      </c>
      <c r="U248" s="13" t="n">
        <f aca="false">IF($C248="","",IFERROR(INDEX('Aisle Loss Data'!$C$2:$C$1931,MATCH(TRIM($C248)&amp;"|1",'Aisle Loss Data'!$E$2:$E$1931,0)),0)+IFERROR(INDEX('Aisle Loss Data'!$C$2:$C$1931,MATCH(TRIM($C248)&amp;"|2",'Aisle Loss Data'!$E$2:$E$1931,0)),0))</f>
        <v>2440.87</v>
      </c>
      <c r="V248" s="7"/>
      <c r="W248" s="7"/>
      <c r="X248" s="7"/>
      <c r="Y248" s="7"/>
      <c r="Z248" s="7"/>
    </row>
    <row r="249" customFormat="false" ht="15.75" hidden="false" customHeight="true" outlineLevel="0" collapsed="false">
      <c r="A249" s="8" t="s">
        <v>21</v>
      </c>
      <c r="B249" s="9" t="s">
        <v>22</v>
      </c>
      <c r="C249" s="8" t="s">
        <v>289</v>
      </c>
      <c r="D249" s="9" t="str">
        <f aca="false" t="array" ref="D249:D249">IF(C249="","",IFERROR(INDEX('CLM &amp; IM Mapping'!$B$2:$B$270,MATCH(TRIM(C249),'CLM &amp; IM Mapping'!$A$2:$A$270,0)),"Not Mapped"))</f>
        <v>Manoj Kj</v>
      </c>
      <c r="E249" s="9" t="str">
        <f aca="false" t="array" ref="E249:E249">IF(C249="","",IFERROR(INDEX('CLM &amp; IM Mapping'!$C$2:$C$270,MATCH(TRIM(C249),'CLM &amp; IM Mapping'!$A$2:$A$270,0)),"Not Mapped"))</f>
        <v>Srittam Dhal</v>
      </c>
      <c r="F249" s="9" t="s">
        <v>27</v>
      </c>
      <c r="G249" s="10" t="n">
        <v>-27495</v>
      </c>
      <c r="H249" s="10" t="n">
        <v>0</v>
      </c>
      <c r="I249" s="10" t="n">
        <v>0</v>
      </c>
      <c r="J249" s="10" t="n">
        <v>0</v>
      </c>
      <c r="K249" s="10" t="n">
        <v>134</v>
      </c>
      <c r="L249" s="10" t="n">
        <v>0</v>
      </c>
      <c r="M249" s="10" t="n">
        <v>2299</v>
      </c>
      <c r="N249" s="10" t="n">
        <v>0</v>
      </c>
      <c r="O249" s="10" t="n">
        <v>-25063</v>
      </c>
      <c r="P249" s="11"/>
      <c r="Q249" s="11"/>
      <c r="R249" s="11"/>
      <c r="S249" s="11"/>
      <c r="T249" s="12" t="str">
        <f aca="false">IF($C249="","",IFERROR(INDEX('Aisle Loss Data'!$B$2:$B$1931,MATCH(TRIM($C249)&amp;"|1",'Aisle Loss Data'!$E$2:$E$1931,0)),"No Loss")&amp;IFERROR(","&amp;INDEX('Aisle Loss Data'!$B$2:$B$1931,MATCH(TRIM($C249)&amp;"|2",'Aisle Loss Data'!$E$2:$E$1931,0)),""))</f>
        <v>I,K</v>
      </c>
      <c r="U249" s="13" t="n">
        <f aca="false">IF($C249="","",IFERROR(INDEX('Aisle Loss Data'!$C$2:$C$1931,MATCH(TRIM($C249)&amp;"|1",'Aisle Loss Data'!$E$2:$E$1931,0)),0)+IFERROR(INDEX('Aisle Loss Data'!$C$2:$C$1931,MATCH(TRIM($C249)&amp;"|2",'Aisle Loss Data'!$E$2:$E$1931,0)),0))</f>
        <v>5514.5</v>
      </c>
      <c r="V249" s="7"/>
      <c r="W249" s="7"/>
      <c r="X249" s="7"/>
      <c r="Y249" s="7"/>
      <c r="Z249" s="7"/>
    </row>
    <row r="250" customFormat="false" ht="15.75" hidden="false" customHeight="true" outlineLevel="0" collapsed="false">
      <c r="A250" s="8" t="s">
        <v>21</v>
      </c>
      <c r="B250" s="9" t="s">
        <v>22</v>
      </c>
      <c r="C250" s="8" t="s">
        <v>290</v>
      </c>
      <c r="D250" s="9" t="str">
        <f aca="false" t="array" ref="D250:D250">IF(C250="","",IFERROR(INDEX('CLM &amp; IM Mapping'!$B$2:$B$270,MATCH(TRIM(C250),'CLM &amp; IM Mapping'!$A$2:$A$270,0)),"Not Mapped"))</f>
        <v>Basil Scariya</v>
      </c>
      <c r="E250" s="9" t="str">
        <f aca="false" t="array" ref="E250:E250">IF(C250="","",IFERROR(INDEX('CLM &amp; IM Mapping'!$C$2:$C$270,MATCH(TRIM(C250),'CLM &amp; IM Mapping'!$A$2:$A$270,0)),"Not Mapped"))</f>
        <v>Prakash BS</v>
      </c>
      <c r="F250" s="9" t="s">
        <v>27</v>
      </c>
      <c r="G250" s="10" t="n">
        <v>-35339</v>
      </c>
      <c r="H250" s="10" t="n">
        <v>4958</v>
      </c>
      <c r="I250" s="10" t="n">
        <v>0</v>
      </c>
      <c r="J250" s="10" t="n">
        <v>4381</v>
      </c>
      <c r="K250" s="10" t="n">
        <v>203</v>
      </c>
      <c r="L250" s="10" t="n">
        <v>0</v>
      </c>
      <c r="M250" s="10" t="n">
        <v>0</v>
      </c>
      <c r="N250" s="10" t="n">
        <v>0</v>
      </c>
      <c r="O250" s="10" t="n">
        <v>-25796</v>
      </c>
      <c r="P250" s="11"/>
      <c r="Q250" s="11"/>
      <c r="R250" s="11"/>
      <c r="S250" s="11"/>
      <c r="T250" s="12" t="str">
        <f aca="false">IF($C250="","",IFERROR(INDEX('Aisle Loss Data'!$B$2:$B$1931,MATCH(TRIM($C250)&amp;"|1",'Aisle Loss Data'!$E$2:$E$1931,0)),"No Loss")&amp;IFERROR(","&amp;INDEX('Aisle Loss Data'!$B$2:$B$1931,MATCH(TRIM($C250)&amp;"|2",'Aisle Loss Data'!$E$2:$E$1931,0)),""))</f>
        <v>A,S</v>
      </c>
      <c r="U250" s="13" t="n">
        <f aca="false">IF($C250="","",IFERROR(INDEX('Aisle Loss Data'!$C$2:$C$1931,MATCH(TRIM($C250)&amp;"|1",'Aisle Loss Data'!$E$2:$E$1931,0)),0)+IFERROR(INDEX('Aisle Loss Data'!$C$2:$C$1931,MATCH(TRIM($C250)&amp;"|2",'Aisle Loss Data'!$E$2:$E$1931,0)),0))</f>
        <v>3662.92</v>
      </c>
      <c r="V250" s="7"/>
      <c r="W250" s="7"/>
      <c r="X250" s="7"/>
      <c r="Y250" s="7"/>
      <c r="Z250" s="7"/>
    </row>
    <row r="251" customFormat="false" ht="15.75" hidden="false" customHeight="true" outlineLevel="0" collapsed="false">
      <c r="A251" s="8" t="s">
        <v>21</v>
      </c>
      <c r="B251" s="9" t="s">
        <v>145</v>
      </c>
      <c r="C251" s="8" t="s">
        <v>291</v>
      </c>
      <c r="D251" s="9" t="str">
        <f aca="false" t="array" ref="D251:D251">IF(C251="","",IFERROR(INDEX('CLM &amp; IM Mapping'!$B$2:$B$270,MATCH(TRIM(C251),'CLM &amp; IM Mapping'!$A$2:$A$270,0)),"Not Mapped"))</f>
        <v>John Britto</v>
      </c>
      <c r="E251" s="9" t="str">
        <f aca="false" t="array" ref="E251:E251">IF(C251="","",IFERROR(INDEX('CLM &amp; IM Mapping'!$C$2:$C$270,MATCH(TRIM(C251),'CLM &amp; IM Mapping'!$A$2:$A$270,0)),"Not Mapped"))</f>
        <v>Aravind S</v>
      </c>
      <c r="F251" s="9" t="s">
        <v>27</v>
      </c>
      <c r="G251" s="10" t="n">
        <v>-28955</v>
      </c>
      <c r="H251" s="10" t="n">
        <v>468</v>
      </c>
      <c r="I251" s="10" t="n">
        <v>0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n">
        <v>0</v>
      </c>
      <c r="O251" s="10" t="n">
        <v>-28487</v>
      </c>
      <c r="P251" s="11"/>
      <c r="Q251" s="11"/>
      <c r="R251" s="11"/>
      <c r="S251" s="11"/>
      <c r="T251" s="12" t="str">
        <f aca="false">IF($C251="","",IFERROR(INDEX('Aisle Loss Data'!$B$2:$B$1931,MATCH(TRIM($C251)&amp;"|1",'Aisle Loss Data'!$E$2:$E$1931,0)),"No Loss")&amp;IFERROR(","&amp;INDEX('Aisle Loss Data'!$B$2:$B$1931,MATCH(TRIM($C251)&amp;"|2",'Aisle Loss Data'!$E$2:$E$1931,0)),""))</f>
        <v>H,G</v>
      </c>
      <c r="U251" s="13" t="n">
        <f aca="false">IF($C251="","",IFERROR(INDEX('Aisle Loss Data'!$C$2:$C$1931,MATCH(TRIM($C251)&amp;"|1",'Aisle Loss Data'!$E$2:$E$1931,0)),0)+IFERROR(INDEX('Aisle Loss Data'!$C$2:$C$1931,MATCH(TRIM($C251)&amp;"|2",'Aisle Loss Data'!$E$2:$E$1931,0)),0))</f>
        <v>5587.33</v>
      </c>
      <c r="V251" s="7"/>
      <c r="W251" s="7"/>
      <c r="X251" s="7"/>
      <c r="Y251" s="7"/>
      <c r="Z251" s="7"/>
    </row>
    <row r="252" customFormat="false" ht="15.75" hidden="false" customHeight="true" outlineLevel="0" collapsed="false">
      <c r="A252" s="8" t="s">
        <v>21</v>
      </c>
      <c r="B252" s="9" t="s">
        <v>22</v>
      </c>
      <c r="C252" s="8" t="s">
        <v>292</v>
      </c>
      <c r="D252" s="9" t="str">
        <f aca="false" t="array" ref="D252:D252">IF(C252="","",IFERROR(INDEX('CLM &amp; IM Mapping'!$B$2:$B$270,MATCH(TRIM(C252),'CLM &amp; IM Mapping'!$A$2:$A$270,0)),"Not Mapped"))</f>
        <v>Mohaideen DH</v>
      </c>
      <c r="E252" s="9" t="str">
        <f aca="false" t="array" ref="E252:E252">IF(C252="","",IFERROR(INDEX('CLM &amp; IM Mapping'!$C$2:$C$270,MATCH(TRIM(C252),'CLM &amp; IM Mapping'!$A$2:$A$270,0)),"Not Mapped"))</f>
        <v>Mohammed Akbar</v>
      </c>
      <c r="F252" s="9" t="s">
        <v>27</v>
      </c>
      <c r="G252" s="10" t="n">
        <v>-31906</v>
      </c>
      <c r="H252" s="10" t="n">
        <v>673</v>
      </c>
      <c r="I252" s="10" t="n">
        <v>0</v>
      </c>
      <c r="J252" s="10" t="n">
        <v>73</v>
      </c>
      <c r="K252" s="10" t="n">
        <v>307</v>
      </c>
      <c r="L252" s="10" t="n">
        <v>0</v>
      </c>
      <c r="M252" s="10" t="n">
        <v>0</v>
      </c>
      <c r="N252" s="10" t="n">
        <v>0</v>
      </c>
      <c r="O252" s="10" t="n">
        <v>-30854</v>
      </c>
      <c r="P252" s="11"/>
      <c r="Q252" s="11"/>
      <c r="R252" s="11"/>
      <c r="S252" s="11"/>
      <c r="T252" s="12" t="str">
        <f aca="false">IF($C252="","",IFERROR(INDEX('Aisle Loss Data'!$B$2:$B$1931,MATCH(TRIM($C252)&amp;"|1",'Aisle Loss Data'!$E$2:$E$1931,0)),"No Loss")&amp;IFERROR(","&amp;INDEX('Aisle Loss Data'!$B$2:$B$1931,MATCH(TRIM($C252)&amp;"|2",'Aisle Loss Data'!$E$2:$E$1931,0)),""))</f>
        <v>S,1</v>
      </c>
      <c r="U252" s="13" t="n">
        <f aca="false">IF($C252="","",IFERROR(INDEX('Aisle Loss Data'!$C$2:$C$1931,MATCH(TRIM($C252)&amp;"|1",'Aisle Loss Data'!$E$2:$E$1931,0)),0)+IFERROR(INDEX('Aisle Loss Data'!$C$2:$C$1931,MATCH(TRIM($C252)&amp;"|2",'Aisle Loss Data'!$E$2:$E$1931,0)),0))</f>
        <v>2644.59</v>
      </c>
      <c r="V252" s="7"/>
      <c r="W252" s="7"/>
      <c r="X252" s="7"/>
      <c r="Y252" s="7"/>
      <c r="Z252" s="7"/>
    </row>
    <row r="253" customFormat="false" ht="15.75" hidden="false" customHeight="true" outlineLevel="0" collapsed="false">
      <c r="A253" s="8" t="s">
        <v>21</v>
      </c>
      <c r="B253" s="9" t="s">
        <v>22</v>
      </c>
      <c r="C253" s="8" t="s">
        <v>293</v>
      </c>
      <c r="D253" s="9" t="str">
        <f aca="false" t="array" ref="D253:D253">IF(C253="","",IFERROR(INDEX('CLM &amp; IM Mapping'!$B$2:$B$270,MATCH(TRIM(C253),'CLM &amp; IM Mapping'!$A$2:$A$270,0)),"Not Mapped"))</f>
        <v>Sundaresh S</v>
      </c>
      <c r="E253" s="9" t="str">
        <f aca="false" t="array" ref="E253:E253">IF(C253="","",IFERROR(INDEX('CLM &amp; IM Mapping'!$C$2:$C$270,MATCH(TRIM(C253),'CLM &amp; IM Mapping'!$A$2:$A$270,0)),"Not Mapped"))</f>
        <v>Un Mapped</v>
      </c>
      <c r="F253" s="9" t="s">
        <v>27</v>
      </c>
      <c r="G253" s="10" t="n">
        <v>-46534</v>
      </c>
      <c r="H253" s="10" t="n">
        <v>14756</v>
      </c>
      <c r="I253" s="10" t="n">
        <v>0</v>
      </c>
      <c r="J253" s="10" t="n">
        <v>0</v>
      </c>
      <c r="K253" s="10" t="n">
        <v>516</v>
      </c>
      <c r="L253" s="10" t="n">
        <v>0</v>
      </c>
      <c r="M253" s="10" t="n">
        <v>0</v>
      </c>
      <c r="N253" s="10" t="n">
        <v>0</v>
      </c>
      <c r="O253" s="10" t="n">
        <v>-31262</v>
      </c>
      <c r="P253" s="11"/>
      <c r="Q253" s="11"/>
      <c r="R253" s="11"/>
      <c r="S253" s="11"/>
      <c r="T253" s="12" t="str">
        <f aca="false">IF($C253="","",IFERROR(INDEX('Aisle Loss Data'!$B$2:$B$1931,MATCH(TRIM($C253)&amp;"|1",'Aisle Loss Data'!$E$2:$E$1931,0)),"No Loss")&amp;IFERROR(","&amp;INDEX('Aisle Loss Data'!$B$2:$B$1931,MATCH(TRIM($C253)&amp;"|2",'Aisle Loss Data'!$E$2:$E$1931,0)),""))</f>
        <v>D,G</v>
      </c>
      <c r="U253" s="13" t="n">
        <f aca="false">IF($C253="","",IFERROR(INDEX('Aisle Loss Data'!$C$2:$C$1931,MATCH(TRIM($C253)&amp;"|1",'Aisle Loss Data'!$E$2:$E$1931,0)),0)+IFERROR(INDEX('Aisle Loss Data'!$C$2:$C$1931,MATCH(TRIM($C253)&amp;"|2",'Aisle Loss Data'!$E$2:$E$1931,0)),0))</f>
        <v>10279.35</v>
      </c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8" t="s">
        <v>21</v>
      </c>
      <c r="B254" s="9" t="s">
        <v>22</v>
      </c>
      <c r="C254" s="8" t="s">
        <v>294</v>
      </c>
      <c r="D254" s="9" t="str">
        <f aca="false" t="array" ref="D254:D254">IF(C254="","",IFERROR(INDEX('CLM &amp; IM Mapping'!$B$2:$B$270,MATCH(TRIM(C254),'CLM &amp; IM Mapping'!$A$2:$A$270,0)),"Not Mapped"))</f>
        <v>Balaji G</v>
      </c>
      <c r="E254" s="9" t="str">
        <f aca="false" t="array" ref="E254:E254">IF(C254="","",IFERROR(INDEX('CLM &amp; IM Mapping'!$C$2:$C$270,MATCH(TRIM(C254),'CLM &amp; IM Mapping'!$A$2:$A$270,0)),"Not Mapped"))</f>
        <v>Mohammed Akbar</v>
      </c>
      <c r="F254" s="9" t="s">
        <v>27</v>
      </c>
      <c r="G254" s="10" t="n">
        <v>-38209</v>
      </c>
      <c r="H254" s="10" t="n">
        <v>1162</v>
      </c>
      <c r="I254" s="10" t="n">
        <v>0</v>
      </c>
      <c r="J254" s="10" t="n">
        <v>970</v>
      </c>
      <c r="K254" s="10" t="n">
        <v>1331</v>
      </c>
      <c r="L254" s="10" t="n">
        <v>0</v>
      </c>
      <c r="M254" s="10" t="n">
        <v>0</v>
      </c>
      <c r="N254" s="10" t="n">
        <v>0</v>
      </c>
      <c r="O254" s="10" t="n">
        <v>-34746</v>
      </c>
      <c r="P254" s="11"/>
      <c r="Q254" s="11"/>
      <c r="R254" s="11"/>
      <c r="S254" s="11"/>
      <c r="T254" s="12" t="str">
        <f aca="false">IF($C254="","",IFERROR(INDEX('Aisle Loss Data'!$B$2:$B$1931,MATCH(TRIM($C254)&amp;"|1",'Aisle Loss Data'!$E$2:$E$1931,0)),"No Loss")&amp;IFERROR(","&amp;INDEX('Aisle Loss Data'!$B$2:$B$1931,MATCH(TRIM($C254)&amp;"|2",'Aisle Loss Data'!$E$2:$E$1931,0)),""))</f>
        <v>F,B</v>
      </c>
      <c r="U254" s="13" t="n">
        <f aca="false">IF($C254="","",IFERROR(INDEX('Aisle Loss Data'!$C$2:$C$1931,MATCH(TRIM($C254)&amp;"|1",'Aisle Loss Data'!$E$2:$E$1931,0)),0)+IFERROR(INDEX('Aisle Loss Data'!$C$2:$C$1931,MATCH(TRIM($C254)&amp;"|2",'Aisle Loss Data'!$E$2:$E$1931,0)),0))</f>
        <v>3677.64</v>
      </c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8" t="s">
        <v>21</v>
      </c>
      <c r="B255" s="9" t="s">
        <v>22</v>
      </c>
      <c r="C255" s="8" t="s">
        <v>295</v>
      </c>
      <c r="D255" s="9" t="str">
        <f aca="false" t="array" ref="D255:D255">IF(C255="","",IFERROR(INDEX('CLM &amp; IM Mapping'!$B$2:$B$270,MATCH(TRIM(C255),'CLM &amp; IM Mapping'!$A$2:$A$270,0)),"Not Mapped"))</f>
        <v>Saddam Hussain</v>
      </c>
      <c r="E255" s="9" t="str">
        <f aca="false" t="array" ref="E255:E255">IF(C255="","",IFERROR(INDEX('CLM &amp; IM Mapping'!$C$2:$C$270,MATCH(TRIM(C255),'CLM &amp; IM Mapping'!$A$2:$A$270,0)),"Not Mapped"))</f>
        <v>Un Mapped</v>
      </c>
      <c r="F255" s="9" t="s">
        <v>27</v>
      </c>
      <c r="G255" s="10" t="n">
        <v>-39484</v>
      </c>
      <c r="H255" s="10" t="n">
        <v>2408</v>
      </c>
      <c r="I255" s="10" t="n">
        <v>0</v>
      </c>
      <c r="J255" s="10" t="n">
        <v>195</v>
      </c>
      <c r="K255" s="10" t="n">
        <v>152</v>
      </c>
      <c r="L255" s="10" t="n">
        <v>0</v>
      </c>
      <c r="M255" s="10" t="n">
        <v>0</v>
      </c>
      <c r="N255" s="10" t="n">
        <v>0</v>
      </c>
      <c r="O255" s="10" t="n">
        <v>-36730</v>
      </c>
      <c r="P255" s="11"/>
      <c r="Q255" s="11"/>
      <c r="R255" s="11"/>
      <c r="S255" s="11"/>
      <c r="T255" s="12" t="str">
        <f aca="false">IF($C255="","",IFERROR(INDEX('Aisle Loss Data'!$B$2:$B$1931,MATCH(TRIM($C255)&amp;"|1",'Aisle Loss Data'!$E$2:$E$1931,0)),"No Loss")&amp;IFERROR(","&amp;INDEX('Aisle Loss Data'!$B$2:$B$1931,MATCH(TRIM($C255)&amp;"|2",'Aisle Loss Data'!$E$2:$E$1931,0)),""))</f>
        <v>I,1</v>
      </c>
      <c r="U255" s="13" t="n">
        <f aca="false">IF($C255="","",IFERROR(INDEX('Aisle Loss Data'!$C$2:$C$1931,MATCH(TRIM($C255)&amp;"|1",'Aisle Loss Data'!$E$2:$E$1931,0)),0)+IFERROR(INDEX('Aisle Loss Data'!$C$2:$C$1931,MATCH(TRIM($C255)&amp;"|2",'Aisle Loss Data'!$E$2:$E$1931,0)),0))</f>
        <v>2994.98</v>
      </c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8" t="s">
        <v>21</v>
      </c>
      <c r="B256" s="9" t="s">
        <v>22</v>
      </c>
      <c r="C256" s="8" t="s">
        <v>296</v>
      </c>
      <c r="D256" s="9" t="str">
        <f aca="false" t="array" ref="D256:D256">IF(C256="","",IFERROR(INDEX('CLM &amp; IM Mapping'!$B$2:$B$270,MATCH(TRIM(C256),'CLM &amp; IM Mapping'!$A$2:$A$270,0)),"Not Mapped"))</f>
        <v>Sundaresh S</v>
      </c>
      <c r="E256" s="9" t="str">
        <f aca="false" t="array" ref="E256:E256">IF(C256="","",IFERROR(INDEX('CLM &amp; IM Mapping'!$C$2:$C$270,MATCH(TRIM(C256),'CLM &amp; IM Mapping'!$A$2:$A$270,0)),"Not Mapped"))</f>
        <v>Un Mapped</v>
      </c>
      <c r="F256" s="9" t="s">
        <v>27</v>
      </c>
      <c r="G256" s="10" t="n">
        <v>-46491</v>
      </c>
      <c r="H256" s="10" t="n">
        <v>6605</v>
      </c>
      <c r="I256" s="10" t="n">
        <v>1245</v>
      </c>
      <c r="J256" s="10" t="n">
        <v>0</v>
      </c>
      <c r="K256" s="10" t="n">
        <v>1245</v>
      </c>
      <c r="L256" s="10" t="n">
        <v>0</v>
      </c>
      <c r="M256" s="10" t="n">
        <v>0</v>
      </c>
      <c r="N256" s="10" t="n">
        <v>0</v>
      </c>
      <c r="O256" s="10" t="n">
        <v>-37396</v>
      </c>
      <c r="P256" s="11"/>
      <c r="Q256" s="11"/>
      <c r="R256" s="11"/>
      <c r="S256" s="11"/>
      <c r="T256" s="12" t="str">
        <f aca="false">IF($C256="","",IFERROR(INDEX('Aisle Loss Data'!$B$2:$B$1931,MATCH(TRIM($C256)&amp;"|1",'Aisle Loss Data'!$E$2:$E$1931,0)),"No Loss")&amp;IFERROR(","&amp;INDEX('Aisle Loss Data'!$B$2:$B$1931,MATCH(TRIM($C256)&amp;"|2",'Aisle Loss Data'!$E$2:$E$1931,0)),""))</f>
        <v>I</v>
      </c>
      <c r="U256" s="13" t="n">
        <f aca="false">IF($C256="","",IFERROR(INDEX('Aisle Loss Data'!$C$2:$C$1931,MATCH(TRIM($C256)&amp;"|1",'Aisle Loss Data'!$E$2:$E$1931,0)),0)+IFERROR(INDEX('Aisle Loss Data'!$C$2:$C$1931,MATCH(TRIM($C256)&amp;"|2",'Aisle Loss Data'!$E$2:$E$1931,0)),0))</f>
        <v>479.26</v>
      </c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8" t="s">
        <v>21</v>
      </c>
      <c r="B257" s="9" t="s">
        <v>22</v>
      </c>
      <c r="C257" s="9" t="s">
        <v>297</v>
      </c>
      <c r="D257" s="9" t="str">
        <f aca="false" t="array" ref="D257:D257">IF(C257="","",IFERROR(INDEX('CLM &amp; IM Mapping'!$B$2:$B$270,MATCH(TRIM(C257),'CLM &amp; IM Mapping'!$A$2:$A$270,0)),"Not Mapped"))</f>
        <v>Suhas N</v>
      </c>
      <c r="E257" s="9" t="str">
        <f aca="false" t="array" ref="E257:E257">IF(C257="","",IFERROR(INDEX('CLM &amp; IM Mapping'!$C$2:$C$270,MATCH(TRIM(C257),'CLM &amp; IM Mapping'!$A$2:$A$270,0)),"Not Mapped"))</f>
        <v>Aravind S</v>
      </c>
      <c r="F257" s="9" t="s">
        <v>27</v>
      </c>
      <c r="G257" s="10" t="n">
        <v>-44048</v>
      </c>
      <c r="H257" s="10" t="n">
        <v>978</v>
      </c>
      <c r="I257" s="10" t="n">
        <v>0</v>
      </c>
      <c r="J257" s="10" t="n">
        <v>184</v>
      </c>
      <c r="K257" s="10" t="n">
        <v>73</v>
      </c>
      <c r="L257" s="10" t="n">
        <v>0</v>
      </c>
      <c r="M257" s="10" t="n">
        <v>0</v>
      </c>
      <c r="N257" s="10" t="n">
        <v>0</v>
      </c>
      <c r="O257" s="10" t="n">
        <v>-42812</v>
      </c>
      <c r="P257" s="11"/>
      <c r="Q257" s="11"/>
      <c r="R257" s="11"/>
      <c r="S257" s="11"/>
      <c r="T257" s="12" t="str">
        <f aca="false">IF($C257="","",IFERROR(INDEX('Aisle Loss Data'!$B$2:$B$1931,MATCH(TRIM($C257)&amp;"|1",'Aisle Loss Data'!$E$2:$E$1931,0)),"No Loss")&amp;IFERROR(","&amp;INDEX('Aisle Loss Data'!$B$2:$B$1931,MATCH(TRIM($C257)&amp;"|2",'Aisle Loss Data'!$E$2:$E$1931,0)),""))</f>
        <v>I,G</v>
      </c>
      <c r="U257" s="13" t="n">
        <f aca="false">IF($C257="","",IFERROR(INDEX('Aisle Loss Data'!$C$2:$C$1931,MATCH(TRIM($C257)&amp;"|1",'Aisle Loss Data'!$E$2:$E$1931,0)),0)+IFERROR(INDEX('Aisle Loss Data'!$C$2:$C$1931,MATCH(TRIM($C257)&amp;"|2",'Aisle Loss Data'!$E$2:$E$1931,0)),0))</f>
        <v>11029.78</v>
      </c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8" t="s">
        <v>21</v>
      </c>
      <c r="B258" s="9" t="s">
        <v>22</v>
      </c>
      <c r="C258" s="8" t="s">
        <v>298</v>
      </c>
      <c r="D258" s="9" t="str">
        <f aca="false" t="array" ref="D258:D258">IF(C258="","",IFERROR(INDEX('CLM &amp; IM Mapping'!$B$2:$B$270,MATCH(TRIM(C258),'CLM &amp; IM Mapping'!$A$2:$A$270,0)),"Not Mapped"))</f>
        <v>Saddam Hussain</v>
      </c>
      <c r="E258" s="9" t="str">
        <f aca="false" t="array" ref="E258:E258">IF(C258="","",IFERROR(INDEX('CLM &amp; IM Mapping'!$C$2:$C$270,MATCH(TRIM(C258),'CLM &amp; IM Mapping'!$A$2:$A$270,0)),"Not Mapped"))</f>
        <v>Un Mapped</v>
      </c>
      <c r="F258" s="9" t="s">
        <v>27</v>
      </c>
      <c r="G258" s="10" t="n">
        <v>-51686</v>
      </c>
      <c r="H258" s="10" t="n">
        <v>4063</v>
      </c>
      <c r="I258" s="10" t="n">
        <v>1111</v>
      </c>
      <c r="J258" s="10" t="n">
        <v>672</v>
      </c>
      <c r="K258" s="10" t="n">
        <v>1461</v>
      </c>
      <c r="L258" s="10" t="n">
        <v>0</v>
      </c>
      <c r="M258" s="10" t="n">
        <v>0</v>
      </c>
      <c r="N258" s="10" t="n">
        <v>0</v>
      </c>
      <c r="O258" s="10" t="n">
        <v>-44378</v>
      </c>
      <c r="P258" s="11"/>
      <c r="Q258" s="11"/>
      <c r="R258" s="11"/>
      <c r="S258" s="11"/>
      <c r="T258" s="12" t="str">
        <f aca="false">IF($C258="","",IFERROR(INDEX('Aisle Loss Data'!$B$2:$B$1931,MATCH(TRIM($C258)&amp;"|1",'Aisle Loss Data'!$E$2:$E$1931,0)),"No Loss")&amp;IFERROR(","&amp;INDEX('Aisle Loss Data'!$B$2:$B$1931,MATCH(TRIM($C258)&amp;"|2",'Aisle Loss Data'!$E$2:$E$1931,0)),""))</f>
        <v>1,F</v>
      </c>
      <c r="U258" s="13" t="n">
        <f aca="false">IF($C258="","",IFERROR(INDEX('Aisle Loss Data'!$C$2:$C$1931,MATCH(TRIM($C258)&amp;"|1",'Aisle Loss Data'!$E$2:$E$1931,0)),0)+IFERROR(INDEX('Aisle Loss Data'!$C$2:$C$1931,MATCH(TRIM($C258)&amp;"|2",'Aisle Loss Data'!$E$2:$E$1931,0)),0))</f>
        <v>3775.26</v>
      </c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8" t="s">
        <v>21</v>
      </c>
      <c r="B259" s="9" t="s">
        <v>22</v>
      </c>
      <c r="C259" s="8" t="s">
        <v>299</v>
      </c>
      <c r="D259" s="9" t="str">
        <f aca="false" t="array" ref="D259:D259">IF(C259="","",IFERROR(INDEX('CLM &amp; IM Mapping'!$B$2:$B$270,MATCH(TRIM(C259),'CLM &amp; IM Mapping'!$A$2:$A$270,0)),"Not Mapped"))</f>
        <v>Balaji G</v>
      </c>
      <c r="E259" s="9" t="str">
        <f aca="false" t="array" ref="E259:E259">IF(C259="","",IFERROR(INDEX('CLM &amp; IM Mapping'!$C$2:$C$270,MATCH(TRIM(C259),'CLM &amp; IM Mapping'!$A$2:$A$270,0)),"Not Mapped"))</f>
        <v>Mohammed Akbar</v>
      </c>
      <c r="F259" s="9" t="s">
        <v>27</v>
      </c>
      <c r="G259" s="10" t="n">
        <v>-46809</v>
      </c>
      <c r="H259" s="10" t="n">
        <v>291</v>
      </c>
      <c r="I259" s="10" t="n">
        <v>0</v>
      </c>
      <c r="J259" s="10" t="n">
        <v>0</v>
      </c>
      <c r="K259" s="10" t="n">
        <v>179</v>
      </c>
      <c r="L259" s="10" t="n">
        <v>0</v>
      </c>
      <c r="M259" s="10" t="n">
        <v>1166</v>
      </c>
      <c r="N259" s="10" t="n">
        <v>0</v>
      </c>
      <c r="O259" s="10" t="n">
        <v>-45174</v>
      </c>
      <c r="P259" s="11"/>
      <c r="Q259" s="11"/>
      <c r="R259" s="11"/>
      <c r="S259" s="11"/>
      <c r="T259" s="12" t="str">
        <f aca="false">IF($C259="","",IFERROR(INDEX('Aisle Loss Data'!$B$2:$B$1931,MATCH(TRIM($C259)&amp;"|1",'Aisle Loss Data'!$E$2:$E$1931,0)),"No Loss")&amp;IFERROR(","&amp;INDEX('Aisle Loss Data'!$B$2:$B$1931,MATCH(TRIM($C259)&amp;"|2",'Aisle Loss Data'!$E$2:$E$1931,0)),""))</f>
        <v>B</v>
      </c>
      <c r="U259" s="13" t="n">
        <f aca="false">IF($C259="","",IFERROR(INDEX('Aisle Loss Data'!$C$2:$C$1931,MATCH(TRIM($C259)&amp;"|1",'Aisle Loss Data'!$E$2:$E$1931,0)),0)+IFERROR(INDEX('Aisle Loss Data'!$C$2:$C$1931,MATCH(TRIM($C259)&amp;"|2",'Aisle Loss Data'!$E$2:$E$1931,0)),0))</f>
        <v>18715.15</v>
      </c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8" t="s">
        <v>21</v>
      </c>
      <c r="B260" s="9" t="s">
        <v>22</v>
      </c>
      <c r="C260" s="8" t="s">
        <v>300</v>
      </c>
      <c r="D260" s="9" t="str">
        <f aca="false" t="array" ref="D260:D260">IF(C260="","",IFERROR(INDEX('CLM &amp; IM Mapping'!$B$2:$B$270,MATCH(TRIM(C260),'CLM &amp; IM Mapping'!$A$2:$A$270,0)),"Not Mapped"))</f>
        <v>Arun Raj</v>
      </c>
      <c r="E260" s="9" t="str">
        <f aca="false" t="array" ref="E260:E260">IF(C260="","",IFERROR(INDEX('CLM &amp; IM Mapping'!$C$2:$C$270,MATCH(TRIM(C260),'CLM &amp; IM Mapping'!$A$2:$A$270,0)),"Not Mapped"))</f>
        <v>Simon Manoharan</v>
      </c>
      <c r="F260" s="9" t="s">
        <v>24</v>
      </c>
      <c r="G260" s="10" t="n">
        <v>-253068</v>
      </c>
      <c r="H260" s="10" t="n">
        <v>0</v>
      </c>
      <c r="I260" s="10" t="n">
        <v>0</v>
      </c>
      <c r="J260" s="10" t="n">
        <v>161584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-91484</v>
      </c>
      <c r="P260" s="11"/>
      <c r="Q260" s="11"/>
      <c r="R260" s="11"/>
      <c r="S260" s="11"/>
      <c r="T260" s="12" t="str">
        <f aca="false">IF($C260="","",IFERROR(INDEX('Aisle Loss Data'!$B$2:$B$1931,MATCH(TRIM($C260)&amp;"|1",'Aisle Loss Data'!$E$2:$E$1931,0)),"No Loss")&amp;IFERROR(","&amp;INDEX('Aisle Loss Data'!$B$2:$B$1931,MATCH(TRIM($C260)&amp;"|2",'Aisle Loss Data'!$E$2:$E$1931,0)),""))</f>
        <v>No Loss</v>
      </c>
      <c r="U260" s="13" t="n">
        <f aca="false">IF($C260="","",IFERROR(INDEX('Aisle Loss Data'!$C$2:$C$1931,MATCH(TRIM($C260)&amp;"|1",'Aisle Loss Data'!$E$2:$E$1931,0)),0)+IFERROR(INDEX('Aisle Loss Data'!$C$2:$C$1931,MATCH(TRIM($C260)&amp;"|2",'Aisle Loss Data'!$E$2:$E$1931,0)),0))</f>
        <v>0</v>
      </c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.75" hidden="false" customHeight="true" outlineLevel="0" collapsed="false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.75" hidden="false" customHeight="true" outlineLevel="0" collapsed="false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5.75" hidden="false" customHeight="true" outlineLevel="0" collapsed="false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G2:O260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U2:U260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6.38"/>
    <col collapsed="false" customWidth="true" hidden="false" outlineLevel="0" max="2" min="2" style="0" width="22.25"/>
    <col collapsed="false" customWidth="true" hidden="false" outlineLevel="0" max="3" min="3" style="0" width="18.13"/>
    <col collapsed="false" customWidth="true" hidden="false" outlineLevel="0" max="4" min="4" style="0" width="16.5"/>
    <col collapsed="false" customWidth="true" hidden="false" outlineLevel="0" max="5" min="5" style="0" width="26"/>
    <col collapsed="false" customWidth="true" hidden="false" outlineLevel="0" max="6" min="6" style="0" width="12.38"/>
    <col collapsed="false" customWidth="true" hidden="false" outlineLevel="0" max="7" min="7" style="0" width="10.13"/>
    <col collapsed="false" customWidth="true" hidden="false" outlineLevel="0" max="8" min="8" style="0" width="14.88"/>
    <col collapsed="false" customWidth="true" hidden="false" outlineLevel="0" max="9" min="9" style="0" width="10.25"/>
    <col collapsed="false" customWidth="true" hidden="false" outlineLevel="0" max="10" min="10" style="0" width="10"/>
    <col collapsed="false" customWidth="true" hidden="false" outlineLevel="0" max="11" min="11" style="0" width="9.38"/>
    <col collapsed="false" customWidth="true" hidden="false" outlineLevel="0" max="12" min="12" style="0" width="10.25"/>
    <col collapsed="false" customWidth="true" hidden="false" outlineLevel="0" max="15" min="14" style="0" width="41.5"/>
  </cols>
  <sheetData>
    <row r="1" customFormat="false" ht="15.75" hidden="false" customHeight="true" outlineLevel="0" collapsed="false">
      <c r="A1" s="16" t="s">
        <v>301</v>
      </c>
      <c r="B1" s="16" t="s">
        <v>3</v>
      </c>
      <c r="C1" s="16" t="s">
        <v>4</v>
      </c>
      <c r="D1" s="16" t="s">
        <v>302</v>
      </c>
      <c r="E1" s="16" t="s">
        <v>303</v>
      </c>
      <c r="F1" s="16" t="s">
        <v>304</v>
      </c>
      <c r="G1" s="16" t="s">
        <v>305</v>
      </c>
      <c r="H1" s="16" t="s">
        <v>306</v>
      </c>
      <c r="I1" s="16" t="s">
        <v>307</v>
      </c>
      <c r="J1" s="16" t="s">
        <v>308</v>
      </c>
      <c r="K1" s="16" t="s">
        <v>309</v>
      </c>
      <c r="L1" s="16" t="s">
        <v>310</v>
      </c>
      <c r="M1" s="17" t="s">
        <v>311</v>
      </c>
      <c r="N1" s="17" t="s">
        <v>312</v>
      </c>
      <c r="O1" s="17" t="s">
        <v>313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customFormat="false" ht="15.75" hidden="false" customHeight="true" outlineLevel="0" collapsed="false">
      <c r="A2" s="18" t="s">
        <v>183</v>
      </c>
      <c r="B2" s="18" t="str">
        <f aca="false" t="array" ref="B2:B2">IF(A2="","",IFERROR(INDEX('CLM &amp; IM Mapping'!$B$2:$B$270,MATCH(TRIM(A2),'CLM &amp; IM Mapping'!$A$2:$A$270,0)),"Not Mapped"))</f>
        <v>Akshay P</v>
      </c>
      <c r="C2" s="18" t="str">
        <f aca="false" t="array" ref="C2:C2">IF(A2="","",IFERROR(INDEX('CLM &amp; IM Mapping'!$C$2:$C$270,MATCH(TRIM(A2),'CLM &amp; IM Mapping'!$A$2:$A$270,0)),"Not Mapped"))</f>
        <v>Srittam Dhal</v>
      </c>
      <c r="D2" s="18" t="s">
        <v>27</v>
      </c>
      <c r="E2" s="18" t="s">
        <v>314</v>
      </c>
      <c r="F2" s="18" t="s">
        <v>22</v>
      </c>
      <c r="G2" s="11" t="n">
        <v>5212</v>
      </c>
      <c r="H2" s="19" t="n">
        <v>0.7</v>
      </c>
      <c r="I2" s="20" t="n">
        <v>0</v>
      </c>
      <c r="J2" s="21"/>
      <c r="K2" s="18"/>
      <c r="L2" s="18"/>
      <c r="M2" s="12" t="n">
        <v>1</v>
      </c>
      <c r="N2" s="11"/>
      <c r="O2" s="11"/>
      <c r="P2" s="7"/>
      <c r="Q2" s="7"/>
      <c r="R2" s="7"/>
      <c r="S2" s="7"/>
      <c r="T2" s="7"/>
      <c r="U2" s="7"/>
      <c r="V2" s="7"/>
      <c r="W2" s="7"/>
      <c r="X2" s="7"/>
      <c r="Y2" s="7"/>
      <c r="Z2" s="22"/>
      <c r="AA2" s="22"/>
      <c r="AB2" s="22"/>
      <c r="AC2" s="22"/>
      <c r="AD2" s="7"/>
      <c r="AE2" s="7"/>
      <c r="AF2" s="7"/>
      <c r="AG2" s="7"/>
      <c r="AH2" s="7"/>
      <c r="AI2" s="7"/>
      <c r="AJ2" s="7"/>
      <c r="AK2" s="7"/>
      <c r="AL2" s="7"/>
    </row>
    <row r="3" customFormat="false" ht="15.75" hidden="false" customHeight="true" outlineLevel="0" collapsed="false">
      <c r="A3" s="18" t="s">
        <v>315</v>
      </c>
      <c r="B3" s="18" t="str">
        <f aca="false" t="array" ref="B3:B3">IF(A3="","",IFERROR(INDEX('CLM &amp; IM Mapping'!$B$2:$B$270,MATCH(TRIM(A3),'CLM &amp; IM Mapping'!$A$2:$A$270,0)),"Not Mapped"))</f>
        <v>Basil Scariya</v>
      </c>
      <c r="C3" s="18" t="str">
        <f aca="false" t="array" ref="C3:C3">IF(A3="","",IFERROR(INDEX('CLM &amp; IM Mapping'!$C$2:$C$270,MATCH(TRIM(A3),'CLM &amp; IM Mapping'!$A$2:$A$270,0)),"Not Mapped"))</f>
        <v>Prakash BS</v>
      </c>
      <c r="D3" s="18" t="s">
        <v>27</v>
      </c>
      <c r="E3" s="18" t="s">
        <v>314</v>
      </c>
      <c r="F3" s="18" t="s">
        <v>22</v>
      </c>
      <c r="G3" s="11" t="n">
        <v>7849</v>
      </c>
      <c r="H3" s="19" t="n">
        <v>0.7</v>
      </c>
      <c r="I3" s="20" t="n">
        <v>0</v>
      </c>
      <c r="J3" s="21"/>
      <c r="K3" s="18"/>
      <c r="L3" s="18"/>
      <c r="M3" s="12"/>
      <c r="N3" s="11"/>
      <c r="O3" s="11"/>
      <c r="P3" s="7"/>
      <c r="Q3" s="7"/>
      <c r="R3" s="7"/>
      <c r="S3" s="7"/>
      <c r="T3" s="7"/>
      <c r="U3" s="7"/>
      <c r="V3" s="7"/>
      <c r="W3" s="7"/>
      <c r="X3" s="7"/>
      <c r="Y3" s="7"/>
      <c r="Z3" s="22"/>
      <c r="AA3" s="22"/>
      <c r="AB3" s="22"/>
      <c r="AC3" s="22"/>
      <c r="AD3" s="7"/>
      <c r="AE3" s="7"/>
      <c r="AF3" s="7"/>
      <c r="AG3" s="7"/>
      <c r="AH3" s="7"/>
      <c r="AI3" s="7"/>
      <c r="AJ3" s="7"/>
      <c r="AK3" s="7"/>
      <c r="AL3" s="7"/>
    </row>
    <row r="4" customFormat="false" ht="15.75" hidden="false" customHeight="true" outlineLevel="0" collapsed="false">
      <c r="A4" s="18" t="s">
        <v>184</v>
      </c>
      <c r="B4" s="18" t="str">
        <f aca="false" t="array" ref="B4:B4">IF(A4="","",IFERROR(INDEX('CLM &amp; IM Mapping'!$B$2:$B$270,MATCH(TRIM(A4),'CLM &amp; IM Mapping'!$A$2:$A$270,0)),"Not Mapped"))</f>
        <v>Arun Raj</v>
      </c>
      <c r="C4" s="18" t="str">
        <f aca="false" t="array" ref="C4:C4">IF(A4="","",IFERROR(INDEX('CLM &amp; IM Mapping'!$C$2:$C$270,MATCH(TRIM(A4),'CLM &amp; IM Mapping'!$A$2:$A$270,0)),"Not Mapped"))</f>
        <v>Simon Manoharan</v>
      </c>
      <c r="D4" s="18" t="s">
        <v>24</v>
      </c>
      <c r="E4" s="18" t="s">
        <v>316</v>
      </c>
      <c r="F4" s="18" t="s">
        <v>22</v>
      </c>
      <c r="G4" s="11" t="n">
        <v>12051</v>
      </c>
      <c r="H4" s="19" t="n">
        <v>0.7</v>
      </c>
      <c r="I4" s="20" t="n">
        <v>0</v>
      </c>
      <c r="J4" s="21"/>
      <c r="K4" s="18"/>
      <c r="L4" s="18"/>
      <c r="M4" s="12"/>
      <c r="N4" s="11"/>
      <c r="O4" s="11"/>
      <c r="P4" s="7"/>
      <c r="Q4" s="7"/>
      <c r="R4" s="7"/>
      <c r="S4" s="7"/>
      <c r="T4" s="7"/>
      <c r="U4" s="7"/>
      <c r="V4" s="7"/>
      <c r="W4" s="7"/>
      <c r="X4" s="7"/>
      <c r="Y4" s="7"/>
      <c r="Z4" s="22"/>
      <c r="AA4" s="22"/>
      <c r="AB4" s="22"/>
      <c r="AC4" s="22"/>
      <c r="AD4" s="7"/>
      <c r="AE4" s="7"/>
      <c r="AF4" s="7"/>
      <c r="AG4" s="7"/>
      <c r="AH4" s="7"/>
      <c r="AI4" s="7"/>
      <c r="AJ4" s="7"/>
      <c r="AK4" s="7"/>
      <c r="AL4" s="7"/>
    </row>
    <row r="5" customFormat="false" ht="15.75" hidden="false" customHeight="true" outlineLevel="0" collapsed="false">
      <c r="A5" s="18" t="s">
        <v>107</v>
      </c>
      <c r="B5" s="18" t="str">
        <f aca="false" t="array" ref="B5:B5">IF(A5="","",IFERROR(INDEX('CLM &amp; IM Mapping'!$B$2:$B$270,MATCH(TRIM(A5),'CLM &amp; IM Mapping'!$A$2:$A$270,0)),"Not Mapped"))</f>
        <v>Manoj Kj</v>
      </c>
      <c r="C5" s="18" t="str">
        <f aca="false" t="array" ref="C5:C5">IF(A5="","",IFERROR(INDEX('CLM &amp; IM Mapping'!$C$2:$C$270,MATCH(TRIM(A5),'CLM &amp; IM Mapping'!$A$2:$A$270,0)),"Not Mapped"))</f>
        <v>Srittam Dhal</v>
      </c>
      <c r="D5" s="18" t="s">
        <v>27</v>
      </c>
      <c r="E5" s="18" t="s">
        <v>314</v>
      </c>
      <c r="F5" s="18" t="s">
        <v>22</v>
      </c>
      <c r="G5" s="11" t="n">
        <v>5421</v>
      </c>
      <c r="H5" s="19" t="n">
        <v>0.7</v>
      </c>
      <c r="I5" s="20" t="n">
        <v>0.01</v>
      </c>
      <c r="J5" s="20" t="n">
        <v>0.97</v>
      </c>
      <c r="K5" s="20" t="n">
        <v>0.99</v>
      </c>
      <c r="L5" s="20" t="n">
        <v>0.06</v>
      </c>
      <c r="M5" s="12" t="n">
        <v>5</v>
      </c>
      <c r="N5" s="11"/>
      <c r="O5" s="11"/>
      <c r="P5" s="7"/>
      <c r="Q5" s="7"/>
      <c r="R5" s="7"/>
      <c r="S5" s="7"/>
      <c r="T5" s="7"/>
      <c r="U5" s="7"/>
      <c r="V5" s="7"/>
      <c r="W5" s="7"/>
      <c r="X5" s="7"/>
      <c r="Y5" s="7"/>
      <c r="Z5" s="22"/>
      <c r="AA5" s="22"/>
      <c r="AB5" s="22"/>
      <c r="AC5" s="22"/>
      <c r="AD5" s="7"/>
      <c r="AE5" s="7"/>
      <c r="AF5" s="7"/>
      <c r="AG5" s="7"/>
      <c r="AH5" s="7"/>
      <c r="AI5" s="7"/>
      <c r="AJ5" s="7"/>
      <c r="AK5" s="7"/>
      <c r="AL5" s="7"/>
    </row>
    <row r="6" customFormat="false" ht="15.75" hidden="false" customHeight="true" outlineLevel="0" collapsed="false">
      <c r="A6" s="18" t="s">
        <v>300</v>
      </c>
      <c r="B6" s="18" t="str">
        <f aca="false" t="array" ref="B6:B6">IF(A6="","",IFERROR(INDEX('CLM &amp; IM Mapping'!$B$2:$B$270,MATCH(TRIM(A6),'CLM &amp; IM Mapping'!$A$2:$A$270,0)),"Not Mapped"))</f>
        <v>Arun Raj</v>
      </c>
      <c r="C6" s="18" t="str">
        <f aca="false" t="array" ref="C6:C6">IF(A6="","",IFERROR(INDEX('CLM &amp; IM Mapping'!$C$2:$C$270,MATCH(TRIM(A6),'CLM &amp; IM Mapping'!$A$2:$A$270,0)),"Not Mapped"))</f>
        <v>Simon Manoharan</v>
      </c>
      <c r="D6" s="18" t="s">
        <v>24</v>
      </c>
      <c r="E6" s="18" t="s">
        <v>316</v>
      </c>
      <c r="F6" s="18" t="s">
        <v>22</v>
      </c>
      <c r="G6" s="11" t="n">
        <v>10619</v>
      </c>
      <c r="H6" s="19" t="n">
        <v>0.7</v>
      </c>
      <c r="I6" s="20" t="n">
        <v>0.02</v>
      </c>
      <c r="J6" s="20" t="n">
        <v>0</v>
      </c>
      <c r="K6" s="20" t="n">
        <v>-22.56</v>
      </c>
      <c r="L6" s="20" t="n">
        <v>0</v>
      </c>
      <c r="M6" s="12"/>
      <c r="N6" s="11"/>
      <c r="O6" s="11"/>
      <c r="P6" s="7"/>
      <c r="Q6" s="7"/>
      <c r="R6" s="7"/>
      <c r="S6" s="7"/>
      <c r="T6" s="7"/>
      <c r="U6" s="7"/>
      <c r="V6" s="7"/>
      <c r="W6" s="7"/>
      <c r="X6" s="7"/>
      <c r="Y6" s="7"/>
      <c r="Z6" s="22"/>
      <c r="AA6" s="22"/>
      <c r="AB6" s="22"/>
      <c r="AC6" s="22"/>
      <c r="AD6" s="7"/>
      <c r="AE6" s="7"/>
      <c r="AF6" s="7"/>
      <c r="AG6" s="7"/>
      <c r="AH6" s="7"/>
      <c r="AI6" s="7"/>
      <c r="AJ6" s="7"/>
      <c r="AK6" s="7"/>
      <c r="AL6" s="7"/>
    </row>
    <row r="7" customFormat="false" ht="15.75" hidden="false" customHeight="true" outlineLevel="0" collapsed="false">
      <c r="A7" s="18" t="s">
        <v>264</v>
      </c>
      <c r="B7" s="18" t="str">
        <f aca="false" t="array" ref="B7:B7">IF(A7="","",IFERROR(INDEX('CLM &amp; IM Mapping'!$B$2:$B$270,MATCH(TRIM(A7),'CLM &amp; IM Mapping'!$A$2:$A$270,0)),"Not Mapped"))</f>
        <v>Arun Raj</v>
      </c>
      <c r="C7" s="18" t="str">
        <f aca="false" t="array" ref="C7:C7">IF(A7="","",IFERROR(INDEX('CLM &amp; IM Mapping'!$C$2:$C$270,MATCH(TRIM(A7),'CLM &amp; IM Mapping'!$A$2:$A$270,0)),"Not Mapped"))</f>
        <v>Simon Manoharan</v>
      </c>
      <c r="D7" s="18" t="s">
        <v>24</v>
      </c>
      <c r="E7" s="18" t="s">
        <v>316</v>
      </c>
      <c r="F7" s="18" t="s">
        <v>22</v>
      </c>
      <c r="G7" s="11" t="n">
        <v>13730</v>
      </c>
      <c r="H7" s="19" t="n">
        <v>0.7</v>
      </c>
      <c r="I7" s="20" t="n">
        <v>0.06</v>
      </c>
      <c r="J7" s="20" t="n">
        <v>0.96</v>
      </c>
      <c r="K7" s="20" t="n">
        <v>0.98</v>
      </c>
      <c r="L7" s="20" t="n">
        <v>0.26</v>
      </c>
      <c r="M7" s="12" t="n">
        <v>1</v>
      </c>
      <c r="N7" s="11"/>
      <c r="O7" s="11"/>
      <c r="P7" s="7"/>
      <c r="Q7" s="7"/>
      <c r="R7" s="7"/>
      <c r="S7" s="7"/>
      <c r="T7" s="7"/>
      <c r="U7" s="7"/>
      <c r="V7" s="7"/>
      <c r="W7" s="7"/>
      <c r="X7" s="7"/>
      <c r="Y7" s="7"/>
      <c r="Z7" s="22"/>
      <c r="AA7" s="22"/>
      <c r="AB7" s="22"/>
      <c r="AC7" s="22"/>
      <c r="AD7" s="7"/>
      <c r="AE7" s="7"/>
      <c r="AF7" s="7"/>
      <c r="AG7" s="7"/>
      <c r="AH7" s="7"/>
      <c r="AI7" s="7"/>
      <c r="AJ7" s="7"/>
      <c r="AK7" s="7"/>
      <c r="AL7" s="7"/>
    </row>
    <row r="8" customFormat="false" ht="15.75" hidden="false" customHeight="true" outlineLevel="0" collapsed="false">
      <c r="A8" s="18" t="s">
        <v>212</v>
      </c>
      <c r="B8" s="18" t="str">
        <f aca="false" t="array" ref="B8:B8">IF(A8="","",IFERROR(INDEX('CLM &amp; IM Mapping'!$B$2:$B$270,MATCH(TRIM(A8),'CLM &amp; IM Mapping'!$A$2:$A$270,0)),"Not Mapped"))</f>
        <v>Adhavan Subramani</v>
      </c>
      <c r="C8" s="18" t="str">
        <f aca="false" t="array" ref="C8:C8">IF(A8="","",IFERROR(INDEX('CLM &amp; IM Mapping'!$C$2:$C$270,MATCH(TRIM(A8),'CLM &amp; IM Mapping'!$A$2:$A$270,0)),"Not Mapped"))</f>
        <v>Mohammed Akbar</v>
      </c>
      <c r="D8" s="18" t="s">
        <v>27</v>
      </c>
      <c r="E8" s="18" t="s">
        <v>314</v>
      </c>
      <c r="F8" s="18" t="s">
        <v>22</v>
      </c>
      <c r="G8" s="11" t="n">
        <v>5759</v>
      </c>
      <c r="H8" s="19" t="n">
        <v>0.7</v>
      </c>
      <c r="I8" s="20" t="n">
        <v>0.07</v>
      </c>
      <c r="J8" s="20" t="n">
        <v>0.92</v>
      </c>
      <c r="K8" s="20" t="n">
        <v>0.92</v>
      </c>
      <c r="L8" s="18"/>
      <c r="M8" s="12"/>
      <c r="N8" s="11"/>
      <c r="O8" s="11"/>
      <c r="P8" s="7"/>
      <c r="Q8" s="7"/>
      <c r="R8" s="7"/>
      <c r="S8" s="7"/>
      <c r="T8" s="7"/>
      <c r="U8" s="7"/>
      <c r="V8" s="7"/>
      <c r="W8" s="7"/>
      <c r="X8" s="7"/>
      <c r="Y8" s="7"/>
      <c r="Z8" s="22"/>
      <c r="AA8" s="22"/>
      <c r="AB8" s="22"/>
      <c r="AC8" s="22"/>
      <c r="AD8" s="7"/>
      <c r="AE8" s="7"/>
      <c r="AF8" s="7"/>
      <c r="AG8" s="7"/>
      <c r="AH8" s="7"/>
      <c r="AI8" s="7"/>
      <c r="AJ8" s="7"/>
      <c r="AK8" s="7"/>
      <c r="AL8" s="7"/>
    </row>
    <row r="9" customFormat="false" ht="15.75" hidden="false" customHeight="true" outlineLevel="0" collapsed="false">
      <c r="A9" s="18" t="s">
        <v>200</v>
      </c>
      <c r="B9" s="18" t="str">
        <f aca="false" t="array" ref="B9:B9">IF(A9="","",IFERROR(INDEX('CLM &amp; IM Mapping'!$B$2:$B$270,MATCH(TRIM(A9),'CLM &amp; IM Mapping'!$A$2:$A$270,0)),"Not Mapped"))</f>
        <v>John Britto</v>
      </c>
      <c r="C9" s="18" t="str">
        <f aca="false" t="array" ref="C9:C9">IF(A9="","",IFERROR(INDEX('CLM &amp; IM Mapping'!$C$2:$C$270,MATCH(TRIM(A9),'CLM &amp; IM Mapping'!$A$2:$A$270,0)),"Not Mapped"))</f>
        <v>Aravind S</v>
      </c>
      <c r="D9" s="18" t="s">
        <v>27</v>
      </c>
      <c r="E9" s="18" t="s">
        <v>314</v>
      </c>
      <c r="F9" s="18" t="s">
        <v>145</v>
      </c>
      <c r="G9" s="11" t="n">
        <v>5114</v>
      </c>
      <c r="H9" s="19" t="n">
        <v>0.7</v>
      </c>
      <c r="I9" s="20" t="n">
        <v>0.07</v>
      </c>
      <c r="J9" s="20" t="n">
        <v>0.94</v>
      </c>
      <c r="K9" s="20" t="n">
        <v>0.96</v>
      </c>
      <c r="L9" s="20" t="n">
        <v>0.31</v>
      </c>
      <c r="M9" s="12" t="n">
        <v>1</v>
      </c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22"/>
      <c r="AA9" s="22"/>
      <c r="AB9" s="22"/>
      <c r="AC9" s="22"/>
      <c r="AD9" s="7"/>
      <c r="AE9" s="7"/>
      <c r="AF9" s="7"/>
      <c r="AG9" s="7"/>
      <c r="AH9" s="7"/>
      <c r="AI9" s="7"/>
      <c r="AJ9" s="7"/>
      <c r="AK9" s="7"/>
      <c r="AL9" s="7"/>
    </row>
    <row r="10" customFormat="false" ht="15.75" hidden="false" customHeight="true" outlineLevel="0" collapsed="false">
      <c r="A10" s="18" t="s">
        <v>170</v>
      </c>
      <c r="B10" s="18" t="str">
        <f aca="false" t="array" ref="B10:B10">IF(A10="","",IFERROR(INDEX('CLM &amp; IM Mapping'!$B$2:$B$270,MATCH(TRIM(A10),'CLM &amp; IM Mapping'!$A$2:$A$270,0)),"Not Mapped"))</f>
        <v>John Britto</v>
      </c>
      <c r="C10" s="18" t="str">
        <f aca="false" t="array" ref="C10:C10">IF(A10="","",IFERROR(INDEX('CLM &amp; IM Mapping'!$C$2:$C$270,MATCH(TRIM(A10),'CLM &amp; IM Mapping'!$A$2:$A$270,0)),"Not Mapped"))</f>
        <v>Aravind S</v>
      </c>
      <c r="D10" s="18" t="s">
        <v>27</v>
      </c>
      <c r="E10" s="18" t="s">
        <v>314</v>
      </c>
      <c r="F10" s="18" t="s">
        <v>145</v>
      </c>
      <c r="G10" s="11" t="n">
        <v>6188</v>
      </c>
      <c r="H10" s="19" t="n">
        <v>0.7</v>
      </c>
      <c r="I10" s="20" t="n">
        <v>0.1</v>
      </c>
      <c r="J10" s="20" t="n">
        <v>0.81</v>
      </c>
      <c r="K10" s="20" t="n">
        <v>0.98</v>
      </c>
      <c r="L10" s="20" t="n">
        <v>0.35</v>
      </c>
      <c r="M10" s="12" t="n">
        <v>3</v>
      </c>
      <c r="N10" s="11"/>
      <c r="O10" s="11"/>
      <c r="P10" s="7"/>
      <c r="Q10" s="7"/>
      <c r="R10" s="7"/>
      <c r="S10" s="7"/>
      <c r="T10" s="7"/>
      <c r="U10" s="7"/>
      <c r="V10" s="7"/>
      <c r="W10" s="7"/>
      <c r="X10" s="7"/>
      <c r="Y10" s="7"/>
      <c r="Z10" s="22"/>
      <c r="AA10" s="22"/>
      <c r="AB10" s="22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customFormat="false" ht="15.75" hidden="false" customHeight="true" outlineLevel="0" collapsed="false">
      <c r="A11" s="18" t="s">
        <v>155</v>
      </c>
      <c r="B11" s="18" t="str">
        <f aca="false" t="array" ref="B11:B11">IF(A11="","",IFERROR(INDEX('CLM &amp; IM Mapping'!$B$2:$B$270,MATCH(TRIM(A11),'CLM &amp; IM Mapping'!$A$2:$A$270,0)),"Not Mapped"))</f>
        <v>John Britto</v>
      </c>
      <c r="C11" s="18" t="str">
        <f aca="false" t="array" ref="C11:C11">IF(A11="","",IFERROR(INDEX('CLM &amp; IM Mapping'!$C$2:$C$270,MATCH(TRIM(A11),'CLM &amp; IM Mapping'!$A$2:$A$270,0)),"Not Mapped"))</f>
        <v>Aravind S</v>
      </c>
      <c r="D11" s="18" t="s">
        <v>27</v>
      </c>
      <c r="E11" s="18" t="s">
        <v>314</v>
      </c>
      <c r="F11" s="18" t="s">
        <v>145</v>
      </c>
      <c r="G11" s="11" t="n">
        <v>6277</v>
      </c>
      <c r="H11" s="19" t="n">
        <v>0.7</v>
      </c>
      <c r="I11" s="20" t="n">
        <v>0.1</v>
      </c>
      <c r="J11" s="20" t="n">
        <v>0.81</v>
      </c>
      <c r="K11" s="20" t="n">
        <v>0.97</v>
      </c>
      <c r="L11" s="20" t="n">
        <v>0.37</v>
      </c>
      <c r="M11" s="12" t="n">
        <v>2</v>
      </c>
      <c r="N11" s="11"/>
      <c r="O11" s="11"/>
      <c r="P11" s="7"/>
      <c r="Q11" s="7"/>
      <c r="R11" s="7"/>
      <c r="S11" s="7"/>
      <c r="T11" s="7"/>
      <c r="U11" s="7"/>
      <c r="V11" s="7"/>
      <c r="W11" s="7"/>
      <c r="X11" s="7"/>
      <c r="Y11" s="7"/>
      <c r="Z11" s="22"/>
      <c r="AA11" s="22"/>
      <c r="AB11" s="22"/>
      <c r="AC11" s="22"/>
      <c r="AD11" s="7"/>
      <c r="AE11" s="7"/>
      <c r="AF11" s="7"/>
      <c r="AG11" s="7"/>
      <c r="AH11" s="7"/>
      <c r="AI11" s="7"/>
      <c r="AJ11" s="7"/>
      <c r="AK11" s="7"/>
      <c r="AL11" s="7"/>
    </row>
    <row r="12" customFormat="false" ht="15.75" hidden="false" customHeight="true" outlineLevel="0" collapsed="false">
      <c r="A12" s="18" t="s">
        <v>106</v>
      </c>
      <c r="B12" s="18" t="str">
        <f aca="false" t="array" ref="B12:B12">IF(A12="","",IFERROR(INDEX('CLM &amp; IM Mapping'!$B$2:$B$270,MATCH(TRIM(A12),'CLM &amp; IM Mapping'!$A$2:$A$270,0)),"Not Mapped"))</f>
        <v>Vishnu V</v>
      </c>
      <c r="C12" s="18" t="str">
        <f aca="false" t="array" ref="C12:C12">IF(A12="","",IFERROR(INDEX('CLM &amp; IM Mapping'!$C$2:$C$270,MATCH(TRIM(A12),'CLM &amp; IM Mapping'!$A$2:$A$270,0)),"Not Mapped"))</f>
        <v>Arivind S</v>
      </c>
      <c r="D12" s="18" t="s">
        <v>24</v>
      </c>
      <c r="E12" s="18" t="s">
        <v>316</v>
      </c>
      <c r="F12" s="18" t="s">
        <v>104</v>
      </c>
      <c r="G12" s="11" t="n">
        <v>6058</v>
      </c>
      <c r="H12" s="19" t="n">
        <v>0.7</v>
      </c>
      <c r="I12" s="20" t="n">
        <v>0.12</v>
      </c>
      <c r="J12" s="20" t="n">
        <v>0.99</v>
      </c>
      <c r="K12" s="20" t="n">
        <v>1</v>
      </c>
      <c r="L12" s="20" t="n">
        <v>0.52</v>
      </c>
      <c r="M12" s="12" t="n">
        <v>1</v>
      </c>
      <c r="N12" s="11"/>
      <c r="O12" s="11"/>
      <c r="P12" s="7"/>
      <c r="Q12" s="7"/>
      <c r="R12" s="7"/>
      <c r="S12" s="7"/>
      <c r="T12" s="7"/>
      <c r="U12" s="7"/>
      <c r="V12" s="7"/>
      <c r="W12" s="7"/>
      <c r="X12" s="7"/>
      <c r="Y12" s="7"/>
      <c r="Z12" s="22"/>
      <c r="AA12" s="22"/>
      <c r="AB12" s="22"/>
      <c r="AC12" s="22"/>
      <c r="AD12" s="7"/>
      <c r="AE12" s="7"/>
      <c r="AF12" s="7"/>
      <c r="AG12" s="7"/>
      <c r="AH12" s="7"/>
      <c r="AI12" s="7"/>
      <c r="AJ12" s="7"/>
      <c r="AK12" s="7"/>
      <c r="AL12" s="7"/>
    </row>
    <row r="13" customFormat="false" ht="15.75" hidden="false" customHeight="true" outlineLevel="0" collapsed="false">
      <c r="A13" s="18" t="s">
        <v>25</v>
      </c>
      <c r="B13" s="18" t="str">
        <f aca="false" t="array" ref="B13:B13">IF(A13="","",IFERROR(INDEX('CLM &amp; IM Mapping'!$B$2:$B$270,MATCH(TRIM(A13),'CLM &amp; IM Mapping'!$A$2:$A$270,0)),"Not Mapped"))</f>
        <v>Arun Raj</v>
      </c>
      <c r="C13" s="18" t="str">
        <f aca="false" t="array" ref="C13:C13">IF(A13="","",IFERROR(INDEX('CLM &amp; IM Mapping'!$C$2:$C$270,MATCH(TRIM(A13),'CLM &amp; IM Mapping'!$A$2:$A$270,0)),"Not Mapped"))</f>
        <v>Simon Manoharan</v>
      </c>
      <c r="D13" s="18" t="s">
        <v>24</v>
      </c>
      <c r="E13" s="18" t="s">
        <v>316</v>
      </c>
      <c r="F13" s="18" t="s">
        <v>22</v>
      </c>
      <c r="G13" s="11" t="n">
        <v>12938</v>
      </c>
      <c r="H13" s="19" t="n">
        <v>0.7</v>
      </c>
      <c r="I13" s="20" t="n">
        <v>0.13</v>
      </c>
      <c r="J13" s="20" t="n">
        <v>0.77</v>
      </c>
      <c r="K13" s="20" t="n">
        <v>0.92</v>
      </c>
      <c r="L13" s="20" t="n">
        <v>0.46</v>
      </c>
      <c r="M13" s="12" t="n">
        <v>4</v>
      </c>
      <c r="N13" s="11"/>
      <c r="O13" s="11"/>
      <c r="P13" s="7"/>
      <c r="Q13" s="7"/>
      <c r="R13" s="7"/>
      <c r="S13" s="7"/>
      <c r="T13" s="7"/>
      <c r="U13" s="7"/>
      <c r="V13" s="7"/>
      <c r="W13" s="7"/>
      <c r="X13" s="7"/>
      <c r="Y13" s="7"/>
      <c r="Z13" s="22"/>
      <c r="AA13" s="22"/>
      <c r="AB13" s="22"/>
      <c r="AC13" s="22"/>
      <c r="AD13" s="7"/>
      <c r="AE13" s="7"/>
      <c r="AF13" s="7"/>
      <c r="AG13" s="7"/>
      <c r="AH13" s="7"/>
      <c r="AI13" s="7"/>
      <c r="AJ13" s="7"/>
      <c r="AK13" s="7"/>
      <c r="AL13" s="7"/>
    </row>
    <row r="14" customFormat="false" ht="15.75" hidden="false" customHeight="true" outlineLevel="0" collapsed="false">
      <c r="A14" s="18" t="s">
        <v>33</v>
      </c>
      <c r="B14" s="18" t="str">
        <f aca="false" t="array" ref="B14:B14">IF(A14="","",IFERROR(INDEX('CLM &amp; IM Mapping'!$B$2:$B$270,MATCH(TRIM(A14),'CLM &amp; IM Mapping'!$A$2:$A$270,0)),"Not Mapped"))</f>
        <v>Arun Raj</v>
      </c>
      <c r="C14" s="18" t="str">
        <f aca="false" t="array" ref="C14:C14">IF(A14="","",IFERROR(INDEX('CLM &amp; IM Mapping'!$C$2:$C$270,MATCH(TRIM(A14),'CLM &amp; IM Mapping'!$A$2:$A$270,0)),"Not Mapped"))</f>
        <v>Simon Manoharan</v>
      </c>
      <c r="D14" s="18" t="s">
        <v>24</v>
      </c>
      <c r="E14" s="18" t="s">
        <v>316</v>
      </c>
      <c r="F14" s="18" t="s">
        <v>22</v>
      </c>
      <c r="G14" s="11" t="n">
        <v>7680</v>
      </c>
      <c r="H14" s="19" t="n">
        <v>0.7</v>
      </c>
      <c r="I14" s="20" t="n">
        <v>0.14</v>
      </c>
      <c r="J14" s="20" t="n">
        <v>0.76</v>
      </c>
      <c r="K14" s="20" t="n">
        <v>0.96</v>
      </c>
      <c r="L14" s="20" t="n">
        <v>0.46</v>
      </c>
      <c r="M14" s="12" t="n">
        <v>1</v>
      </c>
      <c r="N14" s="11"/>
      <c r="O14" s="11"/>
      <c r="P14" s="7"/>
      <c r="Q14" s="7"/>
      <c r="R14" s="7"/>
      <c r="S14" s="7"/>
      <c r="T14" s="7"/>
      <c r="U14" s="7"/>
      <c r="V14" s="7"/>
      <c r="W14" s="7"/>
      <c r="X14" s="7"/>
      <c r="Y14" s="7"/>
      <c r="Z14" s="22"/>
      <c r="AA14" s="22"/>
      <c r="AB14" s="22"/>
      <c r="AC14" s="22"/>
      <c r="AD14" s="7"/>
      <c r="AE14" s="7"/>
      <c r="AF14" s="7"/>
      <c r="AG14" s="7"/>
      <c r="AH14" s="7"/>
      <c r="AI14" s="7"/>
      <c r="AJ14" s="7"/>
      <c r="AK14" s="7"/>
      <c r="AL14" s="7"/>
    </row>
    <row r="15" customFormat="false" ht="15.75" hidden="false" customHeight="true" outlineLevel="0" collapsed="false">
      <c r="A15" s="18" t="s">
        <v>195</v>
      </c>
      <c r="B15" s="18" t="str">
        <f aca="false" t="array" ref="B15:B15">IF(A15="","",IFERROR(INDEX('CLM &amp; IM Mapping'!$B$2:$B$270,MATCH(TRIM(A15),'CLM &amp; IM Mapping'!$A$2:$A$270,0)),"Not Mapped"))</f>
        <v>Arun Raj</v>
      </c>
      <c r="C15" s="18" t="str">
        <f aca="false" t="array" ref="C15:C15">IF(A15="","",IFERROR(INDEX('CLM &amp; IM Mapping'!$C$2:$C$270,MATCH(TRIM(A15),'CLM &amp; IM Mapping'!$A$2:$A$270,0)),"Not Mapped"))</f>
        <v>Simon Manoharan</v>
      </c>
      <c r="D15" s="18" t="s">
        <v>24</v>
      </c>
      <c r="E15" s="18" t="s">
        <v>316</v>
      </c>
      <c r="F15" s="18" t="s">
        <v>22</v>
      </c>
      <c r="G15" s="11" t="n">
        <v>11984</v>
      </c>
      <c r="H15" s="19" t="n">
        <v>0.7</v>
      </c>
      <c r="I15" s="20" t="n">
        <v>0.14</v>
      </c>
      <c r="J15" s="20" t="n">
        <v>0.94</v>
      </c>
      <c r="K15" s="20" t="n">
        <v>0.99</v>
      </c>
      <c r="L15" s="20" t="n">
        <v>0.6</v>
      </c>
      <c r="M15" s="12"/>
      <c r="N15" s="11"/>
      <c r="O15" s="11"/>
      <c r="P15" s="7"/>
      <c r="Q15" s="7"/>
      <c r="R15" s="7"/>
      <c r="S15" s="7"/>
      <c r="T15" s="7"/>
      <c r="U15" s="7"/>
      <c r="V15" s="7"/>
      <c r="W15" s="7"/>
      <c r="X15" s="7"/>
      <c r="Y15" s="7"/>
      <c r="Z15" s="22"/>
      <c r="AA15" s="22"/>
      <c r="AB15" s="22"/>
      <c r="AC15" s="22"/>
      <c r="AD15" s="7"/>
      <c r="AE15" s="7"/>
      <c r="AF15" s="7"/>
      <c r="AG15" s="7"/>
      <c r="AH15" s="7"/>
      <c r="AI15" s="7"/>
      <c r="AJ15" s="7"/>
      <c r="AK15" s="7"/>
      <c r="AL15" s="7"/>
    </row>
    <row r="16" customFormat="false" ht="15.75" hidden="false" customHeight="true" outlineLevel="0" collapsed="false">
      <c r="A16" s="18" t="s">
        <v>242</v>
      </c>
      <c r="B16" s="18" t="str">
        <f aca="false" t="array" ref="B16:B16">IF(A16="","",IFERROR(INDEX('CLM &amp; IM Mapping'!$B$2:$B$270,MATCH(TRIM(A16),'CLM &amp; IM Mapping'!$A$2:$A$270,0)),"Not Mapped"))</f>
        <v>John Britto</v>
      </c>
      <c r="C16" s="18" t="str">
        <f aca="false" t="array" ref="C16:C16">IF(A16="","",IFERROR(INDEX('CLM &amp; IM Mapping'!$C$2:$C$270,MATCH(TRIM(A16),'CLM &amp; IM Mapping'!$A$2:$A$270,0)),"Not Mapped"))</f>
        <v>Aravind S</v>
      </c>
      <c r="D16" s="18" t="s">
        <v>27</v>
      </c>
      <c r="E16" s="18" t="s">
        <v>314</v>
      </c>
      <c r="F16" s="18" t="s">
        <v>145</v>
      </c>
      <c r="G16" s="11" t="n">
        <v>6791</v>
      </c>
      <c r="H16" s="19" t="n">
        <v>0.7</v>
      </c>
      <c r="I16" s="20" t="n">
        <v>0.14</v>
      </c>
      <c r="J16" s="20" t="n">
        <v>0.98</v>
      </c>
      <c r="K16" s="20" t="n">
        <v>1</v>
      </c>
      <c r="L16" s="18"/>
      <c r="M16" s="12"/>
      <c r="N16" s="11"/>
      <c r="O16" s="11"/>
      <c r="P16" s="7"/>
      <c r="Q16" s="7"/>
      <c r="R16" s="7"/>
      <c r="S16" s="7"/>
      <c r="T16" s="7"/>
      <c r="U16" s="7"/>
      <c r="V16" s="7"/>
      <c r="W16" s="7"/>
      <c r="X16" s="7"/>
      <c r="Y16" s="7"/>
      <c r="Z16" s="22"/>
      <c r="AA16" s="22"/>
      <c r="AB16" s="22"/>
      <c r="AC16" s="22"/>
      <c r="AD16" s="7"/>
      <c r="AE16" s="7"/>
      <c r="AF16" s="7"/>
      <c r="AG16" s="7"/>
      <c r="AH16" s="7"/>
      <c r="AI16" s="7"/>
      <c r="AJ16" s="7"/>
      <c r="AK16" s="7"/>
      <c r="AL16" s="7"/>
    </row>
    <row r="17" customFormat="false" ht="15.75" hidden="false" customHeight="true" outlineLevel="0" collapsed="false">
      <c r="A17" s="18" t="s">
        <v>53</v>
      </c>
      <c r="B17" s="18" t="str">
        <f aca="false" t="array" ref="B17:B17">IF(A17="","",IFERROR(INDEX('CLM &amp; IM Mapping'!$B$2:$B$270,MATCH(TRIM(A17),'CLM &amp; IM Mapping'!$A$2:$A$270,0)),"Not Mapped"))</f>
        <v>Girish N</v>
      </c>
      <c r="C17" s="18" t="str">
        <f aca="false" t="array" ref="C17:C17">IF(A17="","",IFERROR(INDEX('CLM &amp; IM Mapping'!$C$2:$C$270,MATCH(TRIM(A17),'CLM &amp; IM Mapping'!$A$2:$A$270,0)),"Not Mapped"))</f>
        <v>Un Mapped</v>
      </c>
      <c r="D17" s="18" t="s">
        <v>27</v>
      </c>
      <c r="E17" s="18" t="s">
        <v>314</v>
      </c>
      <c r="F17" s="18" t="s">
        <v>22</v>
      </c>
      <c r="G17" s="11" t="n">
        <v>5106</v>
      </c>
      <c r="H17" s="19" t="n">
        <v>0.7</v>
      </c>
      <c r="I17" s="20" t="n">
        <v>0.16</v>
      </c>
      <c r="J17" s="20" t="n">
        <v>0.69</v>
      </c>
      <c r="K17" s="20" t="n">
        <v>0.98</v>
      </c>
      <c r="L17" s="20" t="n">
        <v>0.49</v>
      </c>
      <c r="M17" s="12" t="n">
        <v>11</v>
      </c>
      <c r="N17" s="11"/>
      <c r="O17" s="11"/>
      <c r="P17" s="7"/>
      <c r="Q17" s="7"/>
      <c r="R17" s="7"/>
      <c r="S17" s="7"/>
      <c r="T17" s="7"/>
      <c r="U17" s="7"/>
      <c r="V17" s="7"/>
      <c r="W17" s="7"/>
      <c r="X17" s="7"/>
      <c r="Y17" s="7"/>
      <c r="Z17" s="22"/>
      <c r="AA17" s="22"/>
      <c r="AB17" s="22"/>
      <c r="AC17" s="22"/>
      <c r="AD17" s="7"/>
      <c r="AE17" s="7"/>
      <c r="AF17" s="7"/>
      <c r="AG17" s="7"/>
      <c r="AH17" s="7"/>
      <c r="AI17" s="7"/>
      <c r="AJ17" s="7"/>
      <c r="AK17" s="7"/>
      <c r="AL17" s="7"/>
    </row>
    <row r="18" customFormat="false" ht="15.75" hidden="false" customHeight="true" outlineLevel="0" collapsed="false">
      <c r="A18" s="18" t="s">
        <v>250</v>
      </c>
      <c r="B18" s="18" t="str">
        <f aca="false" t="array" ref="B18:B18">IF(A18="","",IFERROR(INDEX('CLM &amp; IM Mapping'!$B$2:$B$270,MATCH(TRIM(A18),'CLM &amp; IM Mapping'!$A$2:$A$270,0)),"Not Mapped"))</f>
        <v>John Britto</v>
      </c>
      <c r="C18" s="18" t="str">
        <f aca="false" t="array" ref="C18:C18">IF(A18="","",IFERROR(INDEX('CLM &amp; IM Mapping'!$C$2:$C$270,MATCH(TRIM(A18),'CLM &amp; IM Mapping'!$A$2:$A$270,0)),"Not Mapped"))</f>
        <v>Aravind S</v>
      </c>
      <c r="D18" s="18" t="s">
        <v>27</v>
      </c>
      <c r="E18" s="18" t="s">
        <v>314</v>
      </c>
      <c r="F18" s="18" t="s">
        <v>145</v>
      </c>
      <c r="G18" s="11" t="n">
        <v>7163</v>
      </c>
      <c r="H18" s="19" t="n">
        <v>0.7</v>
      </c>
      <c r="I18" s="20" t="n">
        <v>0.18</v>
      </c>
      <c r="J18" s="20" t="n">
        <v>0.91</v>
      </c>
      <c r="K18" s="20" t="n">
        <v>0.97</v>
      </c>
      <c r="L18" s="20" t="n">
        <v>0.72</v>
      </c>
      <c r="M18" s="12" t="n">
        <v>1</v>
      </c>
      <c r="N18" s="11"/>
      <c r="O18" s="11"/>
      <c r="P18" s="7"/>
      <c r="Q18" s="7"/>
      <c r="R18" s="7"/>
      <c r="S18" s="7"/>
      <c r="T18" s="7"/>
      <c r="U18" s="7"/>
      <c r="V18" s="7"/>
      <c r="W18" s="7"/>
      <c r="X18" s="7"/>
      <c r="Y18" s="7"/>
      <c r="Z18" s="22"/>
      <c r="AA18" s="22"/>
      <c r="AB18" s="22"/>
      <c r="AC18" s="22"/>
      <c r="AD18" s="7"/>
      <c r="AE18" s="7"/>
      <c r="AF18" s="7"/>
      <c r="AG18" s="7"/>
      <c r="AH18" s="7"/>
      <c r="AI18" s="7"/>
      <c r="AJ18" s="7"/>
      <c r="AK18" s="7"/>
      <c r="AL18" s="7"/>
    </row>
    <row r="19" customFormat="false" ht="15.75" hidden="false" customHeight="true" outlineLevel="0" collapsed="false">
      <c r="A19" s="18" t="s">
        <v>158</v>
      </c>
      <c r="B19" s="18" t="str">
        <f aca="false" t="array" ref="B19:B19">IF(A19="","",IFERROR(INDEX('CLM &amp; IM Mapping'!$B$2:$B$270,MATCH(TRIM(A19),'CLM &amp; IM Mapping'!$A$2:$A$270,0)),"Not Mapped"))</f>
        <v>Vishnu V</v>
      </c>
      <c r="C19" s="18" t="str">
        <f aca="false" t="array" ref="C19:C19">IF(A19="","",IFERROR(INDEX('CLM &amp; IM Mapping'!$C$2:$C$270,MATCH(TRIM(A19),'CLM &amp; IM Mapping'!$A$2:$A$270,0)),"Not Mapped"))</f>
        <v>Arivind S</v>
      </c>
      <c r="D19" s="18" t="s">
        <v>27</v>
      </c>
      <c r="E19" s="18" t="s">
        <v>314</v>
      </c>
      <c r="F19" s="18" t="s">
        <v>104</v>
      </c>
      <c r="G19" s="11" t="n">
        <v>5139</v>
      </c>
      <c r="H19" s="19" t="n">
        <v>0.7</v>
      </c>
      <c r="I19" s="20" t="n">
        <v>0.18</v>
      </c>
      <c r="J19" s="20" t="n">
        <v>0.7</v>
      </c>
      <c r="K19" s="20" t="n">
        <v>0.92</v>
      </c>
      <c r="L19" s="20" t="n">
        <v>0.55</v>
      </c>
      <c r="M19" s="12" t="n">
        <v>1</v>
      </c>
      <c r="N19" s="11"/>
      <c r="O19" s="11"/>
      <c r="P19" s="7"/>
      <c r="Q19" s="7"/>
      <c r="R19" s="7"/>
      <c r="S19" s="7"/>
      <c r="T19" s="7"/>
      <c r="U19" s="7"/>
      <c r="V19" s="7"/>
      <c r="W19" s="7"/>
      <c r="X19" s="7"/>
      <c r="Y19" s="7"/>
      <c r="Z19" s="22"/>
      <c r="AA19" s="22"/>
      <c r="AB19" s="22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customFormat="false" ht="15.75" hidden="false" customHeight="true" outlineLevel="0" collapsed="false">
      <c r="A20" s="18" t="s">
        <v>58</v>
      </c>
      <c r="B20" s="18" t="str">
        <f aca="false" t="array" ref="B20:B20">IF(A20="","",IFERROR(INDEX('CLM &amp; IM Mapping'!$B$2:$B$270,MATCH(TRIM(A20),'CLM &amp; IM Mapping'!$A$2:$A$270,0)),"Not Mapped"))</f>
        <v>Narasimhamurthy R</v>
      </c>
      <c r="C20" s="18" t="str">
        <f aca="false" t="array" ref="C20:C20">IF(A20="","",IFERROR(INDEX('CLM &amp; IM Mapping'!$C$2:$C$270,MATCH(TRIM(A20),'CLM &amp; IM Mapping'!$A$2:$A$270,0)),"Not Mapped"))</f>
        <v>Kishor K</v>
      </c>
      <c r="D20" s="18" t="s">
        <v>27</v>
      </c>
      <c r="E20" s="18" t="s">
        <v>316</v>
      </c>
      <c r="F20" s="18" t="s">
        <v>22</v>
      </c>
      <c r="G20" s="11" t="n">
        <v>5482</v>
      </c>
      <c r="H20" s="19" t="n">
        <v>0.7</v>
      </c>
      <c r="I20" s="20" t="n">
        <v>0.19</v>
      </c>
      <c r="J20" s="20" t="n">
        <v>0.6</v>
      </c>
      <c r="K20" s="20" t="n">
        <v>0.88</v>
      </c>
      <c r="L20" s="20" t="n">
        <v>0.5</v>
      </c>
      <c r="M20" s="12" t="n">
        <v>3</v>
      </c>
      <c r="N20" s="11"/>
      <c r="O20" s="11"/>
      <c r="P20" s="7"/>
      <c r="Q20" s="7"/>
      <c r="R20" s="7"/>
      <c r="S20" s="7"/>
      <c r="T20" s="7"/>
      <c r="U20" s="7"/>
      <c r="V20" s="7"/>
      <c r="W20" s="7"/>
      <c r="X20" s="7"/>
      <c r="Y20" s="7"/>
      <c r="Z20" s="22"/>
      <c r="AA20" s="22"/>
      <c r="AB20" s="22"/>
      <c r="AC20" s="22"/>
      <c r="AD20" s="7"/>
      <c r="AE20" s="7"/>
      <c r="AF20" s="7"/>
      <c r="AG20" s="7"/>
      <c r="AH20" s="7"/>
      <c r="AI20" s="7"/>
      <c r="AJ20" s="7"/>
      <c r="AK20" s="7"/>
      <c r="AL20" s="7"/>
    </row>
    <row r="21" customFormat="false" ht="15.75" hidden="false" customHeight="true" outlineLevel="0" collapsed="false">
      <c r="A21" s="18" t="s">
        <v>81</v>
      </c>
      <c r="B21" s="18" t="str">
        <f aca="false" t="array" ref="B21:B21">IF(A21="","",IFERROR(INDEX('CLM &amp; IM Mapping'!$B$2:$B$270,MATCH(TRIM(A21),'CLM &amp; IM Mapping'!$A$2:$A$270,0)),"Not Mapped"))</f>
        <v>Arun Raj</v>
      </c>
      <c r="C21" s="18" t="str">
        <f aca="false" t="array" ref="C21:C21">IF(A21="","",IFERROR(INDEX('CLM &amp; IM Mapping'!$C$2:$C$270,MATCH(TRIM(A21),'CLM &amp; IM Mapping'!$A$2:$A$270,0)),"Not Mapped"))</f>
        <v>Simon Manoharan</v>
      </c>
      <c r="D21" s="18" t="s">
        <v>24</v>
      </c>
      <c r="E21" s="18" t="s">
        <v>316</v>
      </c>
      <c r="F21" s="18" t="s">
        <v>22</v>
      </c>
      <c r="G21" s="11" t="n">
        <v>12201</v>
      </c>
      <c r="H21" s="19" t="n">
        <v>0.7</v>
      </c>
      <c r="I21" s="20" t="n">
        <v>0.21</v>
      </c>
      <c r="J21" s="20" t="n">
        <v>0.92</v>
      </c>
      <c r="K21" s="20" t="n">
        <v>0.96</v>
      </c>
      <c r="L21" s="20" t="n">
        <v>0.86</v>
      </c>
      <c r="M21" s="12" t="n">
        <v>3</v>
      </c>
      <c r="N21" s="11"/>
      <c r="O21" s="11"/>
      <c r="P21" s="7"/>
      <c r="Q21" s="7"/>
      <c r="R21" s="7"/>
      <c r="S21" s="7"/>
      <c r="T21" s="7"/>
      <c r="U21" s="7"/>
      <c r="V21" s="7"/>
      <c r="W21" s="7"/>
      <c r="X21" s="7"/>
      <c r="Y21" s="7"/>
      <c r="Z21" s="22"/>
      <c r="AA21" s="22"/>
      <c r="AB21" s="22"/>
      <c r="AC21" s="22"/>
      <c r="AD21" s="7"/>
      <c r="AE21" s="7"/>
      <c r="AF21" s="7"/>
      <c r="AG21" s="7"/>
      <c r="AH21" s="7"/>
      <c r="AI21" s="7"/>
      <c r="AJ21" s="7"/>
      <c r="AK21" s="7"/>
      <c r="AL21" s="7"/>
    </row>
    <row r="22" customFormat="false" ht="15.75" hidden="false" customHeight="true" outlineLevel="0" collapsed="false">
      <c r="A22" s="18" t="s">
        <v>207</v>
      </c>
      <c r="B22" s="18" t="str">
        <f aca="false" t="array" ref="B22:B22">IF(A22="","",IFERROR(INDEX('CLM &amp; IM Mapping'!$B$2:$B$270,MATCH(TRIM(A22),'CLM &amp; IM Mapping'!$A$2:$A$270,0)),"Not Mapped"))</f>
        <v>John Britto</v>
      </c>
      <c r="C22" s="18" t="str">
        <f aca="false" t="array" ref="C22:C22">IF(A22="","",IFERROR(INDEX('CLM &amp; IM Mapping'!$C$2:$C$270,MATCH(TRIM(A22),'CLM &amp; IM Mapping'!$A$2:$A$270,0)),"Not Mapped"))</f>
        <v>Aravind S</v>
      </c>
      <c r="D22" s="18" t="s">
        <v>27</v>
      </c>
      <c r="E22" s="18" t="s">
        <v>314</v>
      </c>
      <c r="F22" s="18" t="s">
        <v>145</v>
      </c>
      <c r="G22" s="11" t="n">
        <v>7099</v>
      </c>
      <c r="H22" s="19" t="n">
        <v>0.7</v>
      </c>
      <c r="I22" s="20" t="n">
        <v>0.21</v>
      </c>
      <c r="J22" s="20" t="n">
        <v>0.96</v>
      </c>
      <c r="K22" s="20" t="n">
        <v>0.97</v>
      </c>
      <c r="L22" s="20" t="n">
        <v>0.9</v>
      </c>
      <c r="M22" s="12" t="n">
        <v>1</v>
      </c>
      <c r="N22" s="11"/>
      <c r="O22" s="11"/>
      <c r="P22" s="7"/>
      <c r="Q22" s="7"/>
      <c r="R22" s="7"/>
      <c r="S22" s="7"/>
      <c r="T22" s="7"/>
      <c r="U22" s="7"/>
      <c r="V22" s="7"/>
      <c r="W22" s="7"/>
      <c r="X22" s="7"/>
      <c r="Y22" s="7"/>
      <c r="Z22" s="22"/>
      <c r="AA22" s="22"/>
      <c r="AB22" s="22"/>
      <c r="AC22" s="22"/>
      <c r="AD22" s="7"/>
      <c r="AE22" s="7"/>
      <c r="AF22" s="7"/>
      <c r="AG22" s="7"/>
      <c r="AH22" s="7"/>
      <c r="AI22" s="7"/>
      <c r="AJ22" s="7"/>
      <c r="AK22" s="7"/>
      <c r="AL22" s="7"/>
    </row>
    <row r="23" customFormat="false" ht="15.75" hidden="false" customHeight="true" outlineLevel="0" collapsed="false">
      <c r="A23" s="18" t="s">
        <v>86</v>
      </c>
      <c r="B23" s="18" t="str">
        <f aca="false" t="array" ref="B23:B23">IF(A23="","",IFERROR(INDEX('CLM &amp; IM Mapping'!$B$2:$B$270,MATCH(TRIM(A23),'CLM &amp; IM Mapping'!$A$2:$A$270,0)),"Not Mapped"))</f>
        <v>Richard Harris</v>
      </c>
      <c r="C23" s="18" t="str">
        <f aca="false" t="array" ref="C23:C23">IF(A23="","",IFERROR(INDEX('CLM &amp; IM Mapping'!$C$2:$C$270,MATCH(TRIM(A23),'CLM &amp; IM Mapping'!$A$2:$A$270,0)),"Not Mapped"))</f>
        <v>Kantha Kumar</v>
      </c>
      <c r="D23" s="18" t="s">
        <v>27</v>
      </c>
      <c r="E23" s="18" t="s">
        <v>314</v>
      </c>
      <c r="F23" s="18" t="s">
        <v>22</v>
      </c>
      <c r="G23" s="11" t="n">
        <v>4538</v>
      </c>
      <c r="H23" s="19" t="n">
        <v>0.7</v>
      </c>
      <c r="I23" s="20" t="n">
        <v>0.22</v>
      </c>
      <c r="J23" s="20" t="n">
        <v>0.41</v>
      </c>
      <c r="K23" s="20" t="n">
        <v>0.83</v>
      </c>
      <c r="L23" s="20" t="n">
        <v>0.39</v>
      </c>
      <c r="M23" s="12" t="n">
        <v>3</v>
      </c>
      <c r="N23" s="11"/>
      <c r="O23" s="11"/>
      <c r="P23" s="7"/>
      <c r="Q23" s="7"/>
      <c r="R23" s="7"/>
      <c r="S23" s="7"/>
      <c r="T23" s="7"/>
      <c r="U23" s="7"/>
      <c r="V23" s="7"/>
      <c r="W23" s="7"/>
      <c r="X23" s="7"/>
      <c r="Y23" s="7"/>
      <c r="Z23" s="22"/>
      <c r="AA23" s="22"/>
      <c r="AB23" s="22"/>
      <c r="AC23" s="22"/>
      <c r="AD23" s="7"/>
      <c r="AE23" s="7"/>
      <c r="AF23" s="7"/>
      <c r="AG23" s="7"/>
      <c r="AH23" s="7"/>
      <c r="AI23" s="7"/>
      <c r="AJ23" s="7"/>
      <c r="AK23" s="7"/>
      <c r="AL23" s="7"/>
    </row>
    <row r="24" customFormat="false" ht="15.75" hidden="false" customHeight="true" outlineLevel="0" collapsed="false">
      <c r="A24" s="18" t="s">
        <v>36</v>
      </c>
      <c r="B24" s="18" t="str">
        <f aca="false" t="array" ref="B24:B24">IF(A24="","",IFERROR(INDEX('CLM &amp; IM Mapping'!$B$2:$B$270,MATCH(TRIM(A24),'CLM &amp; IM Mapping'!$A$2:$A$270,0)),"Not Mapped"))</f>
        <v>Saddam Hussain</v>
      </c>
      <c r="C24" s="18" t="str">
        <f aca="false" t="array" ref="C24:C24">IF(A24="","",IFERROR(INDEX('CLM &amp; IM Mapping'!$C$2:$C$270,MATCH(TRIM(A24),'CLM &amp; IM Mapping'!$A$2:$A$270,0)),"Not Mapped"))</f>
        <v>Un Mapped</v>
      </c>
      <c r="D24" s="18" t="s">
        <v>27</v>
      </c>
      <c r="E24" s="18" t="s">
        <v>314</v>
      </c>
      <c r="F24" s="18" t="s">
        <v>22</v>
      </c>
      <c r="G24" s="11" t="n">
        <v>6691</v>
      </c>
      <c r="H24" s="19" t="n">
        <v>0.7</v>
      </c>
      <c r="I24" s="20" t="n">
        <v>0.23</v>
      </c>
      <c r="J24" s="20" t="n">
        <v>0.73</v>
      </c>
      <c r="K24" s="20" t="n">
        <v>0.86</v>
      </c>
      <c r="L24" s="20" t="n">
        <v>0.73</v>
      </c>
      <c r="M24" s="12" t="n">
        <v>3</v>
      </c>
      <c r="N24" s="11"/>
      <c r="O24" s="11"/>
      <c r="P24" s="7"/>
      <c r="Q24" s="7"/>
      <c r="R24" s="7"/>
      <c r="S24" s="7"/>
      <c r="T24" s="7"/>
      <c r="U24" s="7"/>
      <c r="V24" s="7"/>
      <c r="W24" s="7"/>
      <c r="X24" s="7"/>
      <c r="Y24" s="7"/>
      <c r="Z24" s="22"/>
      <c r="AA24" s="22"/>
      <c r="AB24" s="22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customFormat="false" ht="15.75" hidden="false" customHeight="true" outlineLevel="0" collapsed="false">
      <c r="A25" s="18" t="s">
        <v>177</v>
      </c>
      <c r="B25" s="18" t="str">
        <f aca="false" t="array" ref="B25:B25">IF(A25="","",IFERROR(INDEX('CLM &amp; IM Mapping'!$B$2:$B$270,MATCH(TRIM(A25),'CLM &amp; IM Mapping'!$A$2:$A$270,0)),"Not Mapped"))</f>
        <v>Arun Raj</v>
      </c>
      <c r="C25" s="18" t="str">
        <f aca="false" t="array" ref="C25:C25">IF(A25="","",IFERROR(INDEX('CLM &amp; IM Mapping'!$C$2:$C$270,MATCH(TRIM(A25),'CLM &amp; IM Mapping'!$A$2:$A$270,0)),"Not Mapped"))</f>
        <v>Simon Manoharan</v>
      </c>
      <c r="D25" s="18" t="s">
        <v>24</v>
      </c>
      <c r="E25" s="18" t="s">
        <v>316</v>
      </c>
      <c r="F25" s="18" t="s">
        <v>22</v>
      </c>
      <c r="G25" s="11" t="n">
        <v>11048</v>
      </c>
      <c r="H25" s="19" t="n">
        <v>0.7</v>
      </c>
      <c r="I25" s="20" t="n">
        <v>0.23</v>
      </c>
      <c r="J25" s="20" t="n">
        <v>0.97</v>
      </c>
      <c r="K25" s="20" t="n">
        <v>0.99</v>
      </c>
      <c r="L25" s="20" t="n">
        <v>0.97</v>
      </c>
      <c r="M25" s="12" t="n">
        <v>1</v>
      </c>
      <c r="N25" s="11"/>
      <c r="O25" s="11"/>
      <c r="P25" s="7"/>
      <c r="Q25" s="7"/>
      <c r="R25" s="7"/>
      <c r="S25" s="7"/>
      <c r="T25" s="7"/>
      <c r="U25" s="7"/>
      <c r="V25" s="7"/>
      <c r="W25" s="7"/>
      <c r="X25" s="7"/>
      <c r="Y25" s="7"/>
      <c r="Z25" s="22"/>
      <c r="AA25" s="22"/>
      <c r="AB25" s="22"/>
      <c r="AC25" s="22"/>
      <c r="AD25" s="7"/>
      <c r="AE25" s="7"/>
      <c r="AF25" s="7"/>
      <c r="AG25" s="7"/>
      <c r="AH25" s="7"/>
      <c r="AI25" s="7"/>
      <c r="AJ25" s="7"/>
      <c r="AK25" s="7"/>
      <c r="AL25" s="7"/>
    </row>
    <row r="26" customFormat="false" ht="15.75" hidden="false" customHeight="true" outlineLevel="0" collapsed="false">
      <c r="A26" s="18" t="s">
        <v>172</v>
      </c>
      <c r="B26" s="18" t="str">
        <f aca="false" t="array" ref="B26:B26">IF(A26="","",IFERROR(INDEX('CLM &amp; IM Mapping'!$B$2:$B$270,MATCH(TRIM(A26),'CLM &amp; IM Mapping'!$A$2:$A$270,0)),"Not Mapped"))</f>
        <v>Arun Raj</v>
      </c>
      <c r="C26" s="18" t="str">
        <f aca="false" t="array" ref="C26:C26">IF(A26="","",IFERROR(INDEX('CLM &amp; IM Mapping'!$C$2:$C$270,MATCH(TRIM(A26),'CLM &amp; IM Mapping'!$A$2:$A$270,0)),"Not Mapped"))</f>
        <v>Simon Manoharan</v>
      </c>
      <c r="D26" s="18" t="s">
        <v>24</v>
      </c>
      <c r="E26" s="18" t="s">
        <v>316</v>
      </c>
      <c r="F26" s="18" t="s">
        <v>22</v>
      </c>
      <c r="G26" s="11" t="n">
        <v>10796</v>
      </c>
      <c r="H26" s="19" t="n">
        <v>0.7</v>
      </c>
      <c r="I26" s="20" t="n">
        <v>0.23</v>
      </c>
      <c r="J26" s="20" t="n">
        <v>0.97</v>
      </c>
      <c r="K26" s="20" t="n">
        <v>0.99</v>
      </c>
      <c r="L26" s="20" t="n">
        <v>0.97</v>
      </c>
      <c r="M26" s="12" t="n">
        <v>1</v>
      </c>
      <c r="N26" s="11"/>
      <c r="O26" s="11"/>
      <c r="P26" s="7"/>
      <c r="Q26" s="7"/>
      <c r="R26" s="7"/>
      <c r="S26" s="7"/>
      <c r="T26" s="7"/>
      <c r="U26" s="7"/>
      <c r="V26" s="7"/>
      <c r="W26" s="7"/>
      <c r="X26" s="7"/>
      <c r="Y26" s="7"/>
      <c r="Z26" s="22"/>
      <c r="AA26" s="22"/>
      <c r="AB26" s="22"/>
      <c r="AC26" s="22"/>
      <c r="AD26" s="7"/>
      <c r="AE26" s="7"/>
      <c r="AF26" s="7"/>
      <c r="AG26" s="7"/>
      <c r="AH26" s="7"/>
      <c r="AI26" s="7"/>
      <c r="AJ26" s="7"/>
      <c r="AK26" s="7"/>
      <c r="AL26" s="7"/>
    </row>
    <row r="27" customFormat="false" ht="15.75" hidden="false" customHeight="true" outlineLevel="0" collapsed="false">
      <c r="A27" s="18" t="s">
        <v>35</v>
      </c>
      <c r="B27" s="18" t="str">
        <f aca="false" t="array" ref="B27:B27">IF(A27="","",IFERROR(INDEX('CLM &amp; IM Mapping'!$B$2:$B$270,MATCH(TRIM(A27),'CLM &amp; IM Mapping'!$A$2:$A$270,0)),"Not Mapped"))</f>
        <v>Keshav G</v>
      </c>
      <c r="C27" s="18" t="str">
        <f aca="false" t="array" ref="C27:C27">IF(A27="","",IFERROR(INDEX('CLM &amp; IM Mapping'!$C$2:$C$270,MATCH(TRIM(A27),'CLM &amp; IM Mapping'!$A$2:$A$270,0)),"Not Mapped"))</f>
        <v>Un Mapped</v>
      </c>
      <c r="D27" s="18" t="s">
        <v>27</v>
      </c>
      <c r="E27" s="18" t="s">
        <v>314</v>
      </c>
      <c r="F27" s="18" t="s">
        <v>22</v>
      </c>
      <c r="G27" s="11" t="n">
        <v>5873</v>
      </c>
      <c r="H27" s="19" t="n">
        <v>0.7</v>
      </c>
      <c r="I27" s="20" t="n">
        <v>0.25</v>
      </c>
      <c r="J27" s="20" t="n">
        <v>0.73</v>
      </c>
      <c r="K27" s="20" t="n">
        <v>0.95</v>
      </c>
      <c r="L27" s="20" t="n">
        <v>0.73</v>
      </c>
      <c r="M27" s="12" t="n">
        <v>6</v>
      </c>
      <c r="N27" s="11"/>
      <c r="O27" s="11"/>
      <c r="P27" s="7"/>
      <c r="Q27" s="7"/>
      <c r="R27" s="7"/>
      <c r="S27" s="7"/>
      <c r="T27" s="7"/>
      <c r="U27" s="7"/>
      <c r="V27" s="7"/>
      <c r="W27" s="7"/>
      <c r="X27" s="7"/>
      <c r="Y27" s="7"/>
      <c r="Z27" s="22"/>
      <c r="AA27" s="22"/>
      <c r="AB27" s="22"/>
      <c r="AC27" s="22"/>
      <c r="AD27" s="7"/>
      <c r="AE27" s="7"/>
      <c r="AF27" s="7"/>
      <c r="AG27" s="7"/>
      <c r="AH27" s="7"/>
      <c r="AI27" s="7"/>
      <c r="AJ27" s="7"/>
      <c r="AK27" s="7"/>
      <c r="AL27" s="7"/>
    </row>
    <row r="28" customFormat="false" ht="15.75" hidden="false" customHeight="true" outlineLevel="0" collapsed="false">
      <c r="A28" s="18" t="s">
        <v>66</v>
      </c>
      <c r="B28" s="18" t="str">
        <f aca="false" t="array" ref="B28:B28">IF(A28="","",IFERROR(INDEX('CLM &amp; IM Mapping'!$B$2:$B$270,MATCH(TRIM(A28),'CLM &amp; IM Mapping'!$A$2:$A$270,0)),"Not Mapped"))</f>
        <v>Raghavendra Vernekar</v>
      </c>
      <c r="C28" s="18" t="str">
        <f aca="false" t="array" ref="C28:C28">IF(A28="","",IFERROR(INDEX('CLM &amp; IM Mapping'!$C$2:$C$270,MATCH(TRIM(A28),'CLM &amp; IM Mapping'!$A$2:$A$270,0)),"Not Mapped"))</f>
        <v>Prakash BS</v>
      </c>
      <c r="D28" s="18" t="s">
        <v>27</v>
      </c>
      <c r="E28" s="18" t="s">
        <v>314</v>
      </c>
      <c r="F28" s="18" t="s">
        <v>22</v>
      </c>
      <c r="G28" s="11" t="n">
        <v>5574</v>
      </c>
      <c r="H28" s="19" t="n">
        <v>0.7</v>
      </c>
      <c r="I28" s="20" t="n">
        <v>0.25</v>
      </c>
      <c r="J28" s="20" t="n">
        <v>0.78</v>
      </c>
      <c r="K28" s="20" t="n">
        <v>0.94</v>
      </c>
      <c r="L28" s="20" t="n">
        <v>0.78</v>
      </c>
      <c r="M28" s="12" t="n">
        <v>3</v>
      </c>
      <c r="N28" s="11"/>
      <c r="O28" s="11"/>
      <c r="P28" s="7"/>
      <c r="Q28" s="7"/>
      <c r="R28" s="7"/>
      <c r="S28" s="7"/>
      <c r="T28" s="7"/>
      <c r="U28" s="7"/>
      <c r="V28" s="7"/>
      <c r="W28" s="7"/>
      <c r="X28" s="7"/>
      <c r="Y28" s="7"/>
      <c r="Z28" s="22"/>
      <c r="AA28" s="22"/>
      <c r="AB28" s="22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customFormat="false" ht="15.75" hidden="false" customHeight="true" outlineLevel="0" collapsed="false">
      <c r="A29" s="18" t="s">
        <v>111</v>
      </c>
      <c r="B29" s="18" t="str">
        <f aca="false" t="array" ref="B29:B29">IF(A29="","",IFERROR(INDEX('CLM &amp; IM Mapping'!$B$2:$B$270,MATCH(TRIM(A29),'CLM &amp; IM Mapping'!$A$2:$A$270,0)),"Not Mapped"))</f>
        <v>Suhas N</v>
      </c>
      <c r="C29" s="18" t="str">
        <f aca="false" t="array" ref="C29:C29">IF(A29="","",IFERROR(INDEX('CLM &amp; IM Mapping'!$C$2:$C$270,MATCH(TRIM(A29),'CLM &amp; IM Mapping'!$A$2:$A$270,0)),"Not Mapped"))</f>
        <v>Aravind S</v>
      </c>
      <c r="D29" s="18" t="s">
        <v>27</v>
      </c>
      <c r="E29" s="18" t="s">
        <v>314</v>
      </c>
      <c r="F29" s="18" t="s">
        <v>22</v>
      </c>
      <c r="G29" s="11" t="n">
        <v>6396</v>
      </c>
      <c r="H29" s="19" t="n">
        <v>0.7</v>
      </c>
      <c r="I29" s="20" t="n">
        <v>0.25</v>
      </c>
      <c r="J29" s="20" t="n">
        <v>0.7</v>
      </c>
      <c r="K29" s="20" t="n">
        <v>0.83</v>
      </c>
      <c r="L29" s="20" t="n">
        <v>0.7</v>
      </c>
      <c r="M29" s="12" t="n">
        <v>4</v>
      </c>
      <c r="N29" s="11"/>
      <c r="O29" s="11"/>
      <c r="P29" s="7"/>
      <c r="Q29" s="7"/>
      <c r="R29" s="7"/>
      <c r="S29" s="7"/>
      <c r="T29" s="7"/>
      <c r="U29" s="7"/>
      <c r="V29" s="7"/>
      <c r="W29" s="7"/>
      <c r="X29" s="7"/>
      <c r="Y29" s="7"/>
      <c r="Z29" s="22"/>
      <c r="AA29" s="22"/>
      <c r="AB29" s="22"/>
      <c r="AC29" s="22"/>
      <c r="AD29" s="7"/>
      <c r="AE29" s="7"/>
      <c r="AF29" s="7"/>
      <c r="AG29" s="7"/>
      <c r="AH29" s="7"/>
      <c r="AI29" s="7"/>
      <c r="AJ29" s="7"/>
      <c r="AK29" s="7"/>
      <c r="AL29" s="7"/>
    </row>
    <row r="30" customFormat="false" ht="15.75" hidden="false" customHeight="true" outlineLevel="0" collapsed="false">
      <c r="A30" s="18" t="s">
        <v>143</v>
      </c>
      <c r="B30" s="18" t="str">
        <f aca="false" t="array" ref="B30:B30">IF(A30="","",IFERROR(INDEX('CLM &amp; IM Mapping'!$B$2:$B$270,MATCH(TRIM(A30),'CLM &amp; IM Mapping'!$A$2:$A$270,0)),"Not Mapped"))</f>
        <v>Ravishankar gowda</v>
      </c>
      <c r="C30" s="18" t="str">
        <f aca="false" t="array" ref="C30:C30">IF(A30="","",IFERROR(INDEX('CLM &amp; IM Mapping'!$C$2:$C$270,MATCH(TRIM(A30),'CLM &amp; IM Mapping'!$A$2:$A$270,0)),"Not Mapped"))</f>
        <v>Kishor K</v>
      </c>
      <c r="D30" s="18" t="s">
        <v>27</v>
      </c>
      <c r="E30" s="18" t="s">
        <v>314</v>
      </c>
      <c r="F30" s="18" t="s">
        <v>22</v>
      </c>
      <c r="G30" s="11" t="n">
        <v>5765</v>
      </c>
      <c r="H30" s="19" t="n">
        <v>0.7</v>
      </c>
      <c r="I30" s="20" t="n">
        <v>0.26</v>
      </c>
      <c r="J30" s="20" t="n">
        <v>0.82</v>
      </c>
      <c r="K30" s="20" t="n">
        <v>0.96</v>
      </c>
      <c r="L30" s="20" t="n">
        <v>0.82</v>
      </c>
      <c r="M30" s="12" t="n">
        <v>4</v>
      </c>
      <c r="N30" s="11"/>
      <c r="O30" s="11"/>
      <c r="P30" s="7"/>
      <c r="Q30" s="7"/>
      <c r="R30" s="7"/>
      <c r="S30" s="7"/>
      <c r="T30" s="7"/>
      <c r="U30" s="7"/>
      <c r="V30" s="7"/>
      <c r="W30" s="7"/>
      <c r="X30" s="7"/>
      <c r="Y30" s="7"/>
      <c r="Z30" s="22"/>
      <c r="AA30" s="22"/>
      <c r="AB30" s="22"/>
      <c r="AC30" s="22"/>
      <c r="AD30" s="7"/>
      <c r="AE30" s="7"/>
      <c r="AF30" s="7"/>
      <c r="AG30" s="7"/>
      <c r="AH30" s="7"/>
      <c r="AI30" s="7"/>
      <c r="AJ30" s="7"/>
      <c r="AK30" s="7"/>
      <c r="AL30" s="7"/>
    </row>
    <row r="31" customFormat="false" ht="15.75" hidden="false" customHeight="true" outlineLevel="0" collapsed="false">
      <c r="A31" s="18" t="s">
        <v>119</v>
      </c>
      <c r="B31" s="18" t="str">
        <f aca="false" t="array" ref="B31:B31">IF(A31="","",IFERROR(INDEX('CLM &amp; IM Mapping'!$B$2:$B$270,MATCH(TRIM(A31),'CLM &amp; IM Mapping'!$A$2:$A$270,0)),"Not Mapped"))</f>
        <v>Vishnu V</v>
      </c>
      <c r="C31" s="18" t="str">
        <f aca="false" t="array" ref="C31:C31">IF(A31="","",IFERROR(INDEX('CLM &amp; IM Mapping'!$C$2:$C$270,MATCH(TRIM(A31),'CLM &amp; IM Mapping'!$A$2:$A$270,0)),"Not Mapped"))</f>
        <v>Arivind S</v>
      </c>
      <c r="D31" s="18" t="s">
        <v>27</v>
      </c>
      <c r="E31" s="18" t="s">
        <v>314</v>
      </c>
      <c r="F31" s="18" t="s">
        <v>104</v>
      </c>
      <c r="G31" s="11" t="n">
        <v>6097</v>
      </c>
      <c r="H31" s="19" t="n">
        <v>0.7</v>
      </c>
      <c r="I31" s="20" t="n">
        <v>0.26</v>
      </c>
      <c r="J31" s="20" t="n">
        <v>0.91</v>
      </c>
      <c r="K31" s="20" t="n">
        <v>0.92</v>
      </c>
      <c r="L31" s="20" t="n">
        <v>0.91</v>
      </c>
      <c r="M31" s="12" t="n">
        <v>1</v>
      </c>
      <c r="N31" s="11"/>
      <c r="O31" s="11"/>
      <c r="P31" s="7"/>
      <c r="Q31" s="7"/>
      <c r="R31" s="7"/>
      <c r="S31" s="7"/>
      <c r="T31" s="7"/>
      <c r="U31" s="7"/>
      <c r="V31" s="7"/>
      <c r="W31" s="7"/>
      <c r="X31" s="7"/>
      <c r="Y31" s="7"/>
      <c r="Z31" s="22"/>
      <c r="AA31" s="22"/>
      <c r="AB31" s="22"/>
      <c r="AC31" s="22"/>
      <c r="AD31" s="7"/>
      <c r="AE31" s="7"/>
      <c r="AF31" s="7"/>
      <c r="AG31" s="7"/>
      <c r="AH31" s="7"/>
      <c r="AI31" s="7"/>
      <c r="AJ31" s="7"/>
      <c r="AK31" s="7"/>
      <c r="AL31" s="7"/>
    </row>
    <row r="32" customFormat="false" ht="15.75" hidden="false" customHeight="true" outlineLevel="0" collapsed="false">
      <c r="A32" s="18" t="s">
        <v>236</v>
      </c>
      <c r="B32" s="18" t="str">
        <f aca="false" t="array" ref="B32:B32">IF(A32="","",IFERROR(INDEX('CLM &amp; IM Mapping'!$B$2:$B$270,MATCH(TRIM(A32),'CLM &amp; IM Mapping'!$A$2:$A$270,0)),"Not Mapped"))</f>
        <v>Vishnu V</v>
      </c>
      <c r="C32" s="18" t="str">
        <f aca="false" t="array" ref="C32:C32">IF(A32="","",IFERROR(INDEX('CLM &amp; IM Mapping'!$C$2:$C$270,MATCH(TRIM(A32),'CLM &amp; IM Mapping'!$A$2:$A$270,0)),"Not Mapped"))</f>
        <v>Arivind S</v>
      </c>
      <c r="D32" s="18" t="s">
        <v>27</v>
      </c>
      <c r="E32" s="18" t="s">
        <v>314</v>
      </c>
      <c r="F32" s="18" t="s">
        <v>221</v>
      </c>
      <c r="G32" s="11" t="n">
        <v>5121</v>
      </c>
      <c r="H32" s="19" t="n">
        <v>0.7</v>
      </c>
      <c r="I32" s="20" t="n">
        <v>0.26</v>
      </c>
      <c r="J32" s="20" t="n">
        <v>0.94</v>
      </c>
      <c r="K32" s="20" t="n">
        <v>0.99</v>
      </c>
      <c r="L32" s="20" t="n">
        <v>0.94</v>
      </c>
      <c r="M32" s="12"/>
      <c r="N32" s="11"/>
      <c r="O32" s="11"/>
      <c r="P32" s="7"/>
      <c r="Q32" s="7"/>
      <c r="R32" s="7"/>
      <c r="S32" s="7"/>
      <c r="T32" s="7"/>
      <c r="U32" s="7"/>
      <c r="V32" s="7"/>
      <c r="W32" s="7"/>
      <c r="X32" s="7"/>
      <c r="Y32" s="7"/>
      <c r="Z32" s="22"/>
      <c r="AA32" s="22"/>
      <c r="AB32" s="22"/>
      <c r="AC32" s="22"/>
      <c r="AD32" s="7"/>
      <c r="AE32" s="7"/>
      <c r="AF32" s="7"/>
      <c r="AG32" s="7"/>
      <c r="AH32" s="7"/>
      <c r="AI32" s="7"/>
      <c r="AJ32" s="7"/>
      <c r="AK32" s="7"/>
      <c r="AL32" s="7"/>
    </row>
    <row r="33" customFormat="false" ht="15.75" hidden="false" customHeight="true" outlineLevel="0" collapsed="false">
      <c r="A33" s="18" t="s">
        <v>109</v>
      </c>
      <c r="B33" s="18" t="str">
        <f aca="false" t="array" ref="B33:B33">IF(A33="","",IFERROR(INDEX('CLM &amp; IM Mapping'!$B$2:$B$270,MATCH(TRIM(A33),'CLM &amp; IM Mapping'!$A$2:$A$270,0)),"Not Mapped"))</f>
        <v>Arun Raj</v>
      </c>
      <c r="C33" s="18" t="str">
        <f aca="false" t="array" ref="C33:C33">IF(A33="","",IFERROR(INDEX('CLM &amp; IM Mapping'!$C$2:$C$270,MATCH(TRIM(A33),'CLM &amp; IM Mapping'!$A$2:$A$270,0)),"Not Mapped"))</f>
        <v>Simon Manoharan</v>
      </c>
      <c r="D33" s="18" t="s">
        <v>24</v>
      </c>
      <c r="E33" s="18" t="s">
        <v>316</v>
      </c>
      <c r="F33" s="18" t="s">
        <v>22</v>
      </c>
      <c r="G33" s="11" t="n">
        <v>13736</v>
      </c>
      <c r="H33" s="19" t="n">
        <v>0.7</v>
      </c>
      <c r="I33" s="20" t="n">
        <v>0.27</v>
      </c>
      <c r="J33" s="20" t="n">
        <v>0.97</v>
      </c>
      <c r="K33" s="20" t="n">
        <v>0.99</v>
      </c>
      <c r="L33" s="20" t="n">
        <v>0.97</v>
      </c>
      <c r="M33" s="12" t="n">
        <v>1</v>
      </c>
      <c r="N33" s="11"/>
      <c r="O33" s="11"/>
      <c r="P33" s="7"/>
      <c r="Q33" s="7"/>
      <c r="R33" s="7"/>
      <c r="S33" s="7"/>
      <c r="T33" s="7"/>
      <c r="U33" s="7"/>
      <c r="V33" s="7"/>
      <c r="W33" s="7"/>
      <c r="X33" s="7"/>
      <c r="Y33" s="7"/>
      <c r="Z33" s="22"/>
      <c r="AA33" s="22"/>
      <c r="AB33" s="22"/>
      <c r="AC33" s="22"/>
      <c r="AD33" s="7"/>
      <c r="AE33" s="7"/>
      <c r="AF33" s="7"/>
      <c r="AG33" s="7"/>
      <c r="AH33" s="7"/>
      <c r="AI33" s="7"/>
      <c r="AJ33" s="7"/>
      <c r="AK33" s="7"/>
      <c r="AL33" s="7"/>
    </row>
    <row r="34" customFormat="false" ht="15.75" hidden="false" customHeight="true" outlineLevel="0" collapsed="false">
      <c r="A34" s="18" t="s">
        <v>229</v>
      </c>
      <c r="B34" s="18" t="str">
        <f aca="false" t="array" ref="B34:B34">IF(A34="","",IFERROR(INDEX('CLM &amp; IM Mapping'!$B$2:$B$270,MATCH(TRIM(A34),'CLM &amp; IM Mapping'!$A$2:$A$270,0)),"Not Mapped"))</f>
        <v>John Britto</v>
      </c>
      <c r="C34" s="18" t="str">
        <f aca="false" t="array" ref="C34:C34">IF(A34="","",IFERROR(INDEX('CLM &amp; IM Mapping'!$C$2:$C$270,MATCH(TRIM(A34),'CLM &amp; IM Mapping'!$A$2:$A$270,0)),"Not Mapped"))</f>
        <v>Aravind S</v>
      </c>
      <c r="D34" s="18" t="s">
        <v>27</v>
      </c>
      <c r="E34" s="18" t="s">
        <v>314</v>
      </c>
      <c r="F34" s="18" t="s">
        <v>145</v>
      </c>
      <c r="G34" s="11" t="n">
        <v>6707</v>
      </c>
      <c r="H34" s="19" t="n">
        <v>0.7</v>
      </c>
      <c r="I34" s="20" t="n">
        <v>0.27</v>
      </c>
      <c r="J34" s="20" t="n">
        <v>0.82</v>
      </c>
      <c r="K34" s="20" t="n">
        <v>0.95</v>
      </c>
      <c r="L34" s="20" t="n">
        <v>0.82</v>
      </c>
      <c r="M34" s="12" t="n">
        <v>3</v>
      </c>
      <c r="N34" s="11"/>
      <c r="O34" s="11"/>
      <c r="P34" s="7"/>
      <c r="Q34" s="7"/>
      <c r="R34" s="7"/>
      <c r="S34" s="7"/>
      <c r="T34" s="7"/>
      <c r="U34" s="7"/>
      <c r="V34" s="7"/>
      <c r="W34" s="7"/>
      <c r="X34" s="7"/>
      <c r="Y34" s="7"/>
      <c r="Z34" s="22"/>
      <c r="AA34" s="22"/>
      <c r="AB34" s="22"/>
      <c r="AC34" s="22"/>
      <c r="AD34" s="7"/>
      <c r="AE34" s="7"/>
      <c r="AF34" s="7"/>
      <c r="AG34" s="7"/>
      <c r="AH34" s="7"/>
      <c r="AI34" s="7"/>
      <c r="AJ34" s="7"/>
      <c r="AK34" s="7"/>
      <c r="AL34" s="7"/>
    </row>
    <row r="35" customFormat="false" ht="15.75" hidden="false" customHeight="true" outlineLevel="0" collapsed="false">
      <c r="A35" s="18" t="s">
        <v>52</v>
      </c>
      <c r="B35" s="18" t="str">
        <f aca="false" t="array" ref="B35:B35">IF(A35="","",IFERROR(INDEX('CLM &amp; IM Mapping'!$B$2:$B$270,MATCH(TRIM(A35),'CLM &amp; IM Mapping'!$A$2:$A$270,0)),"Not Mapped"))</f>
        <v>Sundaresh S</v>
      </c>
      <c r="C35" s="18" t="str">
        <f aca="false" t="array" ref="C35:C35">IF(A35="","",IFERROR(INDEX('CLM &amp; IM Mapping'!$C$2:$C$270,MATCH(TRIM(A35),'CLM &amp; IM Mapping'!$A$2:$A$270,0)),"Not Mapped"))</f>
        <v>Un Mapped</v>
      </c>
      <c r="D35" s="18" t="s">
        <v>27</v>
      </c>
      <c r="E35" s="18" t="s">
        <v>314</v>
      </c>
      <c r="F35" s="18" t="s">
        <v>22</v>
      </c>
      <c r="G35" s="11" t="n">
        <v>6352</v>
      </c>
      <c r="H35" s="19" t="n">
        <v>0.7</v>
      </c>
      <c r="I35" s="20" t="n">
        <v>0.29</v>
      </c>
      <c r="J35" s="20" t="n">
        <v>0.69</v>
      </c>
      <c r="K35" s="20" t="n">
        <v>0.93</v>
      </c>
      <c r="L35" s="20" t="n">
        <v>0.69</v>
      </c>
      <c r="M35" s="12" t="n">
        <v>2</v>
      </c>
      <c r="N35" s="11"/>
      <c r="O35" s="11"/>
      <c r="P35" s="7"/>
      <c r="Q35" s="7"/>
      <c r="R35" s="7"/>
      <c r="S35" s="7"/>
      <c r="T35" s="7"/>
      <c r="U35" s="7"/>
      <c r="V35" s="7"/>
      <c r="W35" s="7"/>
      <c r="X35" s="7"/>
      <c r="Y35" s="7"/>
      <c r="Z35" s="22"/>
      <c r="AA35" s="22"/>
      <c r="AB35" s="22"/>
      <c r="AC35" s="22"/>
      <c r="AD35" s="7"/>
      <c r="AE35" s="7"/>
      <c r="AF35" s="7"/>
      <c r="AG35" s="7"/>
      <c r="AH35" s="7"/>
      <c r="AI35" s="7"/>
      <c r="AJ35" s="7"/>
      <c r="AK35" s="7"/>
      <c r="AL35" s="7"/>
    </row>
    <row r="36" customFormat="false" ht="15.75" hidden="false" customHeight="true" outlineLevel="0" collapsed="false">
      <c r="A36" s="18" t="s">
        <v>110</v>
      </c>
      <c r="B36" s="18" t="str">
        <f aca="false" t="array" ref="B36:B36">IF(A36="","",IFERROR(INDEX('CLM &amp; IM Mapping'!$B$2:$B$270,MATCH(TRIM(A36),'CLM &amp; IM Mapping'!$A$2:$A$270,0)),"Not Mapped"))</f>
        <v>Arun Raj</v>
      </c>
      <c r="C36" s="18" t="str">
        <f aca="false" t="array" ref="C36:C36">IF(A36="","",IFERROR(INDEX('CLM &amp; IM Mapping'!$C$2:$C$270,MATCH(TRIM(A36),'CLM &amp; IM Mapping'!$A$2:$A$270,0)),"Not Mapped"))</f>
        <v>Simon Manoharan</v>
      </c>
      <c r="D36" s="18" t="s">
        <v>24</v>
      </c>
      <c r="E36" s="18" t="s">
        <v>316</v>
      </c>
      <c r="F36" s="18" t="s">
        <v>22</v>
      </c>
      <c r="G36" s="11" t="n">
        <v>13152</v>
      </c>
      <c r="H36" s="19" t="n">
        <v>0.7</v>
      </c>
      <c r="I36" s="20" t="n">
        <v>0.3</v>
      </c>
      <c r="J36" s="20" t="n">
        <v>0.97</v>
      </c>
      <c r="K36" s="20" t="n">
        <v>0.98</v>
      </c>
      <c r="L36" s="20" t="n">
        <v>0.97</v>
      </c>
      <c r="M36" s="12" t="n">
        <v>2</v>
      </c>
      <c r="N36" s="11"/>
      <c r="O36" s="11"/>
      <c r="P36" s="7"/>
      <c r="Q36" s="7"/>
      <c r="R36" s="7"/>
      <c r="S36" s="7"/>
      <c r="T36" s="7"/>
      <c r="U36" s="7"/>
      <c r="V36" s="7"/>
      <c r="W36" s="7"/>
      <c r="X36" s="7"/>
      <c r="Y36" s="7"/>
      <c r="Z36" s="22"/>
      <c r="AA36" s="22"/>
      <c r="AB36" s="22"/>
      <c r="AC36" s="22"/>
      <c r="AD36" s="7"/>
      <c r="AE36" s="7"/>
      <c r="AF36" s="7"/>
      <c r="AG36" s="7"/>
      <c r="AH36" s="7"/>
      <c r="AI36" s="7"/>
      <c r="AJ36" s="7"/>
      <c r="AK36" s="7"/>
      <c r="AL36" s="7"/>
    </row>
    <row r="37" customFormat="false" ht="15.75" hidden="false" customHeight="true" outlineLevel="0" collapsed="false">
      <c r="A37" s="18" t="s">
        <v>317</v>
      </c>
      <c r="B37" s="18" t="str">
        <f aca="false" t="array" ref="B37:B37">IF(A37="","",IFERROR(INDEX('CLM &amp; IM Mapping'!$B$2:$B$270,MATCH(TRIM(A37),'CLM &amp; IM Mapping'!$A$2:$A$270,0)),"Not Mapped"))</f>
        <v>Arun Raj</v>
      </c>
      <c r="C37" s="18" t="str">
        <f aca="false" t="array" ref="C37:C37">IF(A37="","",IFERROR(INDEX('CLM &amp; IM Mapping'!$C$2:$C$270,MATCH(TRIM(A37),'CLM &amp; IM Mapping'!$A$2:$A$270,0)),"Not Mapped"))</f>
        <v>Simon Manoharan</v>
      </c>
      <c r="D37" s="18" t="s">
        <v>24</v>
      </c>
      <c r="E37" s="18" t="s">
        <v>314</v>
      </c>
      <c r="F37" s="18" t="s">
        <v>22</v>
      </c>
      <c r="G37" s="11" t="n">
        <v>10893</v>
      </c>
      <c r="H37" s="19" t="n">
        <v>0.7</v>
      </c>
      <c r="I37" s="20" t="n">
        <v>0.3</v>
      </c>
      <c r="J37" s="20" t="n">
        <v>0.97</v>
      </c>
      <c r="K37" s="20" t="n">
        <v>0.99</v>
      </c>
      <c r="L37" s="20" t="n">
        <v>0.97</v>
      </c>
      <c r="M37" s="12" t="e">
        <f aca="false">#N/A</f>
        <v>#N/A</v>
      </c>
      <c r="N37" s="11"/>
      <c r="O37" s="11"/>
      <c r="P37" s="7"/>
      <c r="Q37" s="7"/>
      <c r="R37" s="7"/>
      <c r="S37" s="7"/>
      <c r="T37" s="7"/>
      <c r="U37" s="7"/>
      <c r="V37" s="7"/>
      <c r="W37" s="7"/>
      <c r="X37" s="7"/>
      <c r="Y37" s="7"/>
      <c r="Z37" s="22"/>
      <c r="AA37" s="22"/>
      <c r="AB37" s="22"/>
      <c r="AC37" s="22"/>
      <c r="AD37" s="7"/>
      <c r="AE37" s="7"/>
      <c r="AF37" s="7"/>
      <c r="AG37" s="7"/>
      <c r="AH37" s="7"/>
      <c r="AI37" s="7"/>
      <c r="AJ37" s="7"/>
      <c r="AK37" s="7"/>
      <c r="AL37" s="7"/>
    </row>
    <row r="38" customFormat="false" ht="15.75" hidden="false" customHeight="true" outlineLevel="0" collapsed="false">
      <c r="A38" s="18" t="s">
        <v>198</v>
      </c>
      <c r="B38" s="18" t="str">
        <f aca="false" t="array" ref="B38:B38">IF(A38="","",IFERROR(INDEX('CLM &amp; IM Mapping'!$B$2:$B$270,MATCH(TRIM(A38),'CLM &amp; IM Mapping'!$A$2:$A$270,0)),"Not Mapped"))</f>
        <v>Arun Raj</v>
      </c>
      <c r="C38" s="18" t="str">
        <f aca="false" t="array" ref="C38:C38">IF(A38="","",IFERROR(INDEX('CLM &amp; IM Mapping'!$C$2:$C$270,MATCH(TRIM(A38),'CLM &amp; IM Mapping'!$A$2:$A$270,0)),"Not Mapped"))</f>
        <v>Simon Manoharan</v>
      </c>
      <c r="D38" s="18" t="s">
        <v>24</v>
      </c>
      <c r="E38" s="18" t="s">
        <v>316</v>
      </c>
      <c r="F38" s="18" t="s">
        <v>22</v>
      </c>
      <c r="G38" s="11" t="n">
        <v>12271</v>
      </c>
      <c r="H38" s="19" t="n">
        <v>0.7</v>
      </c>
      <c r="I38" s="20" t="n">
        <v>0.3</v>
      </c>
      <c r="J38" s="20" t="n">
        <v>0.99</v>
      </c>
      <c r="K38" s="20" t="n">
        <v>1</v>
      </c>
      <c r="L38" s="20" t="n">
        <v>0.99</v>
      </c>
      <c r="M38" s="12" t="n">
        <v>2</v>
      </c>
      <c r="N38" s="11"/>
      <c r="O38" s="11"/>
      <c r="P38" s="7"/>
      <c r="Q38" s="7"/>
      <c r="R38" s="7"/>
      <c r="S38" s="7"/>
      <c r="T38" s="7"/>
      <c r="U38" s="7"/>
      <c r="V38" s="7"/>
      <c r="W38" s="7"/>
      <c r="X38" s="7"/>
      <c r="Y38" s="7"/>
      <c r="Z38" s="22"/>
      <c r="AA38" s="22"/>
      <c r="AB38" s="22"/>
      <c r="AC38" s="22"/>
      <c r="AD38" s="7"/>
      <c r="AE38" s="7"/>
      <c r="AF38" s="7"/>
      <c r="AG38" s="7"/>
      <c r="AH38" s="7"/>
      <c r="AI38" s="7"/>
      <c r="AJ38" s="7"/>
      <c r="AK38" s="7"/>
      <c r="AL38" s="7"/>
    </row>
    <row r="39" customFormat="false" ht="15.75" hidden="false" customHeight="true" outlineLevel="0" collapsed="false">
      <c r="A39" s="18" t="s">
        <v>80</v>
      </c>
      <c r="B39" s="18" t="str">
        <f aca="false" t="array" ref="B39:B39">IF(A39="","",IFERROR(INDEX('CLM &amp; IM Mapping'!$B$2:$B$270,MATCH(TRIM(A39),'CLM &amp; IM Mapping'!$A$2:$A$270,0)),"Not Mapped"))</f>
        <v>Akshay P</v>
      </c>
      <c r="C39" s="18" t="str">
        <f aca="false" t="array" ref="C39:C39">IF(A39="","",IFERROR(INDEX('CLM &amp; IM Mapping'!$C$2:$C$270,MATCH(TRIM(A39),'CLM &amp; IM Mapping'!$A$2:$A$270,0)),"Not Mapped"))</f>
        <v>Srittam Dhal</v>
      </c>
      <c r="D39" s="18" t="s">
        <v>27</v>
      </c>
      <c r="E39" s="18" t="s">
        <v>314</v>
      </c>
      <c r="F39" s="18" t="s">
        <v>22</v>
      </c>
      <c r="G39" s="11" t="n">
        <v>7531</v>
      </c>
      <c r="H39" s="19" t="n">
        <v>0.7</v>
      </c>
      <c r="I39" s="20" t="n">
        <v>0.31</v>
      </c>
      <c r="J39" s="20" t="n">
        <v>0.82</v>
      </c>
      <c r="K39" s="20" t="n">
        <v>0.89</v>
      </c>
      <c r="L39" s="20" t="n">
        <v>0.82</v>
      </c>
      <c r="M39" s="12" t="n">
        <v>2</v>
      </c>
      <c r="N39" s="11"/>
      <c r="O39" s="11"/>
      <c r="P39" s="7"/>
      <c r="Q39" s="7"/>
      <c r="R39" s="7"/>
      <c r="S39" s="7"/>
      <c r="T39" s="7"/>
      <c r="U39" s="7"/>
      <c r="V39" s="7"/>
      <c r="W39" s="7"/>
      <c r="X39" s="7"/>
      <c r="Y39" s="7"/>
      <c r="Z39" s="22"/>
      <c r="AA39" s="22"/>
      <c r="AB39" s="22"/>
      <c r="AC39" s="22"/>
      <c r="AD39" s="7"/>
      <c r="AE39" s="7"/>
      <c r="AF39" s="7"/>
      <c r="AG39" s="7"/>
      <c r="AH39" s="7"/>
      <c r="AI39" s="7"/>
      <c r="AJ39" s="7"/>
      <c r="AK39" s="7"/>
      <c r="AL39" s="7"/>
    </row>
    <row r="40" customFormat="false" ht="15.75" hidden="false" customHeight="true" outlineLevel="0" collapsed="false">
      <c r="A40" s="18" t="s">
        <v>65</v>
      </c>
      <c r="B40" s="18" t="str">
        <f aca="false" t="array" ref="B40:B40">IF(A40="","",IFERROR(INDEX('CLM &amp; IM Mapping'!$B$2:$B$270,MATCH(TRIM(A40),'CLM &amp; IM Mapping'!$A$2:$A$270,0)),"Not Mapped"))</f>
        <v>Saddam Hussain</v>
      </c>
      <c r="C40" s="18" t="str">
        <f aca="false" t="array" ref="C40:C40">IF(A40="","",IFERROR(INDEX('CLM &amp; IM Mapping'!$C$2:$C$270,MATCH(TRIM(A40),'CLM &amp; IM Mapping'!$A$2:$A$270,0)),"Not Mapped"))</f>
        <v>Un Mapped</v>
      </c>
      <c r="D40" s="18" t="s">
        <v>27</v>
      </c>
      <c r="E40" s="18" t="s">
        <v>316</v>
      </c>
      <c r="F40" s="18" t="s">
        <v>22</v>
      </c>
      <c r="G40" s="11" t="n">
        <v>5314</v>
      </c>
      <c r="H40" s="19" t="n">
        <v>0.7</v>
      </c>
      <c r="I40" s="20" t="n">
        <v>0.32</v>
      </c>
      <c r="J40" s="20" t="n">
        <v>0.78</v>
      </c>
      <c r="K40" s="20" t="n">
        <v>0.97</v>
      </c>
      <c r="L40" s="20" t="n">
        <v>0.78</v>
      </c>
      <c r="M40" s="12" t="n">
        <v>4</v>
      </c>
      <c r="N40" s="11"/>
      <c r="O40" s="11"/>
      <c r="P40" s="7"/>
      <c r="Q40" s="7"/>
      <c r="R40" s="7"/>
      <c r="S40" s="7"/>
      <c r="T40" s="7"/>
      <c r="U40" s="7"/>
      <c r="V40" s="7"/>
      <c r="W40" s="7"/>
      <c r="X40" s="7"/>
      <c r="Y40" s="7"/>
      <c r="Z40" s="22"/>
      <c r="AA40" s="22"/>
      <c r="AB40" s="22"/>
      <c r="AC40" s="22"/>
      <c r="AD40" s="7"/>
      <c r="AE40" s="7"/>
      <c r="AF40" s="7"/>
      <c r="AG40" s="7"/>
      <c r="AH40" s="7"/>
      <c r="AI40" s="7"/>
      <c r="AJ40" s="7"/>
      <c r="AK40" s="7"/>
      <c r="AL40" s="7"/>
    </row>
    <row r="41" customFormat="false" ht="15.75" hidden="false" customHeight="true" outlineLevel="0" collapsed="false">
      <c r="A41" s="18" t="s">
        <v>128</v>
      </c>
      <c r="B41" s="18" t="str">
        <f aca="false" t="array" ref="B41:B41">IF(A41="","",IFERROR(INDEX('CLM &amp; IM Mapping'!$B$2:$B$270,MATCH(TRIM(A41),'CLM &amp; IM Mapping'!$A$2:$A$270,0)),"Not Mapped"))</f>
        <v>Arun Raj</v>
      </c>
      <c r="C41" s="18" t="str">
        <f aca="false" t="array" ref="C41:C41">IF(A41="","",IFERROR(INDEX('CLM &amp; IM Mapping'!$C$2:$C$270,MATCH(TRIM(A41),'CLM &amp; IM Mapping'!$A$2:$A$270,0)),"Not Mapped"))</f>
        <v>Simon Manoharan</v>
      </c>
      <c r="D41" s="18" t="s">
        <v>24</v>
      </c>
      <c r="E41" s="18" t="s">
        <v>316</v>
      </c>
      <c r="F41" s="18" t="s">
        <v>22</v>
      </c>
      <c r="G41" s="11" t="n">
        <v>13860</v>
      </c>
      <c r="H41" s="19" t="n">
        <v>0.7</v>
      </c>
      <c r="I41" s="20" t="n">
        <v>0.32</v>
      </c>
      <c r="J41" s="20" t="n">
        <v>0.97</v>
      </c>
      <c r="K41" s="20" t="n">
        <v>0.99</v>
      </c>
      <c r="L41" s="20" t="n">
        <v>0.97</v>
      </c>
      <c r="M41" s="12" t="n">
        <v>2</v>
      </c>
      <c r="N41" s="11"/>
      <c r="O41" s="11"/>
      <c r="P41" s="7"/>
      <c r="Q41" s="7"/>
      <c r="R41" s="7"/>
      <c r="S41" s="7"/>
      <c r="T41" s="7"/>
      <c r="U41" s="7"/>
      <c r="V41" s="7"/>
      <c r="W41" s="7"/>
      <c r="X41" s="7"/>
      <c r="Y41" s="7"/>
      <c r="Z41" s="22"/>
      <c r="AA41" s="22"/>
      <c r="AB41" s="22"/>
      <c r="AC41" s="22"/>
      <c r="AD41" s="7"/>
      <c r="AE41" s="7"/>
      <c r="AF41" s="7"/>
      <c r="AG41" s="7"/>
      <c r="AH41" s="7"/>
      <c r="AI41" s="7"/>
      <c r="AJ41" s="7"/>
      <c r="AK41" s="7"/>
      <c r="AL41" s="7"/>
    </row>
    <row r="42" customFormat="false" ht="15.75" hidden="false" customHeight="true" outlineLevel="0" collapsed="false">
      <c r="A42" s="18" t="s">
        <v>88</v>
      </c>
      <c r="B42" s="18" t="str">
        <f aca="false" t="array" ref="B42:B42">IF(A42="","",IFERROR(INDEX('CLM &amp; IM Mapping'!$B$2:$B$270,MATCH(TRIM(A42),'CLM &amp; IM Mapping'!$A$2:$A$270,0)),"Not Mapped"))</f>
        <v>Richard Harris</v>
      </c>
      <c r="C42" s="18" t="str">
        <f aca="false" t="array" ref="C42:C42">IF(A42="","",IFERROR(INDEX('CLM &amp; IM Mapping'!$C$2:$C$270,MATCH(TRIM(A42),'CLM &amp; IM Mapping'!$A$2:$A$270,0)),"Not Mapped"))</f>
        <v>Kantha Kumar</v>
      </c>
      <c r="D42" s="18" t="s">
        <v>27</v>
      </c>
      <c r="E42" s="18" t="s">
        <v>314</v>
      </c>
      <c r="F42" s="18" t="s">
        <v>22</v>
      </c>
      <c r="G42" s="11" t="n">
        <v>6404</v>
      </c>
      <c r="H42" s="19" t="n">
        <v>0.7</v>
      </c>
      <c r="I42" s="20" t="n">
        <v>0.32</v>
      </c>
      <c r="J42" s="20" t="n">
        <v>0.81</v>
      </c>
      <c r="K42" s="20" t="n">
        <v>0.93</v>
      </c>
      <c r="L42" s="20" t="n">
        <v>0.81</v>
      </c>
      <c r="M42" s="12" t="n">
        <v>4</v>
      </c>
      <c r="N42" s="11"/>
      <c r="O42" s="11"/>
      <c r="P42" s="7"/>
      <c r="Q42" s="7"/>
      <c r="R42" s="7"/>
      <c r="S42" s="7"/>
      <c r="T42" s="7"/>
      <c r="U42" s="7"/>
      <c r="V42" s="7"/>
      <c r="W42" s="7"/>
      <c r="X42" s="7"/>
      <c r="Y42" s="7"/>
      <c r="Z42" s="22"/>
      <c r="AA42" s="22"/>
      <c r="AB42" s="22"/>
      <c r="AC42" s="22"/>
      <c r="AD42" s="7"/>
      <c r="AE42" s="7"/>
      <c r="AF42" s="7"/>
      <c r="AG42" s="7"/>
      <c r="AH42" s="7"/>
      <c r="AI42" s="7"/>
      <c r="AJ42" s="7"/>
      <c r="AK42" s="7"/>
      <c r="AL42" s="7"/>
    </row>
    <row r="43" customFormat="false" ht="15.75" hidden="false" customHeight="true" outlineLevel="0" collapsed="false">
      <c r="A43" s="18" t="s">
        <v>147</v>
      </c>
      <c r="B43" s="18" t="str">
        <f aca="false" t="array" ref="B43:B43">IF(A43="","",IFERROR(INDEX('CLM &amp; IM Mapping'!$B$2:$B$270,MATCH(TRIM(A43),'CLM &amp; IM Mapping'!$A$2:$A$270,0)),"Not Mapped"))</f>
        <v>Manjunatha V</v>
      </c>
      <c r="C43" s="18" t="str">
        <f aca="false" t="array" ref="C43:C43">IF(A43="","",IFERROR(INDEX('CLM &amp; IM Mapping'!$C$2:$C$270,MATCH(TRIM(A43),'CLM &amp; IM Mapping'!$A$2:$A$270,0)),"Not Mapped"))</f>
        <v>Un Mapped</v>
      </c>
      <c r="D43" s="18" t="s">
        <v>27</v>
      </c>
      <c r="E43" s="18" t="s">
        <v>314</v>
      </c>
      <c r="F43" s="18" t="s">
        <v>22</v>
      </c>
      <c r="G43" s="11" t="n">
        <v>5639</v>
      </c>
      <c r="H43" s="19" t="n">
        <v>0.7</v>
      </c>
      <c r="I43" s="20" t="n">
        <v>0.32</v>
      </c>
      <c r="J43" s="20" t="n">
        <v>0.86</v>
      </c>
      <c r="K43" s="20" t="n">
        <v>0.96</v>
      </c>
      <c r="L43" s="20" t="n">
        <v>0.86</v>
      </c>
      <c r="M43" s="12" t="n">
        <v>3</v>
      </c>
      <c r="N43" s="11"/>
      <c r="O43" s="11"/>
      <c r="P43" s="7"/>
      <c r="Q43" s="7"/>
      <c r="R43" s="7"/>
      <c r="S43" s="7"/>
      <c r="T43" s="7"/>
      <c r="U43" s="7"/>
      <c r="V43" s="7"/>
      <c r="W43" s="7"/>
      <c r="X43" s="7"/>
      <c r="Y43" s="7"/>
      <c r="Z43" s="22"/>
      <c r="AA43" s="22"/>
      <c r="AB43" s="22"/>
      <c r="AC43" s="22"/>
      <c r="AD43" s="7"/>
      <c r="AE43" s="7"/>
      <c r="AF43" s="7"/>
      <c r="AG43" s="7"/>
      <c r="AH43" s="7"/>
      <c r="AI43" s="7"/>
      <c r="AJ43" s="7"/>
      <c r="AK43" s="7"/>
      <c r="AL43" s="7"/>
    </row>
    <row r="44" customFormat="false" ht="15.75" hidden="false" customHeight="true" outlineLevel="0" collapsed="false">
      <c r="A44" s="18" t="s">
        <v>94</v>
      </c>
      <c r="B44" s="18" t="str">
        <f aca="false" t="array" ref="B44:B44">IF(A44="","",IFERROR(INDEX('CLM &amp; IM Mapping'!$B$2:$B$270,MATCH(TRIM(A44),'CLM &amp; IM Mapping'!$A$2:$A$270,0)),"Not Mapped"))</f>
        <v>Adhavan Subramani</v>
      </c>
      <c r="C44" s="18" t="str">
        <f aca="false" t="array" ref="C44:C44">IF(A44="","",IFERROR(INDEX('CLM &amp; IM Mapping'!$C$2:$C$270,MATCH(TRIM(A44),'CLM &amp; IM Mapping'!$A$2:$A$270,0)),"Not Mapped"))</f>
        <v>Mohammed Akbar</v>
      </c>
      <c r="D44" s="18" t="s">
        <v>27</v>
      </c>
      <c r="E44" s="18" t="s">
        <v>314</v>
      </c>
      <c r="F44" s="18" t="s">
        <v>22</v>
      </c>
      <c r="G44" s="11" t="n">
        <v>6332</v>
      </c>
      <c r="H44" s="19" t="n">
        <v>0.7</v>
      </c>
      <c r="I44" s="20" t="n">
        <v>0.32</v>
      </c>
      <c r="J44" s="20" t="n">
        <v>0.7</v>
      </c>
      <c r="K44" s="20" t="n">
        <v>0.84</v>
      </c>
      <c r="L44" s="20" t="n">
        <v>0.7</v>
      </c>
      <c r="M44" s="12" t="n">
        <v>3</v>
      </c>
      <c r="N44" s="11"/>
      <c r="O44" s="11"/>
      <c r="P44" s="7"/>
      <c r="Q44" s="7"/>
      <c r="R44" s="7"/>
      <c r="S44" s="7"/>
      <c r="T44" s="7"/>
      <c r="U44" s="7"/>
      <c r="V44" s="7"/>
      <c r="W44" s="7"/>
      <c r="X44" s="7"/>
      <c r="Y44" s="7"/>
      <c r="Z44" s="22"/>
      <c r="AA44" s="22"/>
      <c r="AB44" s="22"/>
      <c r="AC44" s="22"/>
      <c r="AD44" s="7"/>
      <c r="AE44" s="7"/>
      <c r="AF44" s="7"/>
      <c r="AG44" s="7"/>
      <c r="AH44" s="7"/>
      <c r="AI44" s="7"/>
      <c r="AJ44" s="7"/>
      <c r="AK44" s="7"/>
      <c r="AL44" s="7"/>
    </row>
    <row r="45" customFormat="false" ht="15.75" hidden="false" customHeight="true" outlineLevel="0" collapsed="false">
      <c r="A45" s="18" t="s">
        <v>23</v>
      </c>
      <c r="B45" s="18" t="str">
        <f aca="false" t="array" ref="B45:B45">IF(A45="","",IFERROR(INDEX('CLM &amp; IM Mapping'!$B$2:$B$270,MATCH(TRIM(A45),'CLM &amp; IM Mapping'!$A$2:$A$270,0)),"Not Mapped"))</f>
        <v>Arun Raj</v>
      </c>
      <c r="C45" s="18" t="str">
        <f aca="false" t="array" ref="C45:C45">IF(A45="","",IFERROR(INDEX('CLM &amp; IM Mapping'!$C$2:$C$270,MATCH(TRIM(A45),'CLM &amp; IM Mapping'!$A$2:$A$270,0)),"Not Mapped"))</f>
        <v>Simon Manoharan</v>
      </c>
      <c r="D45" s="18" t="s">
        <v>24</v>
      </c>
      <c r="E45" s="18" t="s">
        <v>316</v>
      </c>
      <c r="F45" s="18" t="s">
        <v>22</v>
      </c>
      <c r="G45" s="11" t="n">
        <v>10881</v>
      </c>
      <c r="H45" s="19" t="n">
        <v>0.7</v>
      </c>
      <c r="I45" s="20" t="n">
        <v>0.33</v>
      </c>
      <c r="J45" s="20" t="n">
        <v>0.88</v>
      </c>
      <c r="K45" s="20" t="n">
        <v>0.97</v>
      </c>
      <c r="L45" s="20" t="n">
        <v>0.88</v>
      </c>
      <c r="M45" s="12" t="n">
        <v>4</v>
      </c>
      <c r="N45" s="11"/>
      <c r="O45" s="11"/>
      <c r="P45" s="7"/>
      <c r="Q45" s="7"/>
      <c r="R45" s="7"/>
      <c r="S45" s="7"/>
      <c r="T45" s="7"/>
      <c r="U45" s="7"/>
      <c r="V45" s="7"/>
      <c r="W45" s="7"/>
      <c r="X45" s="7"/>
      <c r="Y45" s="7"/>
      <c r="Z45" s="22"/>
      <c r="AA45" s="22"/>
      <c r="AB45" s="22"/>
      <c r="AC45" s="22"/>
      <c r="AD45" s="7"/>
      <c r="AE45" s="7"/>
      <c r="AF45" s="7"/>
      <c r="AG45" s="7"/>
      <c r="AH45" s="7"/>
      <c r="AI45" s="7"/>
      <c r="AJ45" s="7"/>
      <c r="AK45" s="7"/>
      <c r="AL45" s="7"/>
    </row>
    <row r="46" customFormat="false" ht="15.75" hidden="false" customHeight="true" outlineLevel="0" collapsed="false">
      <c r="A46" s="18" t="s">
        <v>211</v>
      </c>
      <c r="B46" s="18" t="str">
        <f aca="false" t="array" ref="B46:B46">IF(A46="","",IFERROR(INDEX('CLM &amp; IM Mapping'!$B$2:$B$270,MATCH(TRIM(A46),'CLM &amp; IM Mapping'!$A$2:$A$270,0)),"Not Mapped"))</f>
        <v>Arun Raj</v>
      </c>
      <c r="C46" s="18" t="str">
        <f aca="false" t="array" ref="C46:C46">IF(A46="","",IFERROR(INDEX('CLM &amp; IM Mapping'!$C$2:$C$270,MATCH(TRIM(A46),'CLM &amp; IM Mapping'!$A$2:$A$270,0)),"Not Mapped"))</f>
        <v>Simon Manoharan</v>
      </c>
      <c r="D46" s="18" t="s">
        <v>24</v>
      </c>
      <c r="E46" s="18" t="s">
        <v>316</v>
      </c>
      <c r="F46" s="18" t="s">
        <v>22</v>
      </c>
      <c r="G46" s="11" t="n">
        <v>11768</v>
      </c>
      <c r="H46" s="19" t="n">
        <v>0.7</v>
      </c>
      <c r="I46" s="20" t="n">
        <v>0.33</v>
      </c>
      <c r="J46" s="20" t="n">
        <v>0.96</v>
      </c>
      <c r="K46" s="20" t="n">
        <v>0.99</v>
      </c>
      <c r="L46" s="20" t="n">
        <v>0.96</v>
      </c>
      <c r="M46" s="12" t="n">
        <v>3</v>
      </c>
      <c r="N46" s="11"/>
      <c r="O46" s="11"/>
      <c r="P46" s="7"/>
      <c r="Q46" s="7"/>
      <c r="R46" s="7"/>
      <c r="S46" s="7"/>
      <c r="T46" s="7"/>
      <c r="U46" s="7"/>
      <c r="V46" s="7"/>
      <c r="W46" s="7"/>
      <c r="X46" s="7"/>
      <c r="Y46" s="7"/>
      <c r="Z46" s="22"/>
      <c r="AA46" s="22"/>
      <c r="AB46" s="22"/>
      <c r="AC46" s="22"/>
      <c r="AD46" s="7"/>
      <c r="AE46" s="7"/>
      <c r="AF46" s="7"/>
      <c r="AG46" s="7"/>
      <c r="AH46" s="7"/>
      <c r="AI46" s="7"/>
      <c r="AJ46" s="7"/>
      <c r="AK46" s="7"/>
      <c r="AL46" s="7"/>
    </row>
    <row r="47" customFormat="false" ht="15.75" hidden="false" customHeight="true" outlineLevel="0" collapsed="false">
      <c r="A47" s="18" t="s">
        <v>60</v>
      </c>
      <c r="B47" s="18" t="str">
        <f aca="false" t="array" ref="B47:B47">IF(A47="","",IFERROR(INDEX('CLM &amp; IM Mapping'!$B$2:$B$270,MATCH(TRIM(A47),'CLM &amp; IM Mapping'!$A$2:$A$270,0)),"Not Mapped"))</f>
        <v>Adhavan Subramani</v>
      </c>
      <c r="C47" s="18" t="str">
        <f aca="false" t="array" ref="C47:C47">IF(A47="","",IFERROR(INDEX('CLM &amp; IM Mapping'!$C$2:$C$270,MATCH(TRIM(A47),'CLM &amp; IM Mapping'!$A$2:$A$270,0)),"Not Mapped"))</f>
        <v>Mohammed Akbar</v>
      </c>
      <c r="D47" s="18" t="s">
        <v>27</v>
      </c>
      <c r="E47" s="18" t="s">
        <v>314</v>
      </c>
      <c r="F47" s="18" t="s">
        <v>22</v>
      </c>
      <c r="G47" s="11" t="n">
        <v>6065</v>
      </c>
      <c r="H47" s="19" t="n">
        <v>0.7</v>
      </c>
      <c r="I47" s="20" t="n">
        <v>0.33</v>
      </c>
      <c r="J47" s="20" t="n">
        <v>0.78</v>
      </c>
      <c r="K47" s="20" t="n">
        <v>0.92</v>
      </c>
      <c r="L47" s="20" t="n">
        <v>0.78</v>
      </c>
      <c r="M47" s="12" t="n">
        <v>3</v>
      </c>
      <c r="N47" s="11"/>
      <c r="O47" s="11"/>
      <c r="P47" s="7"/>
      <c r="Q47" s="7"/>
      <c r="R47" s="7"/>
      <c r="S47" s="7"/>
      <c r="T47" s="7"/>
      <c r="U47" s="7"/>
      <c r="V47" s="7"/>
      <c r="W47" s="7"/>
      <c r="X47" s="7"/>
      <c r="Y47" s="7"/>
      <c r="Z47" s="22"/>
      <c r="AA47" s="22"/>
      <c r="AB47" s="22"/>
      <c r="AC47" s="22"/>
      <c r="AD47" s="7"/>
      <c r="AE47" s="7"/>
      <c r="AF47" s="7"/>
      <c r="AG47" s="7"/>
      <c r="AH47" s="7"/>
      <c r="AI47" s="7"/>
      <c r="AJ47" s="7"/>
      <c r="AK47" s="7"/>
      <c r="AL47" s="7"/>
    </row>
    <row r="48" customFormat="false" ht="15.75" hidden="false" customHeight="true" outlineLevel="0" collapsed="false">
      <c r="A48" s="18" t="s">
        <v>79</v>
      </c>
      <c r="B48" s="18" t="str">
        <f aca="false" t="array" ref="B48:B48">IF(A48="","",IFERROR(INDEX('CLM &amp; IM Mapping'!$B$2:$B$270,MATCH(TRIM(A48),'CLM &amp; IM Mapping'!$A$2:$A$270,0)),"Not Mapped"))</f>
        <v>Ashwath S</v>
      </c>
      <c r="C48" s="18" t="str">
        <f aca="false" t="array" ref="C48:C48">IF(A48="","",IFERROR(INDEX('CLM &amp; IM Mapping'!$C$2:$C$270,MATCH(TRIM(A48),'CLM &amp; IM Mapping'!$A$2:$A$270,0)),"Not Mapped"))</f>
        <v>Kantha Kumar</v>
      </c>
      <c r="D48" s="18" t="s">
        <v>27</v>
      </c>
      <c r="E48" s="18" t="s">
        <v>314</v>
      </c>
      <c r="F48" s="18" t="s">
        <v>22</v>
      </c>
      <c r="G48" s="11" t="n">
        <v>7436</v>
      </c>
      <c r="H48" s="19" t="n">
        <v>0.7</v>
      </c>
      <c r="I48" s="20" t="n">
        <v>0.34</v>
      </c>
      <c r="J48" s="20" t="n">
        <v>0.8</v>
      </c>
      <c r="K48" s="20" t="n">
        <v>0.96</v>
      </c>
      <c r="L48" s="20" t="n">
        <v>0.8</v>
      </c>
      <c r="M48" s="12" t="n">
        <v>4</v>
      </c>
      <c r="N48" s="11"/>
      <c r="O48" s="11"/>
      <c r="P48" s="7"/>
      <c r="Q48" s="7"/>
      <c r="R48" s="7"/>
      <c r="S48" s="7"/>
      <c r="T48" s="7"/>
      <c r="U48" s="7"/>
      <c r="V48" s="7"/>
      <c r="W48" s="7"/>
      <c r="X48" s="7"/>
      <c r="Y48" s="7"/>
      <c r="Z48" s="22"/>
      <c r="AA48" s="22"/>
      <c r="AB48" s="22"/>
      <c r="AC48" s="22"/>
      <c r="AD48" s="7"/>
      <c r="AE48" s="7"/>
      <c r="AF48" s="7"/>
      <c r="AG48" s="7"/>
      <c r="AH48" s="7"/>
      <c r="AI48" s="7"/>
      <c r="AJ48" s="7"/>
      <c r="AK48" s="7"/>
      <c r="AL48" s="7"/>
    </row>
    <row r="49" customFormat="false" ht="15.75" hidden="false" customHeight="true" outlineLevel="0" collapsed="false">
      <c r="A49" s="18" t="s">
        <v>214</v>
      </c>
      <c r="B49" s="18" t="str">
        <f aca="false" t="array" ref="B49:B49">IF(A49="","",IFERROR(INDEX('CLM &amp; IM Mapping'!$B$2:$B$270,MATCH(TRIM(A49),'CLM &amp; IM Mapping'!$A$2:$A$270,0)),"Not Mapped"))</f>
        <v>Ravishankar gowda</v>
      </c>
      <c r="C49" s="18" t="str">
        <f aca="false" t="array" ref="C49:C49">IF(A49="","",IFERROR(INDEX('CLM &amp; IM Mapping'!$C$2:$C$270,MATCH(TRIM(A49),'CLM &amp; IM Mapping'!$A$2:$A$270,0)),"Not Mapped"))</f>
        <v>Kishor K</v>
      </c>
      <c r="D49" s="18" t="s">
        <v>27</v>
      </c>
      <c r="E49" s="18" t="s">
        <v>314</v>
      </c>
      <c r="F49" s="18" t="s">
        <v>22</v>
      </c>
      <c r="G49" s="11" t="n">
        <v>6071</v>
      </c>
      <c r="H49" s="19" t="n">
        <v>0.7</v>
      </c>
      <c r="I49" s="20" t="n">
        <v>0.34</v>
      </c>
      <c r="J49" s="20" t="n">
        <v>0.94</v>
      </c>
      <c r="K49" s="20" t="n">
        <v>0.96</v>
      </c>
      <c r="L49" s="20" t="n">
        <v>0.94</v>
      </c>
      <c r="M49" s="12" t="n">
        <v>2</v>
      </c>
      <c r="N49" s="11"/>
      <c r="O49" s="11"/>
      <c r="P49" s="7"/>
      <c r="Q49" s="7"/>
      <c r="R49" s="7"/>
      <c r="S49" s="7"/>
      <c r="T49" s="7"/>
      <c r="U49" s="7"/>
      <c r="V49" s="7"/>
      <c r="W49" s="7"/>
      <c r="X49" s="7"/>
      <c r="Y49" s="7"/>
      <c r="Z49" s="22"/>
      <c r="AA49" s="22"/>
      <c r="AB49" s="22"/>
      <c r="AC49" s="22"/>
      <c r="AD49" s="7"/>
      <c r="AE49" s="7"/>
      <c r="AF49" s="7"/>
      <c r="AG49" s="7"/>
      <c r="AH49" s="7"/>
      <c r="AI49" s="7"/>
      <c r="AJ49" s="7"/>
      <c r="AK49" s="7"/>
      <c r="AL49" s="7"/>
    </row>
    <row r="50" customFormat="false" ht="15.75" hidden="false" customHeight="true" outlineLevel="0" collapsed="false">
      <c r="A50" s="18" t="s">
        <v>45</v>
      </c>
      <c r="B50" s="18" t="str">
        <f aca="false" t="array" ref="B50:B50">IF(A50="","",IFERROR(INDEX('CLM &amp; IM Mapping'!$B$2:$B$270,MATCH(TRIM(A50),'CLM &amp; IM Mapping'!$A$2:$A$270,0)),"Not Mapped"))</f>
        <v>Sundaresh S</v>
      </c>
      <c r="C50" s="18" t="str">
        <f aca="false" t="array" ref="C50:C50">IF(A50="","",IFERROR(INDEX('CLM &amp; IM Mapping'!$C$2:$C$270,MATCH(TRIM(A50),'CLM &amp; IM Mapping'!$A$2:$A$270,0)),"Not Mapped"))</f>
        <v>Un Mapped</v>
      </c>
      <c r="D50" s="18" t="s">
        <v>27</v>
      </c>
      <c r="E50" s="18" t="s">
        <v>314</v>
      </c>
      <c r="F50" s="18" t="s">
        <v>22</v>
      </c>
      <c r="G50" s="11" t="n">
        <v>4836</v>
      </c>
      <c r="H50" s="19" t="n">
        <v>0.7</v>
      </c>
      <c r="I50" s="20" t="n">
        <v>0.34</v>
      </c>
      <c r="J50" s="20" t="n">
        <v>0.84</v>
      </c>
      <c r="K50" s="20" t="n">
        <v>0.97</v>
      </c>
      <c r="L50" s="20" t="n">
        <v>0.84</v>
      </c>
      <c r="M50" s="12" t="n">
        <v>5</v>
      </c>
      <c r="N50" s="11"/>
      <c r="O50" s="11"/>
      <c r="P50" s="7"/>
      <c r="Q50" s="7"/>
      <c r="R50" s="7"/>
      <c r="S50" s="7"/>
      <c r="T50" s="7"/>
      <c r="U50" s="7"/>
      <c r="V50" s="7"/>
      <c r="W50" s="7"/>
      <c r="X50" s="7"/>
      <c r="Y50" s="7"/>
      <c r="Z50" s="22"/>
      <c r="AA50" s="22"/>
      <c r="AB50" s="22"/>
      <c r="AC50" s="22"/>
      <c r="AD50" s="7"/>
      <c r="AE50" s="7"/>
      <c r="AF50" s="7"/>
      <c r="AG50" s="7"/>
      <c r="AH50" s="7"/>
      <c r="AI50" s="7"/>
      <c r="AJ50" s="7"/>
      <c r="AK50" s="7"/>
      <c r="AL50" s="7"/>
    </row>
    <row r="51" customFormat="false" ht="15.75" hidden="false" customHeight="true" outlineLevel="0" collapsed="false">
      <c r="A51" s="18" t="s">
        <v>252</v>
      </c>
      <c r="B51" s="18" t="str">
        <f aca="false" t="array" ref="B51:B51">IF(A51="","",IFERROR(INDEX('CLM &amp; IM Mapping'!$B$2:$B$270,MATCH(TRIM(A51),'CLM &amp; IM Mapping'!$A$2:$A$270,0)),"Not Mapped"))</f>
        <v>Arun Raj</v>
      </c>
      <c r="C51" s="18" t="str">
        <f aca="false" t="array" ref="C51:C51">IF(A51="","",IFERROR(INDEX('CLM &amp; IM Mapping'!$C$2:$C$270,MATCH(TRIM(A51),'CLM &amp; IM Mapping'!$A$2:$A$270,0)),"Not Mapped"))</f>
        <v>Simon Manoharan</v>
      </c>
      <c r="D51" s="18" t="s">
        <v>24</v>
      </c>
      <c r="E51" s="18" t="s">
        <v>316</v>
      </c>
      <c r="F51" s="18" t="s">
        <v>22</v>
      </c>
      <c r="G51" s="11" t="n">
        <v>12050</v>
      </c>
      <c r="H51" s="19" t="n">
        <v>0.7</v>
      </c>
      <c r="I51" s="20" t="n">
        <v>0.34</v>
      </c>
      <c r="J51" s="20" t="n">
        <v>0.98</v>
      </c>
      <c r="K51" s="20" t="n">
        <v>1</v>
      </c>
      <c r="L51" s="20" t="n">
        <v>0.98</v>
      </c>
      <c r="M51" s="12" t="n">
        <v>2</v>
      </c>
      <c r="N51" s="11"/>
      <c r="O51" s="11"/>
      <c r="P51" s="7"/>
      <c r="Q51" s="7"/>
      <c r="R51" s="7"/>
      <c r="S51" s="7"/>
      <c r="T51" s="7"/>
      <c r="U51" s="7"/>
      <c r="V51" s="7"/>
      <c r="W51" s="7"/>
      <c r="X51" s="7"/>
      <c r="Y51" s="7"/>
      <c r="Z51" s="22"/>
      <c r="AA51" s="22"/>
      <c r="AB51" s="22"/>
      <c r="AC51" s="22"/>
      <c r="AD51" s="7"/>
      <c r="AE51" s="7"/>
      <c r="AF51" s="7"/>
      <c r="AG51" s="7"/>
      <c r="AH51" s="7"/>
      <c r="AI51" s="7"/>
      <c r="AJ51" s="7"/>
      <c r="AK51" s="7"/>
      <c r="AL51" s="7"/>
    </row>
    <row r="52" customFormat="false" ht="15.75" hidden="false" customHeight="true" outlineLevel="0" collapsed="false">
      <c r="A52" s="18" t="s">
        <v>144</v>
      </c>
      <c r="B52" s="18" t="str">
        <f aca="false" t="array" ref="B52:B52">IF(A52="","",IFERROR(INDEX('CLM &amp; IM Mapping'!$B$2:$B$270,MATCH(TRIM(A52),'CLM &amp; IM Mapping'!$A$2:$A$270,0)),"Not Mapped"))</f>
        <v>Bangareppa CS</v>
      </c>
      <c r="C52" s="18" t="str">
        <f aca="false" t="array" ref="C52:C52">IF(A52="","",IFERROR(INDEX('CLM &amp; IM Mapping'!$C$2:$C$270,MATCH(TRIM(A52),'CLM &amp; IM Mapping'!$A$2:$A$270,0)),"Not Mapped"))</f>
        <v>Kishor K</v>
      </c>
      <c r="D52" s="18" t="s">
        <v>27</v>
      </c>
      <c r="E52" s="18" t="s">
        <v>316</v>
      </c>
      <c r="F52" s="18" t="s">
        <v>99</v>
      </c>
      <c r="G52" s="11" t="n">
        <v>5252</v>
      </c>
      <c r="H52" s="19" t="n">
        <v>0.7</v>
      </c>
      <c r="I52" s="20" t="n">
        <v>0.34</v>
      </c>
      <c r="J52" s="20" t="n">
        <v>0.89</v>
      </c>
      <c r="K52" s="20" t="n">
        <v>0.97</v>
      </c>
      <c r="L52" s="20" t="n">
        <v>0.89</v>
      </c>
      <c r="M52" s="12" t="n">
        <v>2</v>
      </c>
      <c r="N52" s="11"/>
      <c r="O52" s="11"/>
      <c r="P52" s="7"/>
      <c r="Q52" s="7"/>
      <c r="R52" s="7"/>
      <c r="S52" s="7"/>
      <c r="T52" s="7"/>
      <c r="U52" s="7"/>
      <c r="V52" s="7"/>
      <c r="W52" s="7"/>
      <c r="X52" s="7"/>
      <c r="Y52" s="7"/>
      <c r="Z52" s="22"/>
      <c r="AA52" s="22"/>
      <c r="AB52" s="22"/>
      <c r="AC52" s="22"/>
      <c r="AD52" s="7"/>
      <c r="AE52" s="7"/>
      <c r="AF52" s="7"/>
      <c r="AG52" s="7"/>
      <c r="AH52" s="7"/>
      <c r="AI52" s="7"/>
      <c r="AJ52" s="7"/>
      <c r="AK52" s="7"/>
      <c r="AL52" s="7"/>
    </row>
    <row r="53" customFormat="false" ht="15.75" hidden="false" customHeight="true" outlineLevel="0" collapsed="false">
      <c r="A53" s="18" t="s">
        <v>129</v>
      </c>
      <c r="B53" s="18" t="str">
        <f aca="false" t="array" ref="B53:B53">IF(A53="","",IFERROR(INDEX('CLM &amp; IM Mapping'!$B$2:$B$270,MATCH(TRIM(A53),'CLM &amp; IM Mapping'!$A$2:$A$270,0)),"Not Mapped"))</f>
        <v>Vishnu V</v>
      </c>
      <c r="C53" s="18" t="str">
        <f aca="false" t="array" ref="C53:C53">IF(A53="","",IFERROR(INDEX('CLM &amp; IM Mapping'!$C$2:$C$270,MATCH(TRIM(A53),'CLM &amp; IM Mapping'!$A$2:$A$270,0)),"Not Mapped"))</f>
        <v>Arivind S</v>
      </c>
      <c r="D53" s="18" t="s">
        <v>27</v>
      </c>
      <c r="E53" s="18" t="s">
        <v>314</v>
      </c>
      <c r="F53" s="18" t="s">
        <v>104</v>
      </c>
      <c r="G53" s="11" t="n">
        <v>5822</v>
      </c>
      <c r="H53" s="19" t="n">
        <v>0.7</v>
      </c>
      <c r="I53" s="20" t="n">
        <v>0.34</v>
      </c>
      <c r="J53" s="20" t="n">
        <v>0.83</v>
      </c>
      <c r="K53" s="20" t="n">
        <v>0.96</v>
      </c>
      <c r="L53" s="20" t="n">
        <v>0.83</v>
      </c>
      <c r="M53" s="12" t="n">
        <v>2</v>
      </c>
      <c r="N53" s="11"/>
      <c r="O53" s="11"/>
      <c r="P53" s="7"/>
      <c r="Q53" s="7"/>
      <c r="R53" s="7"/>
      <c r="S53" s="7"/>
      <c r="T53" s="7"/>
      <c r="U53" s="7"/>
      <c r="V53" s="7"/>
      <c r="W53" s="7"/>
      <c r="X53" s="7"/>
      <c r="Y53" s="7"/>
      <c r="Z53" s="22"/>
      <c r="AA53" s="22"/>
      <c r="AB53" s="22"/>
      <c r="AC53" s="22"/>
      <c r="AD53" s="7"/>
      <c r="AE53" s="7"/>
      <c r="AF53" s="7"/>
      <c r="AG53" s="7"/>
      <c r="AH53" s="7"/>
      <c r="AI53" s="7"/>
      <c r="AJ53" s="7"/>
      <c r="AK53" s="7"/>
      <c r="AL53" s="7"/>
    </row>
    <row r="54" customFormat="false" ht="15.75" hidden="false" customHeight="true" outlineLevel="0" collapsed="false">
      <c r="A54" s="18" t="s">
        <v>124</v>
      </c>
      <c r="B54" s="18" t="str">
        <f aca="false" t="array" ref="B54:B54">IF(A54="","",IFERROR(INDEX('CLM &amp; IM Mapping'!$B$2:$B$270,MATCH(TRIM(A54),'CLM &amp; IM Mapping'!$A$2:$A$270,0)),"Not Mapped"))</f>
        <v>Majid Kakatikar</v>
      </c>
      <c r="C54" s="18" t="str">
        <f aca="false" t="array" ref="C54:C54">IF(A54="","",IFERROR(INDEX('CLM &amp; IM Mapping'!$C$2:$C$270,MATCH(TRIM(A54),'CLM &amp; IM Mapping'!$A$2:$A$270,0)),"Not Mapped"))</f>
        <v>Kishor K</v>
      </c>
      <c r="D54" s="18" t="s">
        <v>27</v>
      </c>
      <c r="E54" s="18" t="s">
        <v>316</v>
      </c>
      <c r="F54" s="18" t="s">
        <v>123</v>
      </c>
      <c r="G54" s="11" t="n">
        <v>6826</v>
      </c>
      <c r="H54" s="19" t="n">
        <v>0.7</v>
      </c>
      <c r="I54" s="20" t="n">
        <v>0.35</v>
      </c>
      <c r="J54" s="20" t="n">
        <v>0.95</v>
      </c>
      <c r="K54" s="20" t="n">
        <v>0.97</v>
      </c>
      <c r="L54" s="20" t="n">
        <v>0.95</v>
      </c>
      <c r="M54" s="12" t="n">
        <v>2</v>
      </c>
      <c r="N54" s="11"/>
      <c r="O54" s="11"/>
      <c r="P54" s="7"/>
      <c r="Q54" s="7"/>
      <c r="R54" s="7"/>
      <c r="S54" s="7"/>
      <c r="T54" s="7"/>
      <c r="U54" s="7"/>
      <c r="V54" s="7"/>
      <c r="W54" s="7"/>
      <c r="X54" s="7"/>
      <c r="Y54" s="7"/>
      <c r="Z54" s="22"/>
      <c r="AA54" s="22"/>
      <c r="AB54" s="22"/>
      <c r="AC54" s="22"/>
      <c r="AD54" s="7"/>
      <c r="AE54" s="7"/>
      <c r="AF54" s="7"/>
      <c r="AG54" s="7"/>
      <c r="AH54" s="7"/>
      <c r="AI54" s="7"/>
      <c r="AJ54" s="7"/>
      <c r="AK54" s="7"/>
      <c r="AL54" s="7"/>
    </row>
    <row r="55" customFormat="false" ht="15.75" hidden="false" customHeight="true" outlineLevel="0" collapsed="false">
      <c r="A55" s="18" t="s">
        <v>187</v>
      </c>
      <c r="B55" s="18" t="str">
        <f aca="false" t="array" ref="B55:B55">IF(A55="","",IFERROR(INDEX('CLM &amp; IM Mapping'!$B$2:$B$270,MATCH(TRIM(A55),'CLM &amp; IM Mapping'!$A$2:$A$270,0)),"Not Mapped"))</f>
        <v>Akshay P</v>
      </c>
      <c r="C55" s="18" t="str">
        <f aca="false" t="array" ref="C55:C55">IF(A55="","",IFERROR(INDEX('CLM &amp; IM Mapping'!$C$2:$C$270,MATCH(TRIM(A55),'CLM &amp; IM Mapping'!$A$2:$A$270,0)),"Not Mapped"))</f>
        <v>Srittam Dhal</v>
      </c>
      <c r="D55" s="18" t="s">
        <v>27</v>
      </c>
      <c r="E55" s="18" t="s">
        <v>316</v>
      </c>
      <c r="F55" s="18" t="s">
        <v>22</v>
      </c>
      <c r="G55" s="11" t="n">
        <v>6949</v>
      </c>
      <c r="H55" s="19" t="n">
        <v>0.7</v>
      </c>
      <c r="I55" s="20" t="n">
        <v>0.35</v>
      </c>
      <c r="J55" s="20" t="n">
        <v>0.95</v>
      </c>
      <c r="K55" s="20" t="n">
        <v>0.98</v>
      </c>
      <c r="L55" s="18"/>
      <c r="M55" s="12"/>
      <c r="N55" s="11"/>
      <c r="O55" s="11"/>
      <c r="P55" s="7"/>
      <c r="Q55" s="7"/>
      <c r="R55" s="7"/>
      <c r="S55" s="7"/>
      <c r="T55" s="7"/>
      <c r="U55" s="7"/>
      <c r="V55" s="7"/>
      <c r="W55" s="7"/>
      <c r="X55" s="7"/>
      <c r="Y55" s="7"/>
      <c r="Z55" s="22"/>
      <c r="AA55" s="22"/>
      <c r="AB55" s="22"/>
      <c r="AC55" s="22"/>
      <c r="AD55" s="7"/>
      <c r="AE55" s="7"/>
      <c r="AF55" s="7"/>
      <c r="AG55" s="7"/>
      <c r="AH55" s="7"/>
      <c r="AI55" s="7"/>
      <c r="AJ55" s="7"/>
      <c r="AK55" s="7"/>
      <c r="AL55" s="7"/>
    </row>
    <row r="56" customFormat="false" ht="15.75" hidden="false" customHeight="true" outlineLevel="0" collapsed="false">
      <c r="A56" s="18" t="s">
        <v>48</v>
      </c>
      <c r="B56" s="18" t="str">
        <f aca="false" t="array" ref="B56:B56">IF(A56="","",IFERROR(INDEX('CLM &amp; IM Mapping'!$B$2:$B$270,MATCH(TRIM(A56),'CLM &amp; IM Mapping'!$A$2:$A$270,0)),"Not Mapped"))</f>
        <v>Raghavendra Vernekar</v>
      </c>
      <c r="C56" s="18" t="str">
        <f aca="false" t="array" ref="C56:C56">IF(A56="","",IFERROR(INDEX('CLM &amp; IM Mapping'!$C$2:$C$270,MATCH(TRIM(A56),'CLM &amp; IM Mapping'!$A$2:$A$270,0)),"Not Mapped"))</f>
        <v>Prakash BS</v>
      </c>
      <c r="D56" s="18" t="s">
        <v>27</v>
      </c>
      <c r="E56" s="18" t="s">
        <v>316</v>
      </c>
      <c r="F56" s="18" t="s">
        <v>22</v>
      </c>
      <c r="G56" s="11" t="n">
        <v>10820</v>
      </c>
      <c r="H56" s="19" t="n">
        <v>0.7</v>
      </c>
      <c r="I56" s="20" t="n">
        <v>0.35</v>
      </c>
      <c r="J56" s="20" t="n">
        <v>0.96</v>
      </c>
      <c r="K56" s="20" t="n">
        <v>0.96</v>
      </c>
      <c r="L56" s="18"/>
      <c r="M56" s="12"/>
      <c r="N56" s="11"/>
      <c r="O56" s="11"/>
      <c r="P56" s="7"/>
      <c r="Q56" s="7"/>
      <c r="R56" s="7"/>
      <c r="S56" s="7"/>
      <c r="T56" s="7"/>
      <c r="U56" s="7"/>
      <c r="V56" s="7"/>
      <c r="W56" s="7"/>
      <c r="X56" s="7"/>
      <c r="Y56" s="7"/>
      <c r="Z56" s="22"/>
      <c r="AA56" s="22"/>
      <c r="AB56" s="22"/>
      <c r="AC56" s="22"/>
      <c r="AD56" s="7"/>
      <c r="AE56" s="7"/>
      <c r="AF56" s="7"/>
      <c r="AG56" s="7"/>
      <c r="AH56" s="7"/>
      <c r="AI56" s="7"/>
      <c r="AJ56" s="7"/>
      <c r="AK56" s="7"/>
      <c r="AL56" s="7"/>
    </row>
    <row r="57" customFormat="false" ht="15.75" hidden="false" customHeight="true" outlineLevel="0" collapsed="false">
      <c r="A57" s="18" t="s">
        <v>136</v>
      </c>
      <c r="B57" s="18" t="str">
        <f aca="false" t="array" ref="B57:B57">IF(A57="","",IFERROR(INDEX('CLM &amp; IM Mapping'!$B$2:$B$270,MATCH(TRIM(A57),'CLM &amp; IM Mapping'!$A$2:$A$270,0)),"Not Mapped"))</f>
        <v>Arun Raj</v>
      </c>
      <c r="C57" s="18" t="str">
        <f aca="false" t="array" ref="C57:C57">IF(A57="","",IFERROR(INDEX('CLM &amp; IM Mapping'!$C$2:$C$270,MATCH(TRIM(A57),'CLM &amp; IM Mapping'!$A$2:$A$270,0)),"Not Mapped"))</f>
        <v>Simon Manoharan</v>
      </c>
      <c r="D57" s="18" t="s">
        <v>24</v>
      </c>
      <c r="E57" s="18" t="s">
        <v>316</v>
      </c>
      <c r="F57" s="18" t="s">
        <v>22</v>
      </c>
      <c r="G57" s="11" t="n">
        <v>10225</v>
      </c>
      <c r="H57" s="19" t="n">
        <v>0.7</v>
      </c>
      <c r="I57" s="20" t="n">
        <v>0.35</v>
      </c>
      <c r="J57" s="20" t="n">
        <v>0.97</v>
      </c>
      <c r="K57" s="20" t="n">
        <v>0.99</v>
      </c>
      <c r="L57" s="20" t="n">
        <v>0.97</v>
      </c>
      <c r="M57" s="12" t="n">
        <v>2</v>
      </c>
      <c r="N57" s="11"/>
      <c r="O57" s="11"/>
      <c r="P57" s="7"/>
      <c r="Q57" s="7"/>
      <c r="R57" s="7"/>
      <c r="S57" s="7"/>
      <c r="T57" s="7"/>
      <c r="U57" s="7"/>
      <c r="V57" s="7"/>
      <c r="W57" s="7"/>
      <c r="X57" s="7"/>
      <c r="Y57" s="7"/>
      <c r="Z57" s="22"/>
      <c r="AA57" s="22"/>
      <c r="AB57" s="22"/>
      <c r="AC57" s="22"/>
      <c r="AD57" s="7"/>
      <c r="AE57" s="7"/>
      <c r="AF57" s="7"/>
      <c r="AG57" s="7"/>
      <c r="AH57" s="7"/>
      <c r="AI57" s="7"/>
      <c r="AJ57" s="7"/>
      <c r="AK57" s="7"/>
      <c r="AL57" s="7"/>
    </row>
    <row r="58" customFormat="false" ht="15.75" hidden="false" customHeight="true" outlineLevel="0" collapsed="false">
      <c r="A58" s="18" t="s">
        <v>63</v>
      </c>
      <c r="B58" s="18" t="str">
        <f aca="false" t="array" ref="B58:B58">IF(A58="","",IFERROR(INDEX('CLM &amp; IM Mapping'!$B$2:$B$270,MATCH(TRIM(A58),'CLM &amp; IM Mapping'!$A$2:$A$270,0)),"Not Mapped"))</f>
        <v>Girish N</v>
      </c>
      <c r="C58" s="18" t="str">
        <f aca="false" t="array" ref="C58:C58">IF(A58="","",IFERROR(INDEX('CLM &amp; IM Mapping'!$C$2:$C$270,MATCH(TRIM(A58),'CLM &amp; IM Mapping'!$A$2:$A$270,0)),"Not Mapped"))</f>
        <v>Un Mapped</v>
      </c>
      <c r="D58" s="18" t="s">
        <v>27</v>
      </c>
      <c r="E58" s="18" t="s">
        <v>314</v>
      </c>
      <c r="F58" s="18" t="s">
        <v>22</v>
      </c>
      <c r="G58" s="11" t="n">
        <v>6163</v>
      </c>
      <c r="H58" s="19" t="n">
        <v>0.7</v>
      </c>
      <c r="I58" s="20" t="n">
        <v>0.35</v>
      </c>
      <c r="J58" s="20" t="n">
        <v>0.72</v>
      </c>
      <c r="K58" s="20" t="n">
        <v>0.85</v>
      </c>
      <c r="L58" s="20" t="n">
        <v>0.72</v>
      </c>
      <c r="M58" s="12" t="n">
        <v>4</v>
      </c>
      <c r="N58" s="11"/>
      <c r="O58" s="11"/>
      <c r="P58" s="7"/>
      <c r="Q58" s="7"/>
      <c r="R58" s="7"/>
      <c r="S58" s="7"/>
      <c r="T58" s="7"/>
      <c r="U58" s="7"/>
      <c r="V58" s="7"/>
      <c r="W58" s="7"/>
      <c r="X58" s="7"/>
      <c r="Y58" s="7"/>
      <c r="Z58" s="22"/>
      <c r="AA58" s="22"/>
      <c r="AB58" s="22"/>
      <c r="AC58" s="22"/>
      <c r="AD58" s="7"/>
      <c r="AE58" s="7"/>
      <c r="AF58" s="7"/>
      <c r="AG58" s="7"/>
      <c r="AH58" s="7"/>
      <c r="AI58" s="7"/>
      <c r="AJ58" s="7"/>
      <c r="AK58" s="7"/>
      <c r="AL58" s="7"/>
    </row>
    <row r="59" customFormat="false" ht="15.75" hidden="false" customHeight="true" outlineLevel="0" collapsed="false">
      <c r="A59" s="18" t="s">
        <v>270</v>
      </c>
      <c r="B59" s="18" t="str">
        <f aca="false" t="array" ref="B59:B59">IF(A59="","",IFERROR(INDEX('CLM &amp; IM Mapping'!$B$2:$B$270,MATCH(TRIM(A59),'CLM &amp; IM Mapping'!$A$2:$A$270,0)),"Not Mapped"))</f>
        <v>Arun Raj</v>
      </c>
      <c r="C59" s="18" t="str">
        <f aca="false" t="array" ref="C59:C59">IF(A59="","",IFERROR(INDEX('CLM &amp; IM Mapping'!$C$2:$C$270,MATCH(TRIM(A59),'CLM &amp; IM Mapping'!$A$2:$A$270,0)),"Not Mapped"))</f>
        <v>Simon Manoharan</v>
      </c>
      <c r="D59" s="18" t="s">
        <v>24</v>
      </c>
      <c r="E59" s="18" t="s">
        <v>316</v>
      </c>
      <c r="F59" s="18" t="s">
        <v>22</v>
      </c>
      <c r="G59" s="11" t="n">
        <v>9572</v>
      </c>
      <c r="H59" s="19" t="n">
        <v>0.7</v>
      </c>
      <c r="I59" s="20" t="n">
        <v>0.36</v>
      </c>
      <c r="J59" s="20" t="n">
        <v>0.96</v>
      </c>
      <c r="K59" s="20" t="n">
        <v>0.99</v>
      </c>
      <c r="L59" s="20" t="n">
        <v>0.96</v>
      </c>
      <c r="M59" s="12" t="n">
        <v>3</v>
      </c>
      <c r="N59" s="11"/>
      <c r="O59" s="11"/>
      <c r="P59" s="7"/>
      <c r="Q59" s="7"/>
      <c r="R59" s="7"/>
      <c r="S59" s="7"/>
      <c r="T59" s="7"/>
      <c r="U59" s="7"/>
      <c r="V59" s="7"/>
      <c r="W59" s="7"/>
      <c r="X59" s="7"/>
      <c r="Y59" s="7"/>
      <c r="Z59" s="22"/>
      <c r="AA59" s="22"/>
      <c r="AB59" s="22"/>
      <c r="AC59" s="22"/>
      <c r="AD59" s="7"/>
      <c r="AE59" s="7"/>
      <c r="AF59" s="7"/>
      <c r="AG59" s="7"/>
      <c r="AH59" s="7"/>
      <c r="AI59" s="7"/>
      <c r="AJ59" s="7"/>
      <c r="AK59" s="7"/>
      <c r="AL59" s="7"/>
    </row>
    <row r="60" customFormat="false" ht="15.75" hidden="false" customHeight="true" outlineLevel="0" collapsed="false">
      <c r="A60" s="18" t="s">
        <v>293</v>
      </c>
      <c r="B60" s="18" t="str">
        <f aca="false" t="array" ref="B60:B60">IF(A60="","",IFERROR(INDEX('CLM &amp; IM Mapping'!$B$2:$B$270,MATCH(TRIM(A60),'CLM &amp; IM Mapping'!$A$2:$A$270,0)),"Not Mapped"))</f>
        <v>Sundaresh S</v>
      </c>
      <c r="C60" s="18" t="str">
        <f aca="false" t="array" ref="C60:C60">IF(A60="","",IFERROR(INDEX('CLM &amp; IM Mapping'!$C$2:$C$270,MATCH(TRIM(A60),'CLM &amp; IM Mapping'!$A$2:$A$270,0)),"Not Mapped"))</f>
        <v>Un Mapped</v>
      </c>
      <c r="D60" s="18" t="s">
        <v>27</v>
      </c>
      <c r="E60" s="18" t="s">
        <v>314</v>
      </c>
      <c r="F60" s="18" t="s">
        <v>22</v>
      </c>
      <c r="G60" s="11" t="n">
        <v>6860</v>
      </c>
      <c r="H60" s="19" t="n">
        <v>0.7</v>
      </c>
      <c r="I60" s="20" t="n">
        <v>0.36</v>
      </c>
      <c r="J60" s="20" t="n">
        <v>0.84</v>
      </c>
      <c r="K60" s="20" t="n">
        <v>0.93</v>
      </c>
      <c r="L60" s="20" t="n">
        <v>0.84</v>
      </c>
      <c r="M60" s="12" t="n">
        <v>4</v>
      </c>
      <c r="N60" s="11"/>
      <c r="O60" s="11"/>
      <c r="P60" s="7"/>
      <c r="Q60" s="7"/>
      <c r="R60" s="7"/>
      <c r="S60" s="7"/>
      <c r="T60" s="7"/>
      <c r="U60" s="7"/>
      <c r="V60" s="7"/>
      <c r="W60" s="7"/>
      <c r="X60" s="7"/>
      <c r="Y60" s="7"/>
      <c r="Z60" s="22"/>
      <c r="AA60" s="22"/>
      <c r="AB60" s="22"/>
      <c r="AC60" s="22"/>
      <c r="AD60" s="7"/>
      <c r="AE60" s="7"/>
      <c r="AF60" s="7"/>
      <c r="AG60" s="7"/>
      <c r="AH60" s="7"/>
      <c r="AI60" s="7"/>
      <c r="AJ60" s="7"/>
      <c r="AK60" s="7"/>
      <c r="AL60" s="7"/>
    </row>
    <row r="61" customFormat="false" ht="15.75" hidden="false" customHeight="true" outlineLevel="0" collapsed="false">
      <c r="A61" s="18" t="s">
        <v>269</v>
      </c>
      <c r="B61" s="18" t="str">
        <f aca="false" t="array" ref="B61:B61">IF(A61="","",IFERROR(INDEX('CLM &amp; IM Mapping'!$B$2:$B$270,MATCH(TRIM(A61),'CLM &amp; IM Mapping'!$A$2:$A$270,0)),"Not Mapped"))</f>
        <v>Sundaresh S</v>
      </c>
      <c r="C61" s="18" t="str">
        <f aca="false" t="array" ref="C61:C61">IF(A61="","",IFERROR(INDEX('CLM &amp; IM Mapping'!$C$2:$C$270,MATCH(TRIM(A61),'CLM &amp; IM Mapping'!$A$2:$A$270,0)),"Not Mapped"))</f>
        <v>Un Mapped</v>
      </c>
      <c r="D61" s="18" t="s">
        <v>27</v>
      </c>
      <c r="E61" s="18" t="s">
        <v>314</v>
      </c>
      <c r="F61" s="18" t="s">
        <v>22</v>
      </c>
      <c r="G61" s="11" t="n">
        <v>5933</v>
      </c>
      <c r="H61" s="19" t="n">
        <v>0.7</v>
      </c>
      <c r="I61" s="20" t="n">
        <v>0.36</v>
      </c>
      <c r="J61" s="20" t="n">
        <v>0.85</v>
      </c>
      <c r="K61" s="20" t="n">
        <v>0.97</v>
      </c>
      <c r="L61" s="20" t="n">
        <v>0.85</v>
      </c>
      <c r="M61" s="12" t="n">
        <v>3</v>
      </c>
      <c r="N61" s="11"/>
      <c r="O61" s="11"/>
      <c r="P61" s="7"/>
      <c r="Q61" s="7"/>
      <c r="R61" s="7"/>
      <c r="S61" s="7"/>
      <c r="T61" s="7"/>
      <c r="U61" s="7"/>
      <c r="V61" s="7"/>
      <c r="W61" s="7"/>
      <c r="X61" s="7"/>
      <c r="Y61" s="7"/>
      <c r="Z61" s="22"/>
      <c r="AA61" s="22"/>
      <c r="AB61" s="22"/>
      <c r="AC61" s="22"/>
      <c r="AD61" s="7"/>
      <c r="AE61" s="7"/>
      <c r="AF61" s="7"/>
      <c r="AG61" s="7"/>
      <c r="AH61" s="7"/>
      <c r="AI61" s="7"/>
      <c r="AJ61" s="7"/>
      <c r="AK61" s="7"/>
      <c r="AL61" s="7"/>
    </row>
    <row r="62" customFormat="false" ht="15.75" hidden="false" customHeight="true" outlineLevel="0" collapsed="false">
      <c r="A62" s="18" t="s">
        <v>73</v>
      </c>
      <c r="B62" s="18" t="str">
        <f aca="false" t="array" ref="B62:B62">IF(A62="","",IFERROR(INDEX('CLM &amp; IM Mapping'!$B$2:$B$270,MATCH(TRIM(A62),'CLM &amp; IM Mapping'!$A$2:$A$270,0)),"Not Mapped"))</f>
        <v>Ashwath S</v>
      </c>
      <c r="C62" s="18" t="str">
        <f aca="false" t="array" ref="C62:C62">IF(A62="","",IFERROR(INDEX('CLM &amp; IM Mapping'!$C$2:$C$270,MATCH(TRIM(A62),'CLM &amp; IM Mapping'!$A$2:$A$270,0)),"Not Mapped"))</f>
        <v>Kantha Kumar</v>
      </c>
      <c r="D62" s="18" t="s">
        <v>27</v>
      </c>
      <c r="E62" s="18" t="s">
        <v>314</v>
      </c>
      <c r="F62" s="18" t="s">
        <v>22</v>
      </c>
      <c r="G62" s="11" t="n">
        <v>5551</v>
      </c>
      <c r="H62" s="19" t="n">
        <v>0.7</v>
      </c>
      <c r="I62" s="20" t="n">
        <v>0.37</v>
      </c>
      <c r="J62" s="20" t="n">
        <v>0.85</v>
      </c>
      <c r="K62" s="20" t="n">
        <v>0.95</v>
      </c>
      <c r="L62" s="20" t="n">
        <v>0.85</v>
      </c>
      <c r="M62" s="12" t="n">
        <v>4</v>
      </c>
      <c r="N62" s="11"/>
      <c r="O62" s="11"/>
      <c r="P62" s="7"/>
      <c r="Q62" s="7"/>
      <c r="R62" s="7"/>
      <c r="S62" s="7"/>
      <c r="T62" s="7"/>
      <c r="U62" s="7"/>
      <c r="V62" s="7"/>
      <c r="W62" s="7"/>
      <c r="X62" s="7"/>
      <c r="Y62" s="7"/>
      <c r="Z62" s="22"/>
      <c r="AA62" s="22"/>
      <c r="AB62" s="22"/>
      <c r="AC62" s="22"/>
      <c r="AD62" s="7"/>
      <c r="AE62" s="7"/>
      <c r="AF62" s="7"/>
      <c r="AG62" s="7"/>
      <c r="AH62" s="7"/>
      <c r="AI62" s="7"/>
      <c r="AJ62" s="7"/>
      <c r="AK62" s="7"/>
      <c r="AL62" s="7"/>
    </row>
    <row r="63" customFormat="false" ht="15.75" hidden="false" customHeight="true" outlineLevel="0" collapsed="false">
      <c r="A63" s="18" t="s">
        <v>102</v>
      </c>
      <c r="B63" s="18" t="str">
        <f aca="false" t="array" ref="B63:B63">IF(A63="","",IFERROR(INDEX('CLM &amp; IM Mapping'!$B$2:$B$270,MATCH(TRIM(A63),'CLM &amp; IM Mapping'!$A$2:$A$270,0)),"Not Mapped"))</f>
        <v>Ashwath S</v>
      </c>
      <c r="C63" s="18" t="str">
        <f aca="false" t="array" ref="C63:C63">IF(A63="","",IFERROR(INDEX('CLM &amp; IM Mapping'!$C$2:$C$270,MATCH(TRIM(A63),'CLM &amp; IM Mapping'!$A$2:$A$270,0)),"Not Mapped"))</f>
        <v>Kantha Kumar</v>
      </c>
      <c r="D63" s="18" t="s">
        <v>27</v>
      </c>
      <c r="E63" s="18" t="s">
        <v>314</v>
      </c>
      <c r="F63" s="18" t="s">
        <v>22</v>
      </c>
      <c r="G63" s="11" t="n">
        <v>7376</v>
      </c>
      <c r="H63" s="19" t="n">
        <v>0.7</v>
      </c>
      <c r="I63" s="20" t="n">
        <v>0.37</v>
      </c>
      <c r="J63" s="20" t="n">
        <v>0.8</v>
      </c>
      <c r="K63" s="20" t="n">
        <v>0.62</v>
      </c>
      <c r="L63" s="20" t="n">
        <v>0.8</v>
      </c>
      <c r="M63" s="12" t="n">
        <v>4</v>
      </c>
      <c r="N63" s="11"/>
      <c r="O63" s="11"/>
      <c r="P63" s="7"/>
      <c r="Q63" s="7"/>
      <c r="R63" s="7"/>
      <c r="S63" s="7"/>
      <c r="T63" s="7"/>
      <c r="U63" s="7"/>
      <c r="V63" s="7"/>
      <c r="W63" s="7"/>
      <c r="X63" s="7"/>
      <c r="Y63" s="7"/>
      <c r="Z63" s="22"/>
      <c r="AA63" s="22"/>
      <c r="AB63" s="22"/>
      <c r="AC63" s="22"/>
      <c r="AD63" s="7"/>
      <c r="AE63" s="7"/>
      <c r="AF63" s="7"/>
      <c r="AG63" s="7"/>
      <c r="AH63" s="7"/>
      <c r="AI63" s="7"/>
      <c r="AJ63" s="7"/>
      <c r="AK63" s="7"/>
      <c r="AL63" s="7"/>
    </row>
    <row r="64" customFormat="false" ht="15.75" hidden="false" customHeight="true" outlineLevel="0" collapsed="false">
      <c r="A64" s="18" t="s">
        <v>113</v>
      </c>
      <c r="B64" s="18" t="str">
        <f aca="false" t="array" ref="B64:B64">IF(A64="","",IFERROR(INDEX('CLM &amp; IM Mapping'!$B$2:$B$270,MATCH(TRIM(A64),'CLM &amp; IM Mapping'!$A$2:$A$270,0)),"Not Mapped"))</f>
        <v>Suhas N</v>
      </c>
      <c r="C64" s="18" t="str">
        <f aca="false" t="array" ref="C64:C64">IF(A64="","",IFERROR(INDEX('CLM &amp; IM Mapping'!$C$2:$C$270,MATCH(TRIM(A64),'CLM &amp; IM Mapping'!$A$2:$A$270,0)),"Not Mapped"))</f>
        <v>Aravind S</v>
      </c>
      <c r="D64" s="18" t="s">
        <v>27</v>
      </c>
      <c r="E64" s="18" t="s">
        <v>314</v>
      </c>
      <c r="F64" s="18" t="s">
        <v>22</v>
      </c>
      <c r="G64" s="11" t="n">
        <v>5627</v>
      </c>
      <c r="H64" s="19" t="n">
        <v>0.7</v>
      </c>
      <c r="I64" s="20" t="n">
        <v>0.37</v>
      </c>
      <c r="J64" s="20" t="n">
        <v>0.79</v>
      </c>
      <c r="K64" s="20" t="n">
        <v>0.94</v>
      </c>
      <c r="L64" s="20" t="n">
        <v>0.79</v>
      </c>
      <c r="M64" s="12" t="n">
        <v>4</v>
      </c>
      <c r="N64" s="11"/>
      <c r="O64" s="11"/>
      <c r="P64" s="7"/>
      <c r="Q64" s="7"/>
      <c r="R64" s="7"/>
      <c r="S64" s="7"/>
      <c r="T64" s="7"/>
      <c r="U64" s="7"/>
      <c r="V64" s="7"/>
      <c r="W64" s="7"/>
      <c r="X64" s="7"/>
      <c r="Y64" s="7"/>
      <c r="Z64" s="22"/>
      <c r="AA64" s="22"/>
      <c r="AB64" s="22"/>
      <c r="AC64" s="22"/>
      <c r="AD64" s="7"/>
      <c r="AE64" s="7"/>
      <c r="AF64" s="7"/>
      <c r="AG64" s="7"/>
      <c r="AH64" s="7"/>
      <c r="AI64" s="7"/>
      <c r="AJ64" s="7"/>
      <c r="AK64" s="7"/>
      <c r="AL64" s="7"/>
    </row>
    <row r="65" customFormat="false" ht="15.75" hidden="false" customHeight="true" outlineLevel="0" collapsed="false">
      <c r="A65" s="18" t="s">
        <v>117</v>
      </c>
      <c r="B65" s="18" t="str">
        <f aca="false" t="array" ref="B65:B65">IF(A65="","",IFERROR(INDEX('CLM &amp; IM Mapping'!$B$2:$B$270,MATCH(TRIM(A65),'CLM &amp; IM Mapping'!$A$2:$A$270,0)),"Not Mapped"))</f>
        <v>Arun Raj</v>
      </c>
      <c r="C65" s="18" t="str">
        <f aca="false" t="array" ref="C65:C65">IF(A65="","",IFERROR(INDEX('CLM &amp; IM Mapping'!$C$2:$C$270,MATCH(TRIM(A65),'CLM &amp; IM Mapping'!$A$2:$A$270,0)),"Not Mapped"))</f>
        <v>Simon Manoharan</v>
      </c>
      <c r="D65" s="18" t="s">
        <v>24</v>
      </c>
      <c r="E65" s="18" t="s">
        <v>316</v>
      </c>
      <c r="F65" s="18" t="s">
        <v>22</v>
      </c>
      <c r="G65" s="11" t="n">
        <v>12266</v>
      </c>
      <c r="H65" s="19" t="n">
        <v>0.7</v>
      </c>
      <c r="I65" s="20" t="n">
        <v>0.37</v>
      </c>
      <c r="J65" s="20" t="n">
        <v>0.97</v>
      </c>
      <c r="K65" s="20" t="n">
        <v>0.99</v>
      </c>
      <c r="L65" s="20" t="n">
        <v>0.97</v>
      </c>
      <c r="M65" s="12" t="n">
        <v>1</v>
      </c>
      <c r="N65" s="11"/>
      <c r="O65" s="11"/>
      <c r="P65" s="7"/>
      <c r="Q65" s="7"/>
      <c r="R65" s="7"/>
      <c r="S65" s="7"/>
      <c r="T65" s="7"/>
      <c r="U65" s="7"/>
      <c r="V65" s="7"/>
      <c r="W65" s="7"/>
      <c r="X65" s="7"/>
      <c r="Y65" s="7"/>
      <c r="Z65" s="22"/>
      <c r="AA65" s="22"/>
      <c r="AB65" s="22"/>
      <c r="AC65" s="22"/>
      <c r="AD65" s="7"/>
      <c r="AE65" s="7"/>
      <c r="AF65" s="7"/>
      <c r="AG65" s="7"/>
      <c r="AH65" s="7"/>
      <c r="AI65" s="7"/>
      <c r="AJ65" s="7"/>
      <c r="AK65" s="7"/>
      <c r="AL65" s="7"/>
    </row>
    <row r="66" customFormat="false" ht="15.75" hidden="false" customHeight="true" outlineLevel="0" collapsed="false">
      <c r="A66" s="18" t="s">
        <v>100</v>
      </c>
      <c r="B66" s="18" t="str">
        <f aca="false" t="array" ref="B66:B66">IF(A66="","",IFERROR(INDEX('CLM &amp; IM Mapping'!$B$2:$B$270,MATCH(TRIM(A66),'CLM &amp; IM Mapping'!$A$2:$A$270,0)),"Not Mapped"))</f>
        <v>Bangareppa CS</v>
      </c>
      <c r="C66" s="18" t="str">
        <f aca="false" t="array" ref="C66:C66">IF(A66="","",IFERROR(INDEX('CLM &amp; IM Mapping'!$C$2:$C$270,MATCH(TRIM(A66),'CLM &amp; IM Mapping'!$A$2:$A$270,0)),"Not Mapped"))</f>
        <v>Kishor K</v>
      </c>
      <c r="D66" s="18" t="s">
        <v>27</v>
      </c>
      <c r="E66" s="18" t="s">
        <v>316</v>
      </c>
      <c r="F66" s="18" t="s">
        <v>99</v>
      </c>
      <c r="G66" s="11" t="n">
        <v>6805</v>
      </c>
      <c r="H66" s="19" t="n">
        <v>0.7</v>
      </c>
      <c r="I66" s="20" t="n">
        <v>0.37</v>
      </c>
      <c r="J66" s="20" t="n">
        <v>0.92</v>
      </c>
      <c r="K66" s="20" t="n">
        <v>0.98</v>
      </c>
      <c r="L66" s="20" t="n">
        <v>0.92</v>
      </c>
      <c r="M66" s="12" t="n">
        <v>2</v>
      </c>
      <c r="N66" s="11"/>
      <c r="O66" s="11"/>
      <c r="P66" s="7"/>
      <c r="Q66" s="7"/>
      <c r="R66" s="7"/>
      <c r="S66" s="7"/>
      <c r="T66" s="7"/>
      <c r="U66" s="7"/>
      <c r="V66" s="7"/>
      <c r="W66" s="7"/>
      <c r="X66" s="7"/>
      <c r="Y66" s="7"/>
      <c r="Z66" s="22"/>
      <c r="AA66" s="22"/>
      <c r="AB66" s="22"/>
      <c r="AC66" s="22"/>
      <c r="AD66" s="7"/>
      <c r="AE66" s="7"/>
      <c r="AF66" s="7"/>
      <c r="AG66" s="7"/>
      <c r="AH66" s="7"/>
      <c r="AI66" s="7"/>
      <c r="AJ66" s="7"/>
      <c r="AK66" s="7"/>
      <c r="AL66" s="7"/>
    </row>
    <row r="67" customFormat="false" ht="15.75" hidden="false" customHeight="true" outlineLevel="0" collapsed="false">
      <c r="A67" s="18" t="s">
        <v>189</v>
      </c>
      <c r="B67" s="18" t="str">
        <f aca="false" t="array" ref="B67:B67">IF(A67="","",IFERROR(INDEX('CLM &amp; IM Mapping'!$B$2:$B$270,MATCH(TRIM(A67),'CLM &amp; IM Mapping'!$A$2:$A$270,0)),"Not Mapped"))</f>
        <v>Saddam Hussain</v>
      </c>
      <c r="C67" s="18" t="str">
        <f aca="false" t="array" ref="C67:C67">IF(A67="","",IFERROR(INDEX('CLM &amp; IM Mapping'!$C$2:$C$270,MATCH(TRIM(A67),'CLM &amp; IM Mapping'!$A$2:$A$270,0)),"Not Mapped"))</f>
        <v>Un Mapped</v>
      </c>
      <c r="D67" s="18" t="s">
        <v>27</v>
      </c>
      <c r="E67" s="18" t="s">
        <v>314</v>
      </c>
      <c r="F67" s="18" t="s">
        <v>22</v>
      </c>
      <c r="G67" s="11" t="n">
        <v>4890</v>
      </c>
      <c r="H67" s="19" t="n">
        <v>0.7</v>
      </c>
      <c r="I67" s="20" t="n">
        <v>0.38</v>
      </c>
      <c r="J67" s="20" t="n">
        <v>0.94</v>
      </c>
      <c r="K67" s="20" t="n">
        <v>0.98</v>
      </c>
      <c r="L67" s="20" t="n">
        <v>0.94</v>
      </c>
      <c r="M67" s="12" t="n">
        <v>3</v>
      </c>
      <c r="N67" s="11"/>
      <c r="O67" s="11"/>
      <c r="P67" s="7"/>
      <c r="Q67" s="7"/>
      <c r="R67" s="7"/>
      <c r="S67" s="7"/>
      <c r="T67" s="7"/>
      <c r="U67" s="7"/>
      <c r="V67" s="7"/>
      <c r="W67" s="7"/>
      <c r="X67" s="7"/>
      <c r="Y67" s="7"/>
      <c r="Z67" s="22"/>
      <c r="AA67" s="22"/>
      <c r="AB67" s="22"/>
      <c r="AC67" s="22"/>
      <c r="AD67" s="7"/>
      <c r="AE67" s="7"/>
      <c r="AF67" s="7"/>
      <c r="AG67" s="7"/>
      <c r="AH67" s="7"/>
      <c r="AI67" s="7"/>
      <c r="AJ67" s="7"/>
      <c r="AK67" s="7"/>
      <c r="AL67" s="7"/>
    </row>
    <row r="68" customFormat="false" ht="15.75" hidden="false" customHeight="true" outlineLevel="0" collapsed="false">
      <c r="A68" s="18" t="s">
        <v>138</v>
      </c>
      <c r="B68" s="18" t="str">
        <f aca="false" t="array" ref="B68:B68">IF(A68="","",IFERROR(INDEX('CLM &amp; IM Mapping'!$B$2:$B$270,MATCH(TRIM(A68),'CLM &amp; IM Mapping'!$A$2:$A$270,0)),"Not Mapped"))</f>
        <v>Ashwath S</v>
      </c>
      <c r="C68" s="18" t="str">
        <f aca="false" t="array" ref="C68:C68">IF(A68="","",IFERROR(INDEX('CLM &amp; IM Mapping'!$C$2:$C$270,MATCH(TRIM(A68),'CLM &amp; IM Mapping'!$A$2:$A$270,0)),"Not Mapped"))</f>
        <v>Kantha Kumar</v>
      </c>
      <c r="D68" s="18" t="s">
        <v>27</v>
      </c>
      <c r="E68" s="18" t="s">
        <v>316</v>
      </c>
      <c r="F68" s="18" t="s">
        <v>22</v>
      </c>
      <c r="G68" s="11" t="n">
        <v>5484</v>
      </c>
      <c r="H68" s="19" t="n">
        <v>0.7</v>
      </c>
      <c r="I68" s="20" t="n">
        <v>0.38</v>
      </c>
      <c r="J68" s="20" t="n">
        <v>0.87</v>
      </c>
      <c r="K68" s="20" t="n">
        <v>0.93</v>
      </c>
      <c r="L68" s="20" t="n">
        <v>0.87</v>
      </c>
      <c r="M68" s="12" t="n">
        <v>3</v>
      </c>
      <c r="N68" s="11"/>
      <c r="O68" s="11"/>
      <c r="P68" s="7"/>
      <c r="Q68" s="7"/>
      <c r="R68" s="7"/>
      <c r="S68" s="7"/>
      <c r="T68" s="7"/>
      <c r="U68" s="7"/>
      <c r="V68" s="7"/>
      <c r="W68" s="7"/>
      <c r="X68" s="7"/>
      <c r="Y68" s="7"/>
      <c r="Z68" s="22"/>
      <c r="AA68" s="22"/>
      <c r="AB68" s="22"/>
      <c r="AC68" s="22"/>
      <c r="AD68" s="7"/>
      <c r="AE68" s="7"/>
      <c r="AF68" s="7"/>
      <c r="AG68" s="7"/>
      <c r="AH68" s="7"/>
      <c r="AI68" s="7"/>
      <c r="AJ68" s="7"/>
      <c r="AK68" s="7"/>
      <c r="AL68" s="7"/>
    </row>
    <row r="69" customFormat="false" ht="15.75" hidden="false" customHeight="true" outlineLevel="0" collapsed="false">
      <c r="A69" s="18" t="s">
        <v>277</v>
      </c>
      <c r="B69" s="18" t="str">
        <f aca="false" t="array" ref="B69:B69">IF(A69="","",IFERROR(INDEX('CLM &amp; IM Mapping'!$B$2:$B$270,MATCH(TRIM(A69),'CLM &amp; IM Mapping'!$A$2:$A$270,0)),"Not Mapped"))</f>
        <v>Adhavan Subramani</v>
      </c>
      <c r="C69" s="18" t="str">
        <f aca="false" t="array" ref="C69:C69">IF(A69="","",IFERROR(INDEX('CLM &amp; IM Mapping'!$C$2:$C$270,MATCH(TRIM(A69),'CLM &amp; IM Mapping'!$A$2:$A$270,0)),"Not Mapped"))</f>
        <v>Mohammed Akbar</v>
      </c>
      <c r="D69" s="18" t="s">
        <v>27</v>
      </c>
      <c r="E69" s="18" t="s">
        <v>314</v>
      </c>
      <c r="F69" s="18" t="s">
        <v>22</v>
      </c>
      <c r="G69" s="11" t="n">
        <v>5790</v>
      </c>
      <c r="H69" s="19" t="n">
        <v>0.7</v>
      </c>
      <c r="I69" s="20" t="n">
        <v>0.38</v>
      </c>
      <c r="J69" s="20" t="n">
        <v>0.97</v>
      </c>
      <c r="K69" s="20" t="n">
        <v>0.82</v>
      </c>
      <c r="L69" s="18"/>
      <c r="M69" s="12"/>
      <c r="N69" s="11"/>
      <c r="O69" s="11"/>
      <c r="P69" s="7"/>
      <c r="Q69" s="7"/>
      <c r="R69" s="7"/>
      <c r="S69" s="7"/>
      <c r="T69" s="7"/>
      <c r="U69" s="7"/>
      <c r="V69" s="7"/>
      <c r="W69" s="7"/>
      <c r="X69" s="7"/>
      <c r="Y69" s="7"/>
      <c r="Z69" s="22"/>
      <c r="AA69" s="22"/>
      <c r="AB69" s="22"/>
      <c r="AC69" s="22"/>
      <c r="AD69" s="7"/>
      <c r="AE69" s="7"/>
      <c r="AF69" s="7"/>
      <c r="AG69" s="7"/>
      <c r="AH69" s="7"/>
      <c r="AI69" s="7"/>
      <c r="AJ69" s="7"/>
      <c r="AK69" s="7"/>
      <c r="AL69" s="7"/>
    </row>
    <row r="70" customFormat="false" ht="15.75" hidden="false" customHeight="true" outlineLevel="0" collapsed="false">
      <c r="A70" s="18" t="s">
        <v>298</v>
      </c>
      <c r="B70" s="18" t="str">
        <f aca="false" t="array" ref="B70:B70">IF(A70="","",IFERROR(INDEX('CLM &amp; IM Mapping'!$B$2:$B$270,MATCH(TRIM(A70),'CLM &amp; IM Mapping'!$A$2:$A$270,0)),"Not Mapped"))</f>
        <v>Saddam Hussain</v>
      </c>
      <c r="C70" s="18" t="str">
        <f aca="false" t="array" ref="C70:C70">IF(A70="","",IFERROR(INDEX('CLM &amp; IM Mapping'!$C$2:$C$270,MATCH(TRIM(A70),'CLM &amp; IM Mapping'!$A$2:$A$270,0)),"Not Mapped"))</f>
        <v>Un Mapped</v>
      </c>
      <c r="D70" s="18" t="s">
        <v>27</v>
      </c>
      <c r="E70" s="18" t="s">
        <v>314</v>
      </c>
      <c r="F70" s="18" t="s">
        <v>22</v>
      </c>
      <c r="G70" s="11" t="n">
        <v>6238</v>
      </c>
      <c r="H70" s="19" t="n">
        <v>0.7</v>
      </c>
      <c r="I70" s="20" t="n">
        <v>0.39</v>
      </c>
      <c r="J70" s="20" t="n">
        <v>0.83</v>
      </c>
      <c r="K70" s="20" t="n">
        <v>0.94</v>
      </c>
      <c r="L70" s="20" t="n">
        <v>0.83</v>
      </c>
      <c r="M70" s="12" t="n">
        <v>4</v>
      </c>
      <c r="N70" s="11"/>
      <c r="O70" s="11"/>
      <c r="P70" s="7"/>
      <c r="Q70" s="7"/>
      <c r="R70" s="7"/>
      <c r="S70" s="7"/>
      <c r="T70" s="7"/>
      <c r="U70" s="7"/>
      <c r="V70" s="7"/>
      <c r="W70" s="7"/>
      <c r="X70" s="7"/>
      <c r="Y70" s="7"/>
      <c r="Z70" s="22"/>
      <c r="AA70" s="22"/>
      <c r="AB70" s="22"/>
      <c r="AC70" s="22"/>
      <c r="AD70" s="7"/>
      <c r="AE70" s="7"/>
      <c r="AF70" s="7"/>
      <c r="AG70" s="7"/>
      <c r="AH70" s="7"/>
      <c r="AI70" s="7"/>
      <c r="AJ70" s="7"/>
      <c r="AK70" s="7"/>
      <c r="AL70" s="7"/>
    </row>
    <row r="71" customFormat="false" ht="15.75" hidden="false" customHeight="true" outlineLevel="0" collapsed="false">
      <c r="A71" s="18" t="s">
        <v>169</v>
      </c>
      <c r="B71" s="18" t="str">
        <f aca="false" t="array" ref="B71:B71">IF(A71="","",IFERROR(INDEX('CLM &amp; IM Mapping'!$B$2:$B$270,MATCH(TRIM(A71),'CLM &amp; IM Mapping'!$A$2:$A$270,0)),"Not Mapped"))</f>
        <v>Arun Raj</v>
      </c>
      <c r="C71" s="18" t="str">
        <f aca="false" t="array" ref="C71:C71">IF(A71="","",IFERROR(INDEX('CLM &amp; IM Mapping'!$C$2:$C$270,MATCH(TRIM(A71),'CLM &amp; IM Mapping'!$A$2:$A$270,0)),"Not Mapped"))</f>
        <v>Simon Manoharan</v>
      </c>
      <c r="D71" s="18" t="s">
        <v>24</v>
      </c>
      <c r="E71" s="18" t="s">
        <v>316</v>
      </c>
      <c r="F71" s="18" t="s">
        <v>22</v>
      </c>
      <c r="G71" s="11" t="n">
        <v>11819</v>
      </c>
      <c r="H71" s="19" t="n">
        <v>0.7</v>
      </c>
      <c r="I71" s="20" t="n">
        <v>0.39</v>
      </c>
      <c r="J71" s="20" t="n">
        <v>0.93</v>
      </c>
      <c r="K71" s="20" t="n">
        <v>0.99</v>
      </c>
      <c r="L71" s="20" t="n">
        <v>0.93</v>
      </c>
      <c r="M71" s="12" t="n">
        <v>2</v>
      </c>
      <c r="N71" s="11"/>
      <c r="O71" s="11"/>
      <c r="P71" s="7"/>
      <c r="Q71" s="7"/>
      <c r="R71" s="7"/>
      <c r="S71" s="7"/>
      <c r="T71" s="7"/>
      <c r="U71" s="7"/>
      <c r="V71" s="7"/>
      <c r="W71" s="7"/>
      <c r="X71" s="7"/>
      <c r="Y71" s="7"/>
      <c r="Z71" s="22"/>
      <c r="AA71" s="22"/>
      <c r="AB71" s="22"/>
      <c r="AC71" s="22"/>
      <c r="AD71" s="7"/>
      <c r="AE71" s="7"/>
      <c r="AF71" s="7"/>
      <c r="AG71" s="7"/>
      <c r="AH71" s="7"/>
      <c r="AI71" s="7"/>
      <c r="AJ71" s="7"/>
      <c r="AK71" s="7"/>
      <c r="AL71" s="7"/>
    </row>
    <row r="72" customFormat="false" ht="15.75" hidden="false" customHeight="true" outlineLevel="0" collapsed="false">
      <c r="A72" s="18" t="s">
        <v>167</v>
      </c>
      <c r="B72" s="18" t="str">
        <f aca="false" t="array" ref="B72:B72">IF(A72="","",IFERROR(INDEX('CLM &amp; IM Mapping'!$B$2:$B$270,MATCH(TRIM(A72),'CLM &amp; IM Mapping'!$A$2:$A$270,0)),"Not Mapped"))</f>
        <v>Ravishankar gowda</v>
      </c>
      <c r="C72" s="18" t="str">
        <f aca="false" t="array" ref="C72:C72">IF(A72="","",IFERROR(INDEX('CLM &amp; IM Mapping'!$C$2:$C$270,MATCH(TRIM(A72),'CLM &amp; IM Mapping'!$A$2:$A$270,0)),"Not Mapped"))</f>
        <v>Kishor K</v>
      </c>
      <c r="D72" s="18" t="s">
        <v>27</v>
      </c>
      <c r="E72" s="18" t="s">
        <v>316</v>
      </c>
      <c r="F72" s="18" t="s">
        <v>22</v>
      </c>
      <c r="G72" s="11" t="n">
        <v>5717</v>
      </c>
      <c r="H72" s="19" t="n">
        <v>0.7</v>
      </c>
      <c r="I72" s="20" t="n">
        <v>0.39</v>
      </c>
      <c r="J72" s="20" t="n">
        <v>0.93</v>
      </c>
      <c r="K72" s="20" t="n">
        <v>0.96</v>
      </c>
      <c r="L72" s="20" t="n">
        <v>0.93</v>
      </c>
      <c r="M72" s="12" t="n">
        <v>3</v>
      </c>
      <c r="N72" s="11"/>
      <c r="O72" s="11"/>
      <c r="P72" s="7"/>
      <c r="Q72" s="7"/>
      <c r="R72" s="7"/>
      <c r="S72" s="7"/>
      <c r="T72" s="7"/>
      <c r="U72" s="7"/>
      <c r="V72" s="7"/>
      <c r="W72" s="7"/>
      <c r="X72" s="7"/>
      <c r="Y72" s="7"/>
      <c r="Z72" s="22"/>
      <c r="AA72" s="22"/>
      <c r="AB72" s="22"/>
      <c r="AC72" s="22"/>
      <c r="AD72" s="7"/>
      <c r="AE72" s="7"/>
      <c r="AF72" s="7"/>
      <c r="AG72" s="7"/>
      <c r="AH72" s="7"/>
      <c r="AI72" s="7"/>
      <c r="AJ72" s="7"/>
      <c r="AK72" s="7"/>
      <c r="AL72" s="7"/>
    </row>
    <row r="73" customFormat="false" ht="15.75" hidden="false" customHeight="true" outlineLevel="0" collapsed="false">
      <c r="A73" s="18" t="s">
        <v>69</v>
      </c>
      <c r="B73" s="18" t="str">
        <f aca="false" t="array" ref="B73:B73">IF(A73="","",IFERROR(INDEX('CLM &amp; IM Mapping'!$B$2:$B$270,MATCH(TRIM(A73),'CLM &amp; IM Mapping'!$A$2:$A$270,0)),"Not Mapped"))</f>
        <v>Sundaresh S</v>
      </c>
      <c r="C73" s="18" t="str">
        <f aca="false" t="array" ref="C73:C73">IF(A73="","",IFERROR(INDEX('CLM &amp; IM Mapping'!$C$2:$C$270,MATCH(TRIM(A73),'CLM &amp; IM Mapping'!$A$2:$A$270,0)),"Not Mapped"))</f>
        <v>Un Mapped</v>
      </c>
      <c r="D73" s="18" t="s">
        <v>27</v>
      </c>
      <c r="E73" s="18" t="s">
        <v>314</v>
      </c>
      <c r="F73" s="18" t="s">
        <v>22</v>
      </c>
      <c r="G73" s="11" t="n">
        <v>4675</v>
      </c>
      <c r="H73" s="19" t="n">
        <v>0.7</v>
      </c>
      <c r="I73" s="20" t="n">
        <v>0.39</v>
      </c>
      <c r="J73" s="20" t="n">
        <v>0.74</v>
      </c>
      <c r="K73" s="20" t="n">
        <v>0.94</v>
      </c>
      <c r="L73" s="20" t="n">
        <v>0.74</v>
      </c>
      <c r="M73" s="12" t="n">
        <v>10</v>
      </c>
      <c r="N73" s="11"/>
      <c r="O73" s="11"/>
      <c r="P73" s="7"/>
      <c r="Q73" s="7"/>
      <c r="R73" s="7"/>
      <c r="S73" s="7"/>
      <c r="T73" s="7"/>
      <c r="U73" s="7"/>
      <c r="V73" s="7"/>
      <c r="W73" s="7"/>
      <c r="X73" s="7"/>
      <c r="Y73" s="7"/>
      <c r="Z73" s="22"/>
      <c r="AA73" s="22"/>
      <c r="AB73" s="22"/>
      <c r="AC73" s="22"/>
      <c r="AD73" s="7"/>
      <c r="AE73" s="7"/>
      <c r="AF73" s="7"/>
      <c r="AG73" s="7"/>
      <c r="AH73" s="7"/>
      <c r="AI73" s="7"/>
      <c r="AJ73" s="7"/>
      <c r="AK73" s="7"/>
      <c r="AL73" s="7"/>
    </row>
    <row r="74" customFormat="false" ht="15.75" hidden="false" customHeight="true" outlineLevel="0" collapsed="false">
      <c r="A74" s="18" t="s">
        <v>193</v>
      </c>
      <c r="B74" s="18" t="str">
        <f aca="false" t="array" ref="B74:B74">IF(A74="","",IFERROR(INDEX('CLM &amp; IM Mapping'!$B$2:$B$270,MATCH(TRIM(A74),'CLM &amp; IM Mapping'!$A$2:$A$270,0)),"Not Mapped"))</f>
        <v>Richard Harris</v>
      </c>
      <c r="C74" s="18" t="str">
        <f aca="false" t="array" ref="C74:C74">IF(A74="","",IFERROR(INDEX('CLM &amp; IM Mapping'!$C$2:$C$270,MATCH(TRIM(A74),'CLM &amp; IM Mapping'!$A$2:$A$270,0)),"Not Mapped"))</f>
        <v>Kantha Kumar</v>
      </c>
      <c r="D74" s="18" t="s">
        <v>27</v>
      </c>
      <c r="E74" s="18" t="s">
        <v>316</v>
      </c>
      <c r="F74" s="18" t="s">
        <v>22</v>
      </c>
      <c r="G74" s="11" t="n">
        <v>5086</v>
      </c>
      <c r="H74" s="19" t="n">
        <v>0.7</v>
      </c>
      <c r="I74" s="20" t="n">
        <v>0.39</v>
      </c>
      <c r="J74" s="20" t="n">
        <v>0.84</v>
      </c>
      <c r="K74" s="20" t="n">
        <v>0.99</v>
      </c>
      <c r="L74" s="20" t="n">
        <v>0.84</v>
      </c>
      <c r="M74" s="12" t="n">
        <v>2</v>
      </c>
      <c r="N74" s="11"/>
      <c r="O74" s="11"/>
      <c r="P74" s="7"/>
      <c r="Q74" s="7"/>
      <c r="R74" s="7"/>
      <c r="S74" s="7"/>
      <c r="T74" s="7"/>
      <c r="U74" s="7"/>
      <c r="V74" s="7"/>
      <c r="W74" s="7"/>
      <c r="X74" s="7"/>
      <c r="Y74" s="7"/>
      <c r="Z74" s="22"/>
      <c r="AA74" s="22"/>
      <c r="AB74" s="22"/>
      <c r="AC74" s="22"/>
      <c r="AD74" s="7"/>
      <c r="AE74" s="7"/>
      <c r="AF74" s="7"/>
      <c r="AG74" s="7"/>
      <c r="AH74" s="7"/>
      <c r="AI74" s="7"/>
      <c r="AJ74" s="7"/>
      <c r="AK74" s="7"/>
      <c r="AL74" s="7"/>
    </row>
    <row r="75" customFormat="false" ht="15.75" hidden="false" customHeight="true" outlineLevel="0" collapsed="false">
      <c r="A75" s="18" t="s">
        <v>228</v>
      </c>
      <c r="B75" s="18" t="str">
        <f aca="false" t="array" ref="B75:B75">IF(A75="","",IFERROR(INDEX('CLM &amp; IM Mapping'!$B$2:$B$270,MATCH(TRIM(A75),'CLM &amp; IM Mapping'!$A$2:$A$270,0)),"Not Mapped"))</f>
        <v>Silambarasan E</v>
      </c>
      <c r="C75" s="18" t="str">
        <f aca="false" t="array" ref="C75:C75">IF(A75="","",IFERROR(INDEX('CLM &amp; IM Mapping'!$C$2:$C$270,MATCH(TRIM(A75),'CLM &amp; IM Mapping'!$A$2:$A$270,0)),"Not Mapped"))</f>
        <v>Arivind S</v>
      </c>
      <c r="D75" s="18" t="s">
        <v>27</v>
      </c>
      <c r="E75" s="18" t="s">
        <v>314</v>
      </c>
      <c r="F75" s="18" t="s">
        <v>22</v>
      </c>
      <c r="G75" s="11" t="n">
        <v>5558</v>
      </c>
      <c r="H75" s="19" t="n">
        <v>0.7</v>
      </c>
      <c r="I75" s="20" t="n">
        <v>0.39</v>
      </c>
      <c r="J75" s="20" t="n">
        <v>0.81</v>
      </c>
      <c r="K75" s="20" t="n">
        <v>0.96</v>
      </c>
      <c r="L75" s="20" t="n">
        <v>0.81</v>
      </c>
      <c r="M75" s="12" t="n">
        <v>3</v>
      </c>
      <c r="N75" s="11"/>
      <c r="O75" s="11"/>
      <c r="P75" s="7"/>
      <c r="Q75" s="7"/>
      <c r="R75" s="7"/>
      <c r="S75" s="7"/>
      <c r="T75" s="7"/>
      <c r="U75" s="7"/>
      <c r="V75" s="7"/>
      <c r="W75" s="7"/>
      <c r="X75" s="7"/>
      <c r="Y75" s="7"/>
      <c r="Z75" s="22"/>
      <c r="AA75" s="22"/>
      <c r="AB75" s="22"/>
      <c r="AC75" s="22"/>
      <c r="AD75" s="7"/>
      <c r="AE75" s="7"/>
      <c r="AF75" s="7"/>
      <c r="AG75" s="7"/>
      <c r="AH75" s="7"/>
      <c r="AI75" s="7"/>
      <c r="AJ75" s="7"/>
      <c r="AK75" s="7"/>
      <c r="AL75" s="7"/>
    </row>
    <row r="76" customFormat="false" ht="15.75" hidden="false" customHeight="true" outlineLevel="0" collapsed="false">
      <c r="A76" s="18" t="s">
        <v>146</v>
      </c>
      <c r="B76" s="18" t="str">
        <f aca="false" t="array" ref="B76:B76">IF(A76="","",IFERROR(INDEX('CLM &amp; IM Mapping'!$B$2:$B$270,MATCH(TRIM(A76),'CLM &amp; IM Mapping'!$A$2:$A$270,0)),"Not Mapped"))</f>
        <v>John Britto</v>
      </c>
      <c r="C76" s="18" t="str">
        <f aca="false" t="array" ref="C76:C76">IF(A76="","",IFERROR(INDEX('CLM &amp; IM Mapping'!$C$2:$C$270,MATCH(TRIM(A76),'CLM &amp; IM Mapping'!$A$2:$A$270,0)),"Not Mapped"))</f>
        <v>Aravind S</v>
      </c>
      <c r="D76" s="18" t="s">
        <v>27</v>
      </c>
      <c r="E76" s="18" t="s">
        <v>314</v>
      </c>
      <c r="F76" s="18" t="s">
        <v>145</v>
      </c>
      <c r="G76" s="11" t="n">
        <v>5441</v>
      </c>
      <c r="H76" s="19" t="n">
        <v>0.7</v>
      </c>
      <c r="I76" s="20" t="n">
        <v>0.39</v>
      </c>
      <c r="J76" s="20" t="n">
        <v>0.84</v>
      </c>
      <c r="K76" s="20" t="n">
        <v>0.97</v>
      </c>
      <c r="L76" s="20" t="n">
        <v>0.84</v>
      </c>
      <c r="M76" s="12" t="n">
        <v>2</v>
      </c>
      <c r="N76" s="11"/>
      <c r="O76" s="11"/>
      <c r="P76" s="7"/>
      <c r="Q76" s="7"/>
      <c r="R76" s="7"/>
      <c r="S76" s="7"/>
      <c r="T76" s="7"/>
      <c r="U76" s="7"/>
      <c r="V76" s="7"/>
      <c r="W76" s="7"/>
      <c r="X76" s="7"/>
      <c r="Y76" s="7"/>
      <c r="Z76" s="22"/>
      <c r="AA76" s="22"/>
      <c r="AB76" s="22"/>
      <c r="AC76" s="22"/>
      <c r="AD76" s="7"/>
      <c r="AE76" s="7"/>
      <c r="AF76" s="7"/>
      <c r="AG76" s="7"/>
      <c r="AH76" s="7"/>
      <c r="AI76" s="7"/>
      <c r="AJ76" s="7"/>
      <c r="AK76" s="7"/>
      <c r="AL76" s="7"/>
    </row>
    <row r="77" customFormat="false" ht="15.75" hidden="false" customHeight="true" outlineLevel="0" collapsed="false">
      <c r="A77" s="18" t="s">
        <v>222</v>
      </c>
      <c r="B77" s="18" t="str">
        <f aca="false" t="array" ref="B77:B77">IF(A77="","",IFERROR(INDEX('CLM &amp; IM Mapping'!$B$2:$B$270,MATCH(TRIM(A77),'CLM &amp; IM Mapping'!$A$2:$A$270,0)),"Not Mapped"))</f>
        <v>Vishnu V</v>
      </c>
      <c r="C77" s="18" t="str">
        <f aca="false" t="array" ref="C77:C77">IF(A77="","",IFERROR(INDEX('CLM &amp; IM Mapping'!$C$2:$C$270,MATCH(TRIM(A77),'CLM &amp; IM Mapping'!$A$2:$A$270,0)),"Not Mapped"))</f>
        <v>Arivind S</v>
      </c>
      <c r="D77" s="18" t="s">
        <v>27</v>
      </c>
      <c r="E77" s="18" t="s">
        <v>314</v>
      </c>
      <c r="F77" s="18" t="s">
        <v>221</v>
      </c>
      <c r="G77" s="11" t="n">
        <v>6776</v>
      </c>
      <c r="H77" s="19" t="n">
        <v>0.7</v>
      </c>
      <c r="I77" s="20" t="n">
        <v>0.39</v>
      </c>
      <c r="J77" s="20" t="n">
        <v>0.97</v>
      </c>
      <c r="K77" s="20" t="n">
        <v>0.99</v>
      </c>
      <c r="L77" s="20" t="n">
        <v>0.97</v>
      </c>
      <c r="M77" s="12" t="n">
        <v>2</v>
      </c>
      <c r="N77" s="11"/>
      <c r="O77" s="11"/>
      <c r="P77" s="7"/>
      <c r="Q77" s="7"/>
      <c r="R77" s="7"/>
      <c r="S77" s="7"/>
      <c r="T77" s="7"/>
      <c r="U77" s="7"/>
      <c r="V77" s="7"/>
      <c r="W77" s="7"/>
      <c r="X77" s="7"/>
      <c r="Y77" s="7"/>
      <c r="Z77" s="22"/>
      <c r="AA77" s="22"/>
      <c r="AB77" s="22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customFormat="false" ht="15.75" hidden="false" customHeight="true" outlineLevel="0" collapsed="false">
      <c r="A78" s="18" t="s">
        <v>97</v>
      </c>
      <c r="B78" s="18" t="str">
        <f aca="false" t="array" ref="B78:B78">IF(A78="","",IFERROR(INDEX('CLM &amp; IM Mapping'!$B$2:$B$270,MATCH(TRIM(A78),'CLM &amp; IM Mapping'!$A$2:$A$270,0)),"Not Mapped"))</f>
        <v>Akshay P</v>
      </c>
      <c r="C78" s="18" t="str">
        <f aca="false" t="array" ref="C78:C78">IF(A78="","",IFERROR(INDEX('CLM &amp; IM Mapping'!$C$2:$C$270,MATCH(TRIM(A78),'CLM &amp; IM Mapping'!$A$2:$A$270,0)),"Not Mapped"))</f>
        <v>Srittam Dhal</v>
      </c>
      <c r="D78" s="18" t="s">
        <v>27</v>
      </c>
      <c r="E78" s="18" t="s">
        <v>316</v>
      </c>
      <c r="F78" s="18" t="s">
        <v>22</v>
      </c>
      <c r="G78" s="11" t="n">
        <v>6639</v>
      </c>
      <c r="H78" s="19" t="n">
        <v>0.7</v>
      </c>
      <c r="I78" s="20" t="n">
        <v>0.4</v>
      </c>
      <c r="J78" s="20" t="n">
        <v>0.87</v>
      </c>
      <c r="K78" s="20" t="n">
        <v>0.97</v>
      </c>
      <c r="L78" s="20" t="n">
        <v>0.87</v>
      </c>
      <c r="M78" s="12" t="n">
        <v>6</v>
      </c>
      <c r="N78" s="11"/>
      <c r="O78" s="11"/>
      <c r="P78" s="7"/>
      <c r="Q78" s="7"/>
      <c r="R78" s="7"/>
      <c r="S78" s="7"/>
      <c r="T78" s="7"/>
      <c r="U78" s="7"/>
      <c r="V78" s="7"/>
      <c r="W78" s="7"/>
      <c r="X78" s="7"/>
      <c r="Y78" s="7"/>
      <c r="Z78" s="22"/>
      <c r="AA78" s="22"/>
      <c r="AB78" s="22"/>
      <c r="AC78" s="22"/>
      <c r="AD78" s="7"/>
      <c r="AE78" s="7"/>
      <c r="AF78" s="7"/>
      <c r="AG78" s="7"/>
      <c r="AH78" s="7"/>
      <c r="AI78" s="7"/>
      <c r="AJ78" s="7"/>
      <c r="AK78" s="7"/>
      <c r="AL78" s="7"/>
    </row>
    <row r="79" customFormat="false" ht="15.75" hidden="false" customHeight="true" outlineLevel="0" collapsed="false">
      <c r="A79" s="18" t="s">
        <v>240</v>
      </c>
      <c r="B79" s="18" t="str">
        <f aca="false" t="array" ref="B79:B79">IF(A79="","",IFERROR(INDEX('CLM &amp; IM Mapping'!$B$2:$B$270,MATCH(TRIM(A79),'CLM &amp; IM Mapping'!$A$2:$A$270,0)),"Not Mapped"))</f>
        <v>Narasimhamurthy R</v>
      </c>
      <c r="C79" s="18" t="str">
        <f aca="false" t="array" ref="C79:C79">IF(A79="","",IFERROR(INDEX('CLM &amp; IM Mapping'!$C$2:$C$270,MATCH(TRIM(A79),'CLM &amp; IM Mapping'!$A$2:$A$270,0)),"Not Mapped"))</f>
        <v>Kishor K</v>
      </c>
      <c r="D79" s="18" t="s">
        <v>27</v>
      </c>
      <c r="E79" s="18" t="s">
        <v>314</v>
      </c>
      <c r="F79" s="18" t="s">
        <v>22</v>
      </c>
      <c r="G79" s="11" t="n">
        <v>5305</v>
      </c>
      <c r="H79" s="19" t="n">
        <v>0.7</v>
      </c>
      <c r="I79" s="20" t="n">
        <v>0.4</v>
      </c>
      <c r="J79" s="20" t="n">
        <v>0.99</v>
      </c>
      <c r="K79" s="20" t="n">
        <v>0.98</v>
      </c>
      <c r="L79" s="20" t="n">
        <v>0.99</v>
      </c>
      <c r="M79" s="12" t="n">
        <v>2</v>
      </c>
      <c r="N79" s="11"/>
      <c r="O79" s="11"/>
      <c r="P79" s="7"/>
      <c r="Q79" s="7"/>
      <c r="R79" s="7"/>
      <c r="S79" s="7"/>
      <c r="T79" s="7"/>
      <c r="U79" s="7"/>
      <c r="V79" s="7"/>
      <c r="W79" s="7"/>
      <c r="X79" s="7"/>
      <c r="Y79" s="7"/>
      <c r="Z79" s="22"/>
      <c r="AA79" s="22"/>
      <c r="AB79" s="22"/>
      <c r="AC79" s="22"/>
      <c r="AD79" s="7"/>
      <c r="AE79" s="7"/>
      <c r="AF79" s="7"/>
      <c r="AG79" s="7"/>
      <c r="AH79" s="7"/>
      <c r="AI79" s="7"/>
      <c r="AJ79" s="7"/>
      <c r="AK79" s="7"/>
      <c r="AL79" s="7"/>
    </row>
    <row r="80" customFormat="false" ht="15.75" hidden="false" customHeight="true" outlineLevel="0" collapsed="false">
      <c r="A80" s="18" t="s">
        <v>197</v>
      </c>
      <c r="B80" s="18" t="str">
        <f aca="false" t="array" ref="B80:B80">IF(A80="","",IFERROR(INDEX('CLM &amp; IM Mapping'!$B$2:$B$270,MATCH(TRIM(A80),'CLM &amp; IM Mapping'!$A$2:$A$270,0)),"Not Mapped"))</f>
        <v>Arun Raj</v>
      </c>
      <c r="C80" s="18" t="str">
        <f aca="false" t="array" ref="C80:C80">IF(A80="","",IFERROR(INDEX('CLM &amp; IM Mapping'!$C$2:$C$270,MATCH(TRIM(A80),'CLM &amp; IM Mapping'!$A$2:$A$270,0)),"Not Mapped"))</f>
        <v>Simon Manoharan</v>
      </c>
      <c r="D80" s="18" t="s">
        <v>24</v>
      </c>
      <c r="E80" s="18" t="s">
        <v>316</v>
      </c>
      <c r="F80" s="18" t="s">
        <v>22</v>
      </c>
      <c r="G80" s="11" t="n">
        <v>12736</v>
      </c>
      <c r="H80" s="19" t="n">
        <v>0.7</v>
      </c>
      <c r="I80" s="20" t="n">
        <v>0.4</v>
      </c>
      <c r="J80" s="20" t="n">
        <v>0.99</v>
      </c>
      <c r="K80" s="20" t="n">
        <v>1</v>
      </c>
      <c r="L80" s="20" t="n">
        <v>0.99</v>
      </c>
      <c r="M80" s="12" t="n">
        <v>1</v>
      </c>
      <c r="N80" s="11"/>
      <c r="O80" s="11"/>
      <c r="P80" s="7"/>
      <c r="Q80" s="7"/>
      <c r="R80" s="7"/>
      <c r="S80" s="7"/>
      <c r="T80" s="7"/>
      <c r="U80" s="7"/>
      <c r="V80" s="7"/>
      <c r="W80" s="7"/>
      <c r="X80" s="7"/>
      <c r="Y80" s="7"/>
      <c r="Z80" s="22"/>
      <c r="AA80" s="22"/>
      <c r="AB80" s="22"/>
      <c r="AC80" s="22"/>
      <c r="AD80" s="7"/>
      <c r="AE80" s="7"/>
      <c r="AF80" s="7"/>
      <c r="AG80" s="7"/>
      <c r="AH80" s="7"/>
      <c r="AI80" s="7"/>
      <c r="AJ80" s="7"/>
      <c r="AK80" s="7"/>
      <c r="AL80" s="7"/>
    </row>
    <row r="81" customFormat="false" ht="15.75" hidden="false" customHeight="true" outlineLevel="0" collapsed="false">
      <c r="A81" s="18" t="s">
        <v>34</v>
      </c>
      <c r="B81" s="18" t="str">
        <f aca="false" t="array" ref="B81:B81">IF(A81="","",IFERROR(INDEX('CLM &amp; IM Mapping'!$B$2:$B$270,MATCH(TRIM(A81),'CLM &amp; IM Mapping'!$A$2:$A$270,0)),"Not Mapped"))</f>
        <v>Richard Harris</v>
      </c>
      <c r="C81" s="18" t="str">
        <f aca="false" t="array" ref="C81:C81">IF(A81="","",IFERROR(INDEX('CLM &amp; IM Mapping'!$C$2:$C$270,MATCH(TRIM(A81),'CLM &amp; IM Mapping'!$A$2:$A$270,0)),"Not Mapped"))</f>
        <v>Kantha Kumar</v>
      </c>
      <c r="D81" s="18" t="s">
        <v>27</v>
      </c>
      <c r="E81" s="18" t="s">
        <v>314</v>
      </c>
      <c r="F81" s="18" t="s">
        <v>22</v>
      </c>
      <c r="G81" s="11" t="n">
        <v>5302</v>
      </c>
      <c r="H81" s="19" t="n">
        <v>0.7</v>
      </c>
      <c r="I81" s="20" t="n">
        <v>0.4</v>
      </c>
      <c r="J81" s="20" t="n">
        <v>0.81</v>
      </c>
      <c r="K81" s="20" t="n">
        <v>0.94</v>
      </c>
      <c r="L81" s="20" t="n">
        <v>0.81</v>
      </c>
      <c r="M81" s="12" t="n">
        <v>3</v>
      </c>
      <c r="N81" s="11"/>
      <c r="O81" s="11"/>
      <c r="P81" s="7"/>
      <c r="Q81" s="7"/>
      <c r="R81" s="7"/>
      <c r="S81" s="7"/>
      <c r="T81" s="7"/>
      <c r="U81" s="7"/>
      <c r="V81" s="7"/>
      <c r="W81" s="7"/>
      <c r="X81" s="7"/>
      <c r="Y81" s="7"/>
      <c r="Z81" s="22"/>
      <c r="AA81" s="22"/>
      <c r="AB81" s="22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customFormat="false" ht="15.75" hidden="false" customHeight="true" outlineLevel="0" collapsed="false">
      <c r="A82" s="18" t="s">
        <v>64</v>
      </c>
      <c r="B82" s="18" t="str">
        <f aca="false" t="array" ref="B82:B82">IF(A82="","",IFERROR(INDEX('CLM &amp; IM Mapping'!$B$2:$B$270,MATCH(TRIM(A82),'CLM &amp; IM Mapping'!$A$2:$A$270,0)),"Not Mapped"))</f>
        <v>Ashwath S</v>
      </c>
      <c r="C82" s="18" t="str">
        <f aca="false" t="array" ref="C82:C82">IF(A82="","",IFERROR(INDEX('CLM &amp; IM Mapping'!$C$2:$C$270,MATCH(TRIM(A82),'CLM &amp; IM Mapping'!$A$2:$A$270,0)),"Not Mapped"))</f>
        <v>Kantha Kumar</v>
      </c>
      <c r="D82" s="18" t="s">
        <v>27</v>
      </c>
      <c r="E82" s="18" t="s">
        <v>316</v>
      </c>
      <c r="F82" s="18" t="s">
        <v>22</v>
      </c>
      <c r="G82" s="11" t="n">
        <v>5785</v>
      </c>
      <c r="H82" s="19" t="n">
        <v>0.7</v>
      </c>
      <c r="I82" s="20" t="n">
        <v>0.4</v>
      </c>
      <c r="J82" s="20" t="n">
        <v>0.76</v>
      </c>
      <c r="K82" s="20" t="n">
        <v>0.89</v>
      </c>
      <c r="L82" s="20" t="n">
        <v>0.76</v>
      </c>
      <c r="M82" s="12" t="n">
        <v>2</v>
      </c>
      <c r="N82" s="11"/>
      <c r="O82" s="11"/>
      <c r="P82" s="7"/>
      <c r="Q82" s="7"/>
      <c r="R82" s="7"/>
      <c r="S82" s="7"/>
      <c r="T82" s="7"/>
      <c r="U82" s="7"/>
      <c r="V82" s="7"/>
      <c r="W82" s="7"/>
      <c r="X82" s="7"/>
      <c r="Y82" s="7"/>
      <c r="Z82" s="22"/>
      <c r="AA82" s="22"/>
      <c r="AB82" s="22"/>
      <c r="AC82" s="22"/>
      <c r="AD82" s="7"/>
      <c r="AE82" s="7"/>
      <c r="AF82" s="7"/>
      <c r="AG82" s="7"/>
      <c r="AH82" s="7"/>
      <c r="AI82" s="7"/>
      <c r="AJ82" s="7"/>
      <c r="AK82" s="7"/>
      <c r="AL82" s="7"/>
    </row>
    <row r="83" customFormat="false" ht="15.75" hidden="false" customHeight="true" outlineLevel="0" collapsed="false">
      <c r="A83" s="18" t="s">
        <v>125</v>
      </c>
      <c r="B83" s="18" t="str">
        <f aca="false" t="array" ref="B83:B83">IF(A83="","",IFERROR(INDEX('CLM &amp; IM Mapping'!$B$2:$B$270,MATCH(TRIM(A83),'CLM &amp; IM Mapping'!$A$2:$A$270,0)),"Not Mapped"))</f>
        <v>Adhavan Subramani</v>
      </c>
      <c r="C83" s="18" t="str">
        <f aca="false" t="array" ref="C83:C83">IF(A83="","",IFERROR(INDEX('CLM &amp; IM Mapping'!$C$2:$C$270,MATCH(TRIM(A83),'CLM &amp; IM Mapping'!$A$2:$A$270,0)),"Not Mapped"))</f>
        <v>Mohammed Akbar</v>
      </c>
      <c r="D83" s="18" t="s">
        <v>27</v>
      </c>
      <c r="E83" s="18" t="s">
        <v>316</v>
      </c>
      <c r="F83" s="18" t="s">
        <v>22</v>
      </c>
      <c r="G83" s="11" t="n">
        <v>12257</v>
      </c>
      <c r="H83" s="19" t="n">
        <v>0.7</v>
      </c>
      <c r="I83" s="20" t="n">
        <v>0.4</v>
      </c>
      <c r="J83" s="20" t="n">
        <v>0.97</v>
      </c>
      <c r="K83" s="20" t="n">
        <v>0.99</v>
      </c>
      <c r="L83" s="18"/>
      <c r="M83" s="12" t="n">
        <v>2</v>
      </c>
      <c r="N83" s="11"/>
      <c r="O83" s="11"/>
      <c r="P83" s="7"/>
      <c r="Q83" s="7"/>
      <c r="R83" s="7"/>
      <c r="S83" s="7"/>
      <c r="T83" s="7"/>
      <c r="U83" s="7"/>
      <c r="V83" s="7"/>
      <c r="W83" s="7"/>
      <c r="X83" s="7"/>
      <c r="Y83" s="7"/>
      <c r="Z83" s="22"/>
      <c r="AA83" s="22"/>
      <c r="AB83" s="22"/>
      <c r="AC83" s="22"/>
      <c r="AD83" s="7"/>
      <c r="AE83" s="7"/>
      <c r="AF83" s="7"/>
      <c r="AG83" s="7"/>
      <c r="AH83" s="7"/>
      <c r="AI83" s="7"/>
      <c r="AJ83" s="7"/>
      <c r="AK83" s="7"/>
      <c r="AL83" s="7"/>
    </row>
    <row r="84" customFormat="false" ht="15.75" hidden="false" customHeight="true" outlineLevel="0" collapsed="false">
      <c r="A84" s="18" t="s">
        <v>238</v>
      </c>
      <c r="B84" s="18" t="str">
        <f aca="false" t="array" ref="B84:B84">IF(A84="","",IFERROR(INDEX('CLM &amp; IM Mapping'!$B$2:$B$270,MATCH(TRIM(A84),'CLM &amp; IM Mapping'!$A$2:$A$270,0)),"Not Mapped"))</f>
        <v>Vijay M</v>
      </c>
      <c r="C84" s="18" t="str">
        <f aca="false" t="array" ref="C84:C84">IF(A84="","",IFERROR(INDEX('CLM &amp; IM Mapping'!$C$2:$C$270,MATCH(TRIM(A84),'CLM &amp; IM Mapping'!$A$2:$A$270,0)),"Not Mapped"))</f>
        <v>Kantha Kumar</v>
      </c>
      <c r="D84" s="18" t="s">
        <v>27</v>
      </c>
      <c r="E84" s="18" t="s">
        <v>314</v>
      </c>
      <c r="F84" s="18" t="s">
        <v>22</v>
      </c>
      <c r="G84" s="11" t="n">
        <v>4480</v>
      </c>
      <c r="H84" s="19" t="n">
        <v>0.7</v>
      </c>
      <c r="I84" s="20" t="n">
        <v>0.41</v>
      </c>
      <c r="J84" s="20" t="n">
        <v>0.83</v>
      </c>
      <c r="K84" s="20" t="n">
        <v>0.95</v>
      </c>
      <c r="L84" s="20" t="n">
        <v>0.83</v>
      </c>
      <c r="M84" s="12" t="n">
        <v>4</v>
      </c>
      <c r="N84" s="11"/>
      <c r="O84" s="11"/>
      <c r="P84" s="7"/>
      <c r="Q84" s="7"/>
      <c r="R84" s="7"/>
      <c r="S84" s="7"/>
      <c r="T84" s="7"/>
      <c r="U84" s="7"/>
      <c r="V84" s="7"/>
      <c r="W84" s="7"/>
      <c r="X84" s="7"/>
      <c r="Y84" s="7"/>
      <c r="Z84" s="22"/>
      <c r="AA84" s="22"/>
      <c r="AB84" s="22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customFormat="false" ht="15.75" hidden="false" customHeight="true" outlineLevel="0" collapsed="false">
      <c r="A85" s="18" t="s">
        <v>75</v>
      </c>
      <c r="B85" s="18" t="str">
        <f aca="false" t="array" ref="B85:B85">IF(A85="","",IFERROR(INDEX('CLM &amp; IM Mapping'!$B$2:$B$270,MATCH(TRIM(A85),'CLM &amp; IM Mapping'!$A$2:$A$270,0)),"Not Mapped"))</f>
        <v>Rizwan Ahmed</v>
      </c>
      <c r="C85" s="18" t="str">
        <f aca="false" t="array" ref="C85:C85">IF(A85="","",IFERROR(INDEX('CLM &amp; IM Mapping'!$C$2:$C$270,MATCH(TRIM(A85),'CLM &amp; IM Mapping'!$A$2:$A$270,0)),"Not Mapped"))</f>
        <v>Un Mapped</v>
      </c>
      <c r="D85" s="18" t="s">
        <v>27</v>
      </c>
      <c r="E85" s="18" t="s">
        <v>314</v>
      </c>
      <c r="F85" s="18" t="s">
        <v>22</v>
      </c>
      <c r="G85" s="11" t="n">
        <v>5959</v>
      </c>
      <c r="H85" s="19" t="n">
        <v>0.7</v>
      </c>
      <c r="I85" s="20" t="n">
        <v>0.41</v>
      </c>
      <c r="J85" s="20" t="n">
        <v>0.82</v>
      </c>
      <c r="K85" s="20" t="n">
        <v>0.96</v>
      </c>
      <c r="L85" s="20" t="n">
        <v>0.82</v>
      </c>
      <c r="M85" s="12" t="n">
        <v>3</v>
      </c>
      <c r="N85" s="11"/>
      <c r="O85" s="11"/>
      <c r="P85" s="7"/>
      <c r="Q85" s="7"/>
      <c r="R85" s="7"/>
      <c r="S85" s="7"/>
      <c r="T85" s="7"/>
      <c r="U85" s="7"/>
      <c r="V85" s="7"/>
      <c r="W85" s="7"/>
      <c r="X85" s="7"/>
      <c r="Y85" s="7"/>
      <c r="Z85" s="22"/>
      <c r="AA85" s="22"/>
      <c r="AB85" s="22"/>
      <c r="AC85" s="22"/>
      <c r="AD85" s="7"/>
      <c r="AE85" s="7"/>
      <c r="AF85" s="7"/>
      <c r="AG85" s="7"/>
      <c r="AH85" s="7"/>
      <c r="AI85" s="7"/>
      <c r="AJ85" s="7"/>
      <c r="AK85" s="7"/>
      <c r="AL85" s="7"/>
    </row>
    <row r="86" customFormat="false" ht="15.75" hidden="false" customHeight="true" outlineLevel="0" collapsed="false">
      <c r="A86" s="18" t="s">
        <v>84</v>
      </c>
      <c r="B86" s="18" t="str">
        <f aca="false" t="array" ref="B86:B86">IF(A86="","",IFERROR(INDEX('CLM &amp; IM Mapping'!$B$2:$B$270,MATCH(TRIM(A86),'CLM &amp; IM Mapping'!$A$2:$A$270,0)),"Not Mapped"))</f>
        <v>Silambarasan E</v>
      </c>
      <c r="C86" s="18" t="str">
        <f aca="false" t="array" ref="C86:C86">IF(A86="","",IFERROR(INDEX('CLM &amp; IM Mapping'!$C$2:$C$270,MATCH(TRIM(A86),'CLM &amp; IM Mapping'!$A$2:$A$270,0)),"Not Mapped"))</f>
        <v>Arivind S</v>
      </c>
      <c r="D86" s="18" t="s">
        <v>27</v>
      </c>
      <c r="E86" s="18" t="s">
        <v>314</v>
      </c>
      <c r="F86" s="18" t="s">
        <v>22</v>
      </c>
      <c r="G86" s="11" t="n">
        <v>6001</v>
      </c>
      <c r="H86" s="19" t="n">
        <v>0.7</v>
      </c>
      <c r="I86" s="20" t="n">
        <v>0.41</v>
      </c>
      <c r="J86" s="20" t="n">
        <v>0.81</v>
      </c>
      <c r="K86" s="20" t="n">
        <v>0.94</v>
      </c>
      <c r="L86" s="20" t="n">
        <v>0.81</v>
      </c>
      <c r="M86" s="12" t="n">
        <v>5</v>
      </c>
      <c r="N86" s="11"/>
      <c r="O86" s="11"/>
      <c r="P86" s="7"/>
      <c r="Q86" s="7"/>
      <c r="R86" s="7"/>
      <c r="S86" s="7"/>
      <c r="T86" s="7"/>
      <c r="U86" s="7"/>
      <c r="V86" s="7"/>
      <c r="W86" s="7"/>
      <c r="X86" s="7"/>
      <c r="Y86" s="7"/>
      <c r="Z86" s="22"/>
      <c r="AA86" s="22"/>
      <c r="AB86" s="22"/>
      <c r="AC86" s="22"/>
      <c r="AD86" s="7"/>
      <c r="AE86" s="7"/>
      <c r="AF86" s="7"/>
      <c r="AG86" s="7"/>
      <c r="AH86" s="7"/>
      <c r="AI86" s="7"/>
      <c r="AJ86" s="7"/>
      <c r="AK86" s="7"/>
      <c r="AL86" s="7"/>
    </row>
    <row r="87" customFormat="false" ht="15.75" hidden="false" customHeight="true" outlineLevel="0" collapsed="false">
      <c r="A87" s="18" t="s">
        <v>140</v>
      </c>
      <c r="B87" s="18" t="str">
        <f aca="false" t="array" ref="B87:B87">IF(A87="","",IFERROR(INDEX('CLM &amp; IM Mapping'!$B$2:$B$270,MATCH(TRIM(A87),'CLM &amp; IM Mapping'!$A$2:$A$270,0)),"Not Mapped"))</f>
        <v>Suhas N</v>
      </c>
      <c r="C87" s="18" t="str">
        <f aca="false" t="array" ref="C87:C87">IF(A87="","",IFERROR(INDEX('CLM &amp; IM Mapping'!$C$2:$C$270,MATCH(TRIM(A87),'CLM &amp; IM Mapping'!$A$2:$A$270,0)),"Not Mapped"))</f>
        <v>Aravind S</v>
      </c>
      <c r="D87" s="18" t="s">
        <v>27</v>
      </c>
      <c r="E87" s="18" t="s">
        <v>314</v>
      </c>
      <c r="F87" s="18" t="s">
        <v>22</v>
      </c>
      <c r="G87" s="11" t="n">
        <v>4834</v>
      </c>
      <c r="H87" s="19" t="n">
        <v>0.7</v>
      </c>
      <c r="I87" s="20" t="n">
        <v>0.42</v>
      </c>
      <c r="J87" s="20" t="n">
        <v>0.77</v>
      </c>
      <c r="K87" s="20" t="n">
        <v>0.92</v>
      </c>
      <c r="L87" s="20" t="n">
        <v>0.77</v>
      </c>
      <c r="M87" s="12" t="n">
        <v>2</v>
      </c>
      <c r="N87" s="11"/>
      <c r="O87" s="11"/>
      <c r="P87" s="7"/>
      <c r="Q87" s="7"/>
      <c r="R87" s="7"/>
      <c r="S87" s="7"/>
      <c r="T87" s="7"/>
      <c r="U87" s="7"/>
      <c r="V87" s="7"/>
      <c r="W87" s="7"/>
      <c r="X87" s="7"/>
      <c r="Y87" s="7"/>
      <c r="Z87" s="22"/>
      <c r="AA87" s="22"/>
      <c r="AB87" s="22"/>
      <c r="AC87" s="22"/>
      <c r="AD87" s="7"/>
      <c r="AE87" s="7"/>
      <c r="AF87" s="7"/>
      <c r="AG87" s="7"/>
      <c r="AH87" s="7"/>
      <c r="AI87" s="7"/>
      <c r="AJ87" s="7"/>
      <c r="AK87" s="7"/>
      <c r="AL87" s="7"/>
    </row>
    <row r="88" customFormat="false" ht="15.75" hidden="false" customHeight="true" outlineLevel="0" collapsed="false">
      <c r="A88" s="18" t="s">
        <v>139</v>
      </c>
      <c r="B88" s="18" t="str">
        <f aca="false" t="array" ref="B88:B88">IF(A88="","",IFERROR(INDEX('CLM &amp; IM Mapping'!$B$2:$B$270,MATCH(TRIM(A88),'CLM &amp; IM Mapping'!$A$2:$A$270,0)),"Not Mapped"))</f>
        <v>Mohaideen DH</v>
      </c>
      <c r="C88" s="18" t="str">
        <f aca="false" t="array" ref="C88:C88">IF(A88="","",IFERROR(INDEX('CLM &amp; IM Mapping'!$C$2:$C$270,MATCH(TRIM(A88),'CLM &amp; IM Mapping'!$A$2:$A$270,0)),"Not Mapped"))</f>
        <v>Mohammed Akbar</v>
      </c>
      <c r="D88" s="18" t="s">
        <v>27</v>
      </c>
      <c r="E88" s="18" t="s">
        <v>314</v>
      </c>
      <c r="F88" s="18" t="s">
        <v>22</v>
      </c>
      <c r="G88" s="11" t="n">
        <v>5619</v>
      </c>
      <c r="H88" s="19" t="n">
        <v>0.7</v>
      </c>
      <c r="I88" s="20" t="n">
        <v>0.42</v>
      </c>
      <c r="J88" s="20" t="n">
        <v>0.84</v>
      </c>
      <c r="K88" s="20" t="n">
        <v>0.94</v>
      </c>
      <c r="L88" s="18"/>
      <c r="M88" s="12" t="n">
        <v>1</v>
      </c>
      <c r="N88" s="11"/>
      <c r="O88" s="11"/>
      <c r="P88" s="7"/>
      <c r="Q88" s="7"/>
      <c r="R88" s="7"/>
      <c r="S88" s="7"/>
      <c r="T88" s="7"/>
      <c r="U88" s="7"/>
      <c r="V88" s="7"/>
      <c r="W88" s="7"/>
      <c r="X88" s="7"/>
      <c r="Y88" s="7"/>
      <c r="Z88" s="22"/>
      <c r="AA88" s="22"/>
      <c r="AB88" s="22"/>
      <c r="AC88" s="22"/>
      <c r="AD88" s="7"/>
      <c r="AE88" s="7"/>
      <c r="AF88" s="7"/>
      <c r="AG88" s="7"/>
      <c r="AH88" s="7"/>
      <c r="AI88" s="7"/>
      <c r="AJ88" s="7"/>
      <c r="AK88" s="7"/>
      <c r="AL88" s="7"/>
    </row>
    <row r="89" customFormat="false" ht="15.75" hidden="false" customHeight="true" outlineLevel="0" collapsed="false">
      <c r="A89" s="18" t="s">
        <v>49</v>
      </c>
      <c r="B89" s="18" t="str">
        <f aca="false" t="array" ref="B89:B89">IF(A89="","",IFERROR(INDEX('CLM &amp; IM Mapping'!$B$2:$B$270,MATCH(TRIM(A89),'CLM &amp; IM Mapping'!$A$2:$A$270,0)),"Not Mapped"))</f>
        <v>Balaji G</v>
      </c>
      <c r="C89" s="18" t="str">
        <f aca="false" t="array" ref="C89:C89">IF(A89="","",IFERROR(INDEX('CLM &amp; IM Mapping'!$C$2:$C$270,MATCH(TRIM(A89),'CLM &amp; IM Mapping'!$A$2:$A$270,0)),"Not Mapped"))</f>
        <v>Mohammed Akbar</v>
      </c>
      <c r="D89" s="18" t="s">
        <v>27</v>
      </c>
      <c r="E89" s="18" t="s">
        <v>314</v>
      </c>
      <c r="F89" s="18" t="s">
        <v>22</v>
      </c>
      <c r="G89" s="11" t="n">
        <v>5336</v>
      </c>
      <c r="H89" s="19" t="n">
        <v>0.7</v>
      </c>
      <c r="I89" s="20" t="n">
        <v>0.42</v>
      </c>
      <c r="J89" s="20" t="n">
        <v>0.79</v>
      </c>
      <c r="K89" s="20" t="n">
        <v>0.95</v>
      </c>
      <c r="L89" s="20" t="n">
        <v>0.79</v>
      </c>
      <c r="M89" s="12" t="n">
        <v>5</v>
      </c>
      <c r="N89" s="11"/>
      <c r="O89" s="11"/>
      <c r="P89" s="7"/>
      <c r="Q89" s="7"/>
      <c r="R89" s="7"/>
      <c r="S89" s="7"/>
      <c r="T89" s="7"/>
      <c r="U89" s="7"/>
      <c r="V89" s="7"/>
      <c r="W89" s="7"/>
      <c r="X89" s="7"/>
      <c r="Y89" s="7"/>
      <c r="Z89" s="22"/>
      <c r="AA89" s="22"/>
      <c r="AB89" s="22"/>
      <c r="AC89" s="22"/>
      <c r="AD89" s="7"/>
      <c r="AE89" s="7"/>
      <c r="AF89" s="7"/>
      <c r="AG89" s="7"/>
      <c r="AH89" s="7"/>
      <c r="AI89" s="7"/>
      <c r="AJ89" s="7"/>
      <c r="AK89" s="7"/>
      <c r="AL89" s="7"/>
    </row>
    <row r="90" customFormat="false" ht="15.75" hidden="false" customHeight="true" outlineLevel="0" collapsed="false">
      <c r="A90" s="18" t="s">
        <v>71</v>
      </c>
      <c r="B90" s="18" t="str">
        <f aca="false" t="array" ref="B90:B90">IF(A90="","",IFERROR(INDEX('CLM &amp; IM Mapping'!$B$2:$B$270,MATCH(TRIM(A90),'CLM &amp; IM Mapping'!$A$2:$A$270,0)),"Not Mapped"))</f>
        <v>Manjunatha V</v>
      </c>
      <c r="C90" s="18" t="str">
        <f aca="false" t="array" ref="C90:C90">IF(A90="","",IFERROR(INDEX('CLM &amp; IM Mapping'!$C$2:$C$270,MATCH(TRIM(A90),'CLM &amp; IM Mapping'!$A$2:$A$270,0)),"Not Mapped"))</f>
        <v>Un Mapped</v>
      </c>
      <c r="D90" s="18" t="s">
        <v>27</v>
      </c>
      <c r="E90" s="18" t="s">
        <v>314</v>
      </c>
      <c r="F90" s="18" t="s">
        <v>22</v>
      </c>
      <c r="G90" s="11" t="n">
        <v>5714</v>
      </c>
      <c r="H90" s="19" t="n">
        <v>0.7</v>
      </c>
      <c r="I90" s="20" t="n">
        <v>0.43</v>
      </c>
      <c r="J90" s="20" t="n">
        <v>0.84</v>
      </c>
      <c r="K90" s="20" t="n">
        <v>0.97</v>
      </c>
      <c r="L90" s="20" t="n">
        <v>0.84</v>
      </c>
      <c r="M90" s="12" t="n">
        <v>4</v>
      </c>
      <c r="N90" s="11"/>
      <c r="O90" s="11"/>
      <c r="P90" s="7"/>
      <c r="Q90" s="7"/>
      <c r="R90" s="7"/>
      <c r="S90" s="7"/>
      <c r="T90" s="7"/>
      <c r="U90" s="7"/>
      <c r="V90" s="7"/>
      <c r="W90" s="7"/>
      <c r="X90" s="7"/>
      <c r="Y90" s="7"/>
      <c r="Z90" s="22"/>
      <c r="AA90" s="22"/>
      <c r="AB90" s="22"/>
      <c r="AC90" s="22"/>
      <c r="AD90" s="7"/>
      <c r="AE90" s="7"/>
      <c r="AF90" s="7"/>
      <c r="AG90" s="7"/>
      <c r="AH90" s="7"/>
      <c r="AI90" s="7"/>
      <c r="AJ90" s="7"/>
      <c r="AK90" s="7"/>
      <c r="AL90" s="7"/>
    </row>
    <row r="91" customFormat="false" ht="15.75" hidden="false" customHeight="true" outlineLevel="0" collapsed="false">
      <c r="A91" s="18" t="s">
        <v>89</v>
      </c>
      <c r="B91" s="18" t="str">
        <f aca="false" t="array" ref="B91:B91">IF(A91="","",IFERROR(INDEX('CLM &amp; IM Mapping'!$B$2:$B$270,MATCH(TRIM(A91),'CLM &amp; IM Mapping'!$A$2:$A$270,0)),"Not Mapped"))</f>
        <v>Girish N</v>
      </c>
      <c r="C91" s="18" t="str">
        <f aca="false" t="array" ref="C91:C91">IF(A91="","",IFERROR(INDEX('CLM &amp; IM Mapping'!$C$2:$C$270,MATCH(TRIM(A91),'CLM &amp; IM Mapping'!$A$2:$A$270,0)),"Not Mapped"))</f>
        <v>Un Mapped</v>
      </c>
      <c r="D91" s="18" t="s">
        <v>27</v>
      </c>
      <c r="E91" s="18" t="s">
        <v>314</v>
      </c>
      <c r="F91" s="18" t="s">
        <v>22</v>
      </c>
      <c r="G91" s="11" t="n">
        <v>5124</v>
      </c>
      <c r="H91" s="19" t="n">
        <v>0.7</v>
      </c>
      <c r="I91" s="20" t="n">
        <v>0.43</v>
      </c>
      <c r="J91" s="20" t="n">
        <v>0.84</v>
      </c>
      <c r="K91" s="20" t="n">
        <v>0.9</v>
      </c>
      <c r="L91" s="20" t="n">
        <v>0.84</v>
      </c>
      <c r="M91" s="12" t="n">
        <v>3</v>
      </c>
      <c r="N91" s="11"/>
      <c r="O91" s="11"/>
      <c r="P91" s="7"/>
      <c r="Q91" s="7"/>
      <c r="R91" s="7"/>
      <c r="S91" s="7"/>
      <c r="T91" s="7"/>
      <c r="U91" s="7"/>
      <c r="V91" s="7"/>
      <c r="W91" s="7"/>
      <c r="X91" s="7"/>
      <c r="Y91" s="7"/>
      <c r="Z91" s="22"/>
      <c r="AA91" s="22"/>
      <c r="AB91" s="22"/>
      <c r="AC91" s="22"/>
      <c r="AD91" s="7"/>
      <c r="AE91" s="7"/>
      <c r="AF91" s="7"/>
      <c r="AG91" s="7"/>
      <c r="AH91" s="7"/>
      <c r="AI91" s="7"/>
      <c r="AJ91" s="7"/>
      <c r="AK91" s="7"/>
      <c r="AL91" s="7"/>
    </row>
    <row r="92" customFormat="false" ht="15.75" hidden="false" customHeight="true" outlineLevel="0" collapsed="false">
      <c r="A92" s="18" t="s">
        <v>103</v>
      </c>
      <c r="B92" s="18" t="str">
        <f aca="false" t="array" ref="B92:B92">IF(A92="","",IFERROR(INDEX('CLM &amp; IM Mapping'!$B$2:$B$270,MATCH(TRIM(A92),'CLM &amp; IM Mapping'!$A$2:$A$270,0)),"Not Mapped"))</f>
        <v>Arun Raj</v>
      </c>
      <c r="C92" s="18" t="str">
        <f aca="false" t="array" ref="C92:C92">IF(A92="","",IFERROR(INDEX('CLM &amp; IM Mapping'!$C$2:$C$270,MATCH(TRIM(A92),'CLM &amp; IM Mapping'!$A$2:$A$270,0)),"Not Mapped"))</f>
        <v>Simon Manoharan</v>
      </c>
      <c r="D92" s="18" t="s">
        <v>24</v>
      </c>
      <c r="E92" s="18" t="s">
        <v>316</v>
      </c>
      <c r="F92" s="18" t="s">
        <v>22</v>
      </c>
      <c r="G92" s="11" t="n">
        <v>13185</v>
      </c>
      <c r="H92" s="19" t="n">
        <v>0.7</v>
      </c>
      <c r="I92" s="20" t="n">
        <v>0.43</v>
      </c>
      <c r="J92" s="20" t="n">
        <v>1</v>
      </c>
      <c r="K92" s="20" t="n">
        <v>1</v>
      </c>
      <c r="L92" s="20" t="n">
        <v>1</v>
      </c>
      <c r="M92" s="12" t="n">
        <v>4</v>
      </c>
      <c r="N92" s="11"/>
      <c r="O92" s="11"/>
      <c r="P92" s="7"/>
      <c r="Q92" s="7"/>
      <c r="R92" s="7"/>
      <c r="S92" s="7"/>
      <c r="T92" s="7"/>
      <c r="U92" s="7"/>
      <c r="V92" s="7"/>
      <c r="W92" s="7"/>
      <c r="X92" s="7"/>
      <c r="Y92" s="7"/>
      <c r="Z92" s="22"/>
      <c r="AA92" s="22"/>
      <c r="AB92" s="22"/>
      <c r="AC92" s="22"/>
      <c r="AD92" s="7"/>
      <c r="AE92" s="7"/>
      <c r="AF92" s="7"/>
      <c r="AG92" s="7"/>
      <c r="AH92" s="7"/>
      <c r="AI92" s="7"/>
      <c r="AJ92" s="7"/>
      <c r="AK92" s="7"/>
      <c r="AL92" s="7"/>
    </row>
    <row r="93" customFormat="false" ht="15.75" hidden="false" customHeight="true" outlineLevel="0" collapsed="false">
      <c r="A93" s="18" t="s">
        <v>54</v>
      </c>
      <c r="B93" s="18" t="str">
        <f aca="false" t="array" ref="B93:B93">IF(A93="","",IFERROR(INDEX('CLM &amp; IM Mapping'!$B$2:$B$270,MATCH(TRIM(A93),'CLM &amp; IM Mapping'!$A$2:$A$270,0)),"Not Mapped"))</f>
        <v>Suhas N</v>
      </c>
      <c r="C93" s="18" t="str">
        <f aca="false" t="array" ref="C93:C93">IF(A93="","",IFERROR(INDEX('CLM &amp; IM Mapping'!$C$2:$C$270,MATCH(TRIM(A93),'CLM &amp; IM Mapping'!$A$2:$A$270,0)),"Not Mapped"))</f>
        <v>Aravind S</v>
      </c>
      <c r="D93" s="18" t="s">
        <v>27</v>
      </c>
      <c r="E93" s="18" t="s">
        <v>314</v>
      </c>
      <c r="F93" s="18" t="s">
        <v>22</v>
      </c>
      <c r="G93" s="11" t="n">
        <v>6444</v>
      </c>
      <c r="H93" s="19" t="n">
        <v>0.7</v>
      </c>
      <c r="I93" s="20" t="n">
        <v>0.45</v>
      </c>
      <c r="J93" s="20" t="n">
        <v>0.82</v>
      </c>
      <c r="K93" s="20" t="n">
        <v>0.96</v>
      </c>
      <c r="L93" s="20" t="n">
        <v>0.82</v>
      </c>
      <c r="M93" s="12" t="n">
        <v>4</v>
      </c>
      <c r="N93" s="11"/>
      <c r="O93" s="11"/>
      <c r="P93" s="7"/>
      <c r="Q93" s="7"/>
      <c r="R93" s="7"/>
      <c r="S93" s="7"/>
      <c r="T93" s="7"/>
      <c r="U93" s="7"/>
      <c r="V93" s="7"/>
      <c r="W93" s="7"/>
      <c r="X93" s="7"/>
      <c r="Y93" s="7"/>
      <c r="Z93" s="22"/>
      <c r="AA93" s="22"/>
      <c r="AB93" s="22"/>
      <c r="AC93" s="22"/>
      <c r="AD93" s="7"/>
      <c r="AE93" s="7"/>
      <c r="AF93" s="7"/>
      <c r="AG93" s="7"/>
      <c r="AH93" s="7"/>
      <c r="AI93" s="7"/>
      <c r="AJ93" s="7"/>
      <c r="AK93" s="7"/>
      <c r="AL93" s="7"/>
    </row>
    <row r="94" customFormat="false" ht="15.75" hidden="false" customHeight="true" outlineLevel="0" collapsed="false">
      <c r="A94" s="18" t="s">
        <v>213</v>
      </c>
      <c r="B94" s="18" t="str">
        <f aca="false" t="array" ref="B94:B94">IF(A94="","",IFERROR(INDEX('CLM &amp; IM Mapping'!$B$2:$B$270,MATCH(TRIM(A94),'CLM &amp; IM Mapping'!$A$2:$A$270,0)),"Not Mapped"))</f>
        <v>Rizwan Ahmed</v>
      </c>
      <c r="C94" s="18" t="str">
        <f aca="false" t="array" ref="C94:C94">IF(A94="","",IFERROR(INDEX('CLM &amp; IM Mapping'!$C$2:$C$270,MATCH(TRIM(A94),'CLM &amp; IM Mapping'!$A$2:$A$270,0)),"Not Mapped"))</f>
        <v>Un Mapped</v>
      </c>
      <c r="D94" s="18" t="s">
        <v>27</v>
      </c>
      <c r="E94" s="18" t="s">
        <v>316</v>
      </c>
      <c r="F94" s="18" t="s">
        <v>22</v>
      </c>
      <c r="G94" s="11" t="n">
        <v>4945</v>
      </c>
      <c r="H94" s="19" t="n">
        <v>0.7</v>
      </c>
      <c r="I94" s="20" t="n">
        <v>0.46</v>
      </c>
      <c r="J94" s="20" t="n">
        <v>0.94</v>
      </c>
      <c r="K94" s="20" t="n">
        <v>0.99</v>
      </c>
      <c r="L94" s="20" t="n">
        <v>0.94</v>
      </c>
      <c r="M94" s="12" t="n">
        <v>1</v>
      </c>
      <c r="N94" s="11"/>
      <c r="O94" s="11"/>
      <c r="P94" s="7"/>
      <c r="Q94" s="7"/>
      <c r="R94" s="7"/>
      <c r="S94" s="7"/>
      <c r="T94" s="7"/>
      <c r="U94" s="7"/>
      <c r="V94" s="7"/>
      <c r="W94" s="7"/>
      <c r="X94" s="7"/>
      <c r="Y94" s="7"/>
      <c r="Z94" s="22"/>
      <c r="AA94" s="22"/>
      <c r="AB94" s="22"/>
      <c r="AC94" s="22"/>
      <c r="AD94" s="7"/>
      <c r="AE94" s="7"/>
      <c r="AF94" s="7"/>
      <c r="AG94" s="7"/>
      <c r="AH94" s="7"/>
      <c r="AI94" s="7"/>
      <c r="AJ94" s="7"/>
      <c r="AK94" s="7"/>
      <c r="AL94" s="7"/>
    </row>
    <row r="95" customFormat="false" ht="15.75" hidden="false" customHeight="true" outlineLevel="0" collapsed="false">
      <c r="A95" s="18" t="s">
        <v>180</v>
      </c>
      <c r="B95" s="18" t="str">
        <f aca="false" t="array" ref="B95:B95">IF(A95="","",IFERROR(INDEX('CLM &amp; IM Mapping'!$B$2:$B$270,MATCH(TRIM(A95),'CLM &amp; IM Mapping'!$A$2:$A$270,0)),"Not Mapped"))</f>
        <v>Ashwath S</v>
      </c>
      <c r="C95" s="18" t="str">
        <f aca="false" t="array" ref="C95:C95">IF(A95="","",IFERROR(INDEX('CLM &amp; IM Mapping'!$C$2:$C$270,MATCH(TRIM(A95),'CLM &amp; IM Mapping'!$A$2:$A$270,0)),"Not Mapped"))</f>
        <v>Kantha Kumar</v>
      </c>
      <c r="D95" s="18" t="s">
        <v>27</v>
      </c>
      <c r="E95" s="18" t="s">
        <v>314</v>
      </c>
      <c r="F95" s="18" t="s">
        <v>22</v>
      </c>
      <c r="G95" s="11" t="n">
        <v>5883</v>
      </c>
      <c r="H95" s="19" t="n">
        <v>0.7</v>
      </c>
      <c r="I95" s="20" t="n">
        <v>0.48</v>
      </c>
      <c r="J95" s="20" t="n">
        <v>0.88</v>
      </c>
      <c r="K95" s="20" t="n">
        <v>0.94</v>
      </c>
      <c r="L95" s="20" t="n">
        <v>0.88</v>
      </c>
      <c r="M95" s="12" t="n">
        <v>2</v>
      </c>
      <c r="N95" s="11"/>
      <c r="O95" s="11"/>
      <c r="P95" s="7"/>
      <c r="Q95" s="7"/>
      <c r="R95" s="7"/>
      <c r="S95" s="7"/>
      <c r="T95" s="7"/>
      <c r="U95" s="7"/>
      <c r="V95" s="7"/>
      <c r="W95" s="7"/>
      <c r="X95" s="7"/>
      <c r="Y95" s="7"/>
      <c r="Z95" s="22"/>
      <c r="AA95" s="22"/>
      <c r="AB95" s="22"/>
      <c r="AC95" s="22"/>
      <c r="AD95" s="7"/>
      <c r="AE95" s="7"/>
      <c r="AF95" s="7"/>
      <c r="AG95" s="7"/>
      <c r="AH95" s="7"/>
      <c r="AI95" s="7"/>
      <c r="AJ95" s="7"/>
      <c r="AK95" s="7"/>
      <c r="AL95" s="7"/>
    </row>
    <row r="96" customFormat="false" ht="15.75" hidden="false" customHeight="true" outlineLevel="0" collapsed="false">
      <c r="A96" s="18" t="s">
        <v>62</v>
      </c>
      <c r="B96" s="18" t="str">
        <f aca="false" t="array" ref="B96:B96">IF(A96="","",IFERROR(INDEX('CLM &amp; IM Mapping'!$B$2:$B$270,MATCH(TRIM(A96),'CLM &amp; IM Mapping'!$A$2:$A$270,0)),"Not Mapped"))</f>
        <v>Silambarasan E</v>
      </c>
      <c r="C96" s="18" t="str">
        <f aca="false" t="array" ref="C96:C96">IF(A96="","",IFERROR(INDEX('CLM &amp; IM Mapping'!$C$2:$C$270,MATCH(TRIM(A96),'CLM &amp; IM Mapping'!$A$2:$A$270,0)),"Not Mapped"))</f>
        <v>Arivind S</v>
      </c>
      <c r="D96" s="18" t="s">
        <v>27</v>
      </c>
      <c r="E96" s="18" t="s">
        <v>314</v>
      </c>
      <c r="F96" s="18" t="s">
        <v>22</v>
      </c>
      <c r="G96" s="11" t="n">
        <v>6034</v>
      </c>
      <c r="H96" s="19" t="n">
        <v>0.7</v>
      </c>
      <c r="I96" s="20" t="n">
        <v>0.48</v>
      </c>
      <c r="J96" s="20" t="n">
        <v>0.86</v>
      </c>
      <c r="K96" s="20" t="n">
        <v>0.95</v>
      </c>
      <c r="L96" s="20" t="n">
        <v>0.86</v>
      </c>
      <c r="M96" s="12" t="n">
        <v>6</v>
      </c>
      <c r="N96" s="11"/>
      <c r="O96" s="11"/>
      <c r="P96" s="7"/>
      <c r="Q96" s="7"/>
      <c r="R96" s="7"/>
      <c r="S96" s="7"/>
      <c r="T96" s="7"/>
      <c r="U96" s="7"/>
      <c r="V96" s="7"/>
      <c r="W96" s="7"/>
      <c r="X96" s="7"/>
      <c r="Y96" s="7"/>
      <c r="Z96" s="22"/>
      <c r="AA96" s="22"/>
      <c r="AB96" s="22"/>
      <c r="AC96" s="22"/>
      <c r="AD96" s="7"/>
      <c r="AE96" s="7"/>
      <c r="AF96" s="7"/>
      <c r="AG96" s="7"/>
      <c r="AH96" s="7"/>
      <c r="AI96" s="7"/>
      <c r="AJ96" s="7"/>
      <c r="AK96" s="7"/>
      <c r="AL96" s="7"/>
    </row>
    <row r="97" customFormat="false" ht="15.75" hidden="false" customHeight="true" outlineLevel="0" collapsed="false">
      <c r="A97" s="18" t="s">
        <v>217</v>
      </c>
      <c r="B97" s="18" t="str">
        <f aca="false" t="array" ref="B97:B97">IF(A97="","",IFERROR(INDEX('CLM &amp; IM Mapping'!$B$2:$B$270,MATCH(TRIM(A97),'CLM &amp; IM Mapping'!$A$2:$A$270,0)),"Not Mapped"))</f>
        <v>Richard Harris</v>
      </c>
      <c r="C97" s="18" t="str">
        <f aca="false" t="array" ref="C97:C97">IF(A97="","",IFERROR(INDEX('CLM &amp; IM Mapping'!$C$2:$C$270,MATCH(TRIM(A97),'CLM &amp; IM Mapping'!$A$2:$A$270,0)),"Not Mapped"))</f>
        <v>Kantha Kumar</v>
      </c>
      <c r="D97" s="18" t="s">
        <v>27</v>
      </c>
      <c r="E97" s="18" t="s">
        <v>314</v>
      </c>
      <c r="F97" s="18" t="s">
        <v>22</v>
      </c>
      <c r="G97" s="11" t="n">
        <v>7642</v>
      </c>
      <c r="H97" s="19" t="n">
        <v>0.7</v>
      </c>
      <c r="I97" s="20" t="n">
        <v>0.48</v>
      </c>
      <c r="J97" s="20" t="n">
        <v>0.85</v>
      </c>
      <c r="K97" s="20" t="n">
        <v>0.97</v>
      </c>
      <c r="L97" s="20" t="n">
        <v>0.85</v>
      </c>
      <c r="M97" s="12" t="n">
        <v>5</v>
      </c>
      <c r="N97" s="11"/>
      <c r="O97" s="11"/>
      <c r="P97" s="7"/>
      <c r="Q97" s="7"/>
      <c r="R97" s="7"/>
      <c r="S97" s="7"/>
      <c r="T97" s="7"/>
      <c r="U97" s="7"/>
      <c r="V97" s="7"/>
      <c r="W97" s="7"/>
      <c r="X97" s="7"/>
      <c r="Y97" s="7"/>
      <c r="Z97" s="22"/>
      <c r="AA97" s="22"/>
      <c r="AB97" s="22"/>
      <c r="AC97" s="22"/>
      <c r="AD97" s="7"/>
      <c r="AE97" s="7"/>
      <c r="AF97" s="7"/>
      <c r="AG97" s="7"/>
      <c r="AH97" s="7"/>
      <c r="AI97" s="7"/>
      <c r="AJ97" s="7"/>
      <c r="AK97" s="7"/>
      <c r="AL97" s="7"/>
    </row>
    <row r="98" customFormat="false" ht="15.75" hidden="false" customHeight="true" outlineLevel="0" collapsed="false">
      <c r="A98" s="18" t="s">
        <v>260</v>
      </c>
      <c r="B98" s="18" t="str">
        <f aca="false" t="array" ref="B98:B98">IF(A98="","",IFERROR(INDEX('CLM &amp; IM Mapping'!$B$2:$B$270,MATCH(TRIM(A98),'CLM &amp; IM Mapping'!$A$2:$A$270,0)),"Not Mapped"))</f>
        <v>Silambarasan E</v>
      </c>
      <c r="C98" s="18" t="str">
        <f aca="false" t="array" ref="C98:C98">IF(A98="","",IFERROR(INDEX('CLM &amp; IM Mapping'!$C$2:$C$270,MATCH(TRIM(A98),'CLM &amp; IM Mapping'!$A$2:$A$270,0)),"Not Mapped"))</f>
        <v>Arivind S</v>
      </c>
      <c r="D98" s="18" t="s">
        <v>27</v>
      </c>
      <c r="E98" s="18" t="s">
        <v>314</v>
      </c>
      <c r="F98" s="18" t="s">
        <v>22</v>
      </c>
      <c r="G98" s="11" t="n">
        <v>5228</v>
      </c>
      <c r="H98" s="19" t="n">
        <v>0.7</v>
      </c>
      <c r="I98" s="20" t="n">
        <v>0.48</v>
      </c>
      <c r="J98" s="20" t="n">
        <v>0.86</v>
      </c>
      <c r="K98" s="20" t="n">
        <v>0.97</v>
      </c>
      <c r="L98" s="20" t="n">
        <v>0.86</v>
      </c>
      <c r="M98" s="12" t="n">
        <v>5</v>
      </c>
      <c r="N98" s="11"/>
      <c r="O98" s="11"/>
      <c r="P98" s="7"/>
      <c r="Q98" s="7"/>
      <c r="R98" s="7"/>
      <c r="S98" s="7"/>
      <c r="T98" s="7"/>
      <c r="U98" s="7"/>
      <c r="V98" s="7"/>
      <c r="W98" s="7"/>
      <c r="X98" s="7"/>
      <c r="Y98" s="7"/>
      <c r="Z98" s="22"/>
      <c r="AA98" s="22"/>
      <c r="AB98" s="22"/>
      <c r="AC98" s="22"/>
      <c r="AD98" s="7"/>
      <c r="AE98" s="7"/>
      <c r="AF98" s="7"/>
      <c r="AG98" s="7"/>
      <c r="AH98" s="7"/>
      <c r="AI98" s="7"/>
      <c r="AJ98" s="7"/>
      <c r="AK98" s="7"/>
      <c r="AL98" s="7"/>
    </row>
    <row r="99" customFormat="false" ht="15.75" hidden="false" customHeight="true" outlineLevel="0" collapsed="false">
      <c r="A99" s="18" t="s">
        <v>263</v>
      </c>
      <c r="B99" s="18" t="str">
        <f aca="false" t="array" ref="B99:B99">IF(A99="","",IFERROR(INDEX('CLM &amp; IM Mapping'!$B$2:$B$270,MATCH(TRIM(A99),'CLM &amp; IM Mapping'!$A$2:$A$270,0)),"Not Mapped"))</f>
        <v>Vishnu V</v>
      </c>
      <c r="C99" s="18" t="str">
        <f aca="false" t="array" ref="C99:C99">IF(A99="","",IFERROR(INDEX('CLM &amp; IM Mapping'!$C$2:$C$270,MATCH(TRIM(A99),'CLM &amp; IM Mapping'!$A$2:$A$270,0)),"Not Mapped"))</f>
        <v>Arivind S</v>
      </c>
      <c r="D99" s="18" t="s">
        <v>27</v>
      </c>
      <c r="E99" s="18" t="s">
        <v>314</v>
      </c>
      <c r="F99" s="18" t="s">
        <v>104</v>
      </c>
      <c r="G99" s="11" t="n">
        <v>7790</v>
      </c>
      <c r="H99" s="19" t="n">
        <v>0.7</v>
      </c>
      <c r="I99" s="20" t="n">
        <v>0.48</v>
      </c>
      <c r="J99" s="20" t="n">
        <v>0.88</v>
      </c>
      <c r="K99" s="20" t="n">
        <v>0.97</v>
      </c>
      <c r="L99" s="20" t="n">
        <v>0.88</v>
      </c>
      <c r="M99" s="12" t="n">
        <v>3</v>
      </c>
      <c r="N99" s="11"/>
      <c r="O99" s="11"/>
      <c r="P99" s="7"/>
      <c r="Q99" s="7"/>
      <c r="R99" s="7"/>
      <c r="S99" s="7"/>
      <c r="T99" s="7"/>
      <c r="U99" s="7"/>
      <c r="V99" s="7"/>
      <c r="W99" s="7"/>
      <c r="X99" s="7"/>
      <c r="Y99" s="7"/>
      <c r="Z99" s="22"/>
      <c r="AA99" s="22"/>
      <c r="AB99" s="22"/>
      <c r="AC99" s="22"/>
      <c r="AD99" s="7"/>
      <c r="AE99" s="7"/>
      <c r="AF99" s="7"/>
      <c r="AG99" s="7"/>
      <c r="AH99" s="7"/>
      <c r="AI99" s="7"/>
      <c r="AJ99" s="7"/>
      <c r="AK99" s="7"/>
      <c r="AL99" s="7"/>
    </row>
    <row r="100" customFormat="false" ht="15.75" hidden="false" customHeight="true" outlineLevel="0" collapsed="false">
      <c r="A100" s="18" t="s">
        <v>290</v>
      </c>
      <c r="B100" s="18" t="str">
        <f aca="false" t="array" ref="B100:B100">IF(A100="","",IFERROR(INDEX('CLM &amp; IM Mapping'!$B$2:$B$270,MATCH(TRIM(A100),'CLM &amp; IM Mapping'!$A$2:$A$270,0)),"Not Mapped"))</f>
        <v>Basil Scariya</v>
      </c>
      <c r="C100" s="18" t="str">
        <f aca="false" t="array" ref="C100:C100">IF(A100="","",IFERROR(INDEX('CLM &amp; IM Mapping'!$C$2:$C$270,MATCH(TRIM(A100),'CLM &amp; IM Mapping'!$A$2:$A$270,0)),"Not Mapped"))</f>
        <v>Prakash BS</v>
      </c>
      <c r="D100" s="18" t="s">
        <v>27</v>
      </c>
      <c r="E100" s="18" t="s">
        <v>314</v>
      </c>
      <c r="F100" s="18" t="s">
        <v>22</v>
      </c>
      <c r="G100" s="11" t="n">
        <v>5311</v>
      </c>
      <c r="H100" s="19" t="n">
        <v>0.7</v>
      </c>
      <c r="I100" s="20" t="n">
        <v>0.49</v>
      </c>
      <c r="J100" s="20" t="n">
        <v>0.85</v>
      </c>
      <c r="K100" s="20" t="n">
        <v>0.96</v>
      </c>
      <c r="L100" s="20" t="n">
        <v>0.85</v>
      </c>
      <c r="M100" s="12" t="n">
        <v>3</v>
      </c>
      <c r="N100" s="11"/>
      <c r="O100" s="1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22"/>
      <c r="AA100" s="22"/>
      <c r="AB100" s="22"/>
      <c r="AC100" s="22"/>
      <c r="AD100" s="7"/>
      <c r="AE100" s="7"/>
      <c r="AF100" s="7"/>
      <c r="AG100" s="7"/>
      <c r="AH100" s="7"/>
      <c r="AI100" s="7"/>
      <c r="AJ100" s="7"/>
      <c r="AK100" s="7"/>
      <c r="AL100" s="7"/>
    </row>
    <row r="101" customFormat="false" ht="15.75" hidden="false" customHeight="true" outlineLevel="0" collapsed="false">
      <c r="A101" s="18" t="s">
        <v>232</v>
      </c>
      <c r="B101" s="18" t="str">
        <f aca="false" t="array" ref="B101:B101">IF(A101="","",IFERROR(INDEX('CLM &amp; IM Mapping'!$B$2:$B$270,MATCH(TRIM(A101),'CLM &amp; IM Mapping'!$A$2:$A$270,0)),"Not Mapped"))</f>
        <v>Silambarasan E</v>
      </c>
      <c r="C101" s="18" t="str">
        <f aca="false" t="array" ref="C101:C101">IF(A101="","",IFERROR(INDEX('CLM &amp; IM Mapping'!$C$2:$C$270,MATCH(TRIM(A101),'CLM &amp; IM Mapping'!$A$2:$A$270,0)),"Not Mapped"))</f>
        <v>Arivind S</v>
      </c>
      <c r="D101" s="18" t="s">
        <v>27</v>
      </c>
      <c r="E101" s="18" t="s">
        <v>314</v>
      </c>
      <c r="F101" s="18" t="s">
        <v>22</v>
      </c>
      <c r="G101" s="11" t="n">
        <v>6145</v>
      </c>
      <c r="H101" s="19" t="n">
        <v>0.7</v>
      </c>
      <c r="I101" s="20" t="n">
        <v>0.49</v>
      </c>
      <c r="J101" s="20" t="n">
        <v>0.87</v>
      </c>
      <c r="K101" s="20" t="n">
        <v>0.97</v>
      </c>
      <c r="L101" s="20" t="n">
        <v>0.87</v>
      </c>
      <c r="M101" s="12" t="n">
        <v>3</v>
      </c>
      <c r="N101" s="11"/>
      <c r="O101" s="1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22"/>
      <c r="AA101" s="22"/>
      <c r="AB101" s="22"/>
      <c r="AC101" s="22"/>
      <c r="AD101" s="7"/>
      <c r="AE101" s="7"/>
      <c r="AF101" s="7"/>
      <c r="AG101" s="7"/>
      <c r="AH101" s="7"/>
      <c r="AI101" s="7"/>
      <c r="AJ101" s="7"/>
      <c r="AK101" s="7"/>
      <c r="AL101" s="7"/>
    </row>
    <row r="102" customFormat="false" ht="15.75" hidden="false" customHeight="true" outlineLevel="0" collapsed="false">
      <c r="A102" s="18" t="s">
        <v>72</v>
      </c>
      <c r="B102" s="18" t="str">
        <f aca="false" t="array" ref="B102:B102">IF(A102="","",IFERROR(INDEX('CLM &amp; IM Mapping'!$B$2:$B$270,MATCH(TRIM(A102),'CLM &amp; IM Mapping'!$A$2:$A$270,0)),"Not Mapped"))</f>
        <v>Akshay P</v>
      </c>
      <c r="C102" s="18" t="str">
        <f aca="false" t="array" ref="C102:C102">IF(A102="","",IFERROR(INDEX('CLM &amp; IM Mapping'!$C$2:$C$270,MATCH(TRIM(A102),'CLM &amp; IM Mapping'!$A$2:$A$270,0)),"Not Mapped"))</f>
        <v>Srittam Dhal</v>
      </c>
      <c r="D102" s="18" t="s">
        <v>27</v>
      </c>
      <c r="E102" s="18" t="s">
        <v>314</v>
      </c>
      <c r="F102" s="18" t="s">
        <v>22</v>
      </c>
      <c r="G102" s="11" t="n">
        <v>6948</v>
      </c>
      <c r="H102" s="19" t="n">
        <v>0.7</v>
      </c>
      <c r="I102" s="20" t="n">
        <v>0.49</v>
      </c>
      <c r="J102" s="20" t="n">
        <v>0.89</v>
      </c>
      <c r="K102" s="20" t="n">
        <v>0.96</v>
      </c>
      <c r="L102" s="20" t="n">
        <v>0.89</v>
      </c>
      <c r="M102" s="12" t="n">
        <v>5</v>
      </c>
      <c r="N102" s="11"/>
      <c r="O102" s="1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22"/>
      <c r="AA102" s="22"/>
      <c r="AB102" s="22"/>
      <c r="AC102" s="22"/>
      <c r="AD102" s="7"/>
      <c r="AE102" s="7"/>
      <c r="AF102" s="7"/>
      <c r="AG102" s="7"/>
      <c r="AH102" s="7"/>
      <c r="AI102" s="7"/>
      <c r="AJ102" s="7"/>
      <c r="AK102" s="7"/>
      <c r="AL102" s="7"/>
    </row>
    <row r="103" customFormat="false" ht="15.75" hidden="false" customHeight="true" outlineLevel="0" collapsed="false">
      <c r="A103" s="18" t="s">
        <v>59</v>
      </c>
      <c r="B103" s="18" t="str">
        <f aca="false" t="array" ref="B103:B103">IF(A103="","",IFERROR(INDEX('CLM &amp; IM Mapping'!$B$2:$B$270,MATCH(TRIM(A103),'CLM &amp; IM Mapping'!$A$2:$A$270,0)),"Not Mapped"))</f>
        <v>Adhavan Subramani</v>
      </c>
      <c r="C103" s="18" t="str">
        <f aca="false" t="array" ref="C103:C103">IF(A103="","",IFERROR(INDEX('CLM &amp; IM Mapping'!$C$2:$C$270,MATCH(TRIM(A103),'CLM &amp; IM Mapping'!$A$2:$A$270,0)),"Not Mapped"))</f>
        <v>Mohammed Akbar</v>
      </c>
      <c r="D103" s="18" t="s">
        <v>27</v>
      </c>
      <c r="E103" s="18" t="s">
        <v>314</v>
      </c>
      <c r="F103" s="18" t="s">
        <v>22</v>
      </c>
      <c r="G103" s="11" t="n">
        <v>5657</v>
      </c>
      <c r="H103" s="19" t="n">
        <v>0.7</v>
      </c>
      <c r="I103" s="20" t="n">
        <v>0.49</v>
      </c>
      <c r="J103" s="20" t="n">
        <v>0.75</v>
      </c>
      <c r="K103" s="20" t="n">
        <v>0.91</v>
      </c>
      <c r="L103" s="20" t="n">
        <v>0.75</v>
      </c>
      <c r="M103" s="12" t="n">
        <v>4</v>
      </c>
      <c r="N103" s="11"/>
      <c r="O103" s="1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22"/>
      <c r="AA103" s="22"/>
      <c r="AB103" s="22"/>
      <c r="AC103" s="22"/>
      <c r="AD103" s="7"/>
      <c r="AE103" s="7"/>
      <c r="AF103" s="7"/>
      <c r="AG103" s="7"/>
      <c r="AH103" s="7"/>
      <c r="AI103" s="7"/>
      <c r="AJ103" s="7"/>
      <c r="AK103" s="7"/>
      <c r="AL103" s="7"/>
    </row>
    <row r="104" customFormat="false" ht="15.75" hidden="false" customHeight="true" outlineLevel="0" collapsed="false">
      <c r="A104" s="18" t="s">
        <v>241</v>
      </c>
      <c r="B104" s="18" t="str">
        <f aca="false" t="array" ref="B104:B104">IF(A104="","",IFERROR(INDEX('CLM &amp; IM Mapping'!$B$2:$B$270,MATCH(TRIM(A104),'CLM &amp; IM Mapping'!$A$2:$A$270,0)),"Not Mapped"))</f>
        <v>Sundaresh S</v>
      </c>
      <c r="C104" s="18" t="str">
        <f aca="false" t="array" ref="C104:C104">IF(A104="","",IFERROR(INDEX('CLM &amp; IM Mapping'!$C$2:$C$270,MATCH(TRIM(A104),'CLM &amp; IM Mapping'!$A$2:$A$270,0)),"Not Mapped"))</f>
        <v>Un Mapped</v>
      </c>
      <c r="D104" s="18" t="s">
        <v>27</v>
      </c>
      <c r="E104" s="18" t="s">
        <v>314</v>
      </c>
      <c r="F104" s="18" t="s">
        <v>22</v>
      </c>
      <c r="G104" s="11" t="n">
        <v>7106</v>
      </c>
      <c r="H104" s="19" t="n">
        <v>0.7</v>
      </c>
      <c r="I104" s="20" t="n">
        <v>0.49</v>
      </c>
      <c r="J104" s="20" t="n">
        <v>0.97</v>
      </c>
      <c r="K104" s="20" t="n">
        <v>0.99</v>
      </c>
      <c r="L104" s="18"/>
      <c r="M104" s="12" t="n">
        <v>2</v>
      </c>
      <c r="N104" s="11"/>
      <c r="O104" s="1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22"/>
      <c r="AA104" s="22"/>
      <c r="AB104" s="22"/>
      <c r="AC104" s="22"/>
      <c r="AD104" s="7"/>
      <c r="AE104" s="7"/>
      <c r="AF104" s="7"/>
      <c r="AG104" s="7"/>
      <c r="AH104" s="7"/>
      <c r="AI104" s="7"/>
      <c r="AJ104" s="7"/>
      <c r="AK104" s="7"/>
      <c r="AL104" s="7"/>
    </row>
    <row r="105" customFormat="false" ht="15.75" hidden="false" customHeight="true" outlineLevel="0" collapsed="false">
      <c r="A105" s="18" t="s">
        <v>271</v>
      </c>
      <c r="B105" s="18" t="str">
        <f aca="false" t="array" ref="B105:B105">IF(A105="","",IFERROR(INDEX('CLM &amp; IM Mapping'!$B$2:$B$270,MATCH(TRIM(A105),'CLM &amp; IM Mapping'!$A$2:$A$270,0)),"Not Mapped"))</f>
        <v>Manjunatha V</v>
      </c>
      <c r="C105" s="18" t="str">
        <f aca="false" t="array" ref="C105:C105">IF(A105="","",IFERROR(INDEX('CLM &amp; IM Mapping'!$C$2:$C$270,MATCH(TRIM(A105),'CLM &amp; IM Mapping'!$A$2:$A$270,0)),"Not Mapped"))</f>
        <v>Un Mapped</v>
      </c>
      <c r="D105" s="18" t="s">
        <v>27</v>
      </c>
      <c r="E105" s="18" t="s">
        <v>316</v>
      </c>
      <c r="F105" s="18" t="s">
        <v>22</v>
      </c>
      <c r="G105" s="11" t="n">
        <v>5022</v>
      </c>
      <c r="H105" s="19" t="n">
        <v>0.7</v>
      </c>
      <c r="I105" s="20" t="n">
        <v>0.5</v>
      </c>
      <c r="J105" s="20" t="n">
        <v>0.79</v>
      </c>
      <c r="K105" s="20" t="n">
        <v>0.93</v>
      </c>
      <c r="L105" s="20" t="n">
        <v>0.79</v>
      </c>
      <c r="M105" s="12" t="n">
        <v>4</v>
      </c>
      <c r="N105" s="11"/>
      <c r="O105" s="1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22"/>
      <c r="AA105" s="22"/>
      <c r="AB105" s="22"/>
      <c r="AC105" s="22"/>
      <c r="AD105" s="7"/>
      <c r="AE105" s="7"/>
      <c r="AF105" s="7"/>
      <c r="AG105" s="7"/>
      <c r="AH105" s="7"/>
      <c r="AI105" s="7"/>
      <c r="AJ105" s="7"/>
      <c r="AK105" s="7"/>
      <c r="AL105" s="7"/>
    </row>
    <row r="106" customFormat="false" ht="15.75" hidden="false" customHeight="true" outlineLevel="0" collapsed="false">
      <c r="A106" s="18" t="s">
        <v>50</v>
      </c>
      <c r="B106" s="18" t="str">
        <f aca="false" t="array" ref="B106:B106">IF(A106="","",IFERROR(INDEX('CLM &amp; IM Mapping'!$B$2:$B$270,MATCH(TRIM(A106),'CLM &amp; IM Mapping'!$A$2:$A$270,0)),"Not Mapped"))</f>
        <v>Ashwath S</v>
      </c>
      <c r="C106" s="18" t="str">
        <f aca="false" t="array" ref="C106:C106">IF(A106="","",IFERROR(INDEX('CLM &amp; IM Mapping'!$C$2:$C$270,MATCH(TRIM(A106),'CLM &amp; IM Mapping'!$A$2:$A$270,0)),"Not Mapped"))</f>
        <v>Kantha Kumar</v>
      </c>
      <c r="D106" s="18" t="s">
        <v>27</v>
      </c>
      <c r="E106" s="18" t="s">
        <v>314</v>
      </c>
      <c r="F106" s="18" t="s">
        <v>22</v>
      </c>
      <c r="G106" s="11" t="n">
        <v>5334</v>
      </c>
      <c r="H106" s="19" t="n">
        <v>0.7</v>
      </c>
      <c r="I106" s="20" t="n">
        <v>0.51</v>
      </c>
      <c r="J106" s="20" t="n">
        <v>0.86</v>
      </c>
      <c r="K106" s="20" t="n">
        <v>0.96</v>
      </c>
      <c r="L106" s="20" t="n">
        <v>0.86</v>
      </c>
      <c r="M106" s="12" t="n">
        <v>4</v>
      </c>
      <c r="N106" s="11"/>
      <c r="O106" s="1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22"/>
      <c r="AA106" s="22"/>
      <c r="AB106" s="22"/>
      <c r="AC106" s="22"/>
      <c r="AD106" s="7"/>
      <c r="AE106" s="7"/>
      <c r="AF106" s="7"/>
      <c r="AG106" s="7"/>
      <c r="AH106" s="7"/>
      <c r="AI106" s="7"/>
      <c r="AJ106" s="7"/>
      <c r="AK106" s="7"/>
      <c r="AL106" s="7"/>
    </row>
    <row r="107" customFormat="false" ht="15.75" hidden="false" customHeight="true" outlineLevel="0" collapsed="false">
      <c r="A107" s="18" t="s">
        <v>148</v>
      </c>
      <c r="B107" s="18" t="str">
        <f aca="false" t="array" ref="B107:B107">IF(A107="","",IFERROR(INDEX('CLM &amp; IM Mapping'!$B$2:$B$270,MATCH(TRIM(A107),'CLM &amp; IM Mapping'!$A$2:$A$270,0)),"Not Mapped"))</f>
        <v>Narasimhamurthy R</v>
      </c>
      <c r="C107" s="18" t="str">
        <f aca="false" t="array" ref="C107:C107">IF(A107="","",IFERROR(INDEX('CLM &amp; IM Mapping'!$C$2:$C$270,MATCH(TRIM(A107),'CLM &amp; IM Mapping'!$A$2:$A$270,0)),"Not Mapped"))</f>
        <v>Kishor K</v>
      </c>
      <c r="D107" s="18" t="s">
        <v>27</v>
      </c>
      <c r="E107" s="18" t="s">
        <v>316</v>
      </c>
      <c r="F107" s="18" t="s">
        <v>22</v>
      </c>
      <c r="G107" s="11" t="n">
        <v>5477</v>
      </c>
      <c r="H107" s="19" t="n">
        <v>0.7</v>
      </c>
      <c r="I107" s="20" t="n">
        <v>0.51</v>
      </c>
      <c r="J107" s="20" t="n">
        <v>0.89</v>
      </c>
      <c r="K107" s="20" t="n">
        <v>0.96</v>
      </c>
      <c r="L107" s="20" t="n">
        <v>0.89</v>
      </c>
      <c r="M107" s="12" t="n">
        <v>3</v>
      </c>
      <c r="N107" s="11"/>
      <c r="O107" s="1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22"/>
      <c r="AA107" s="22"/>
      <c r="AB107" s="22"/>
      <c r="AC107" s="22"/>
      <c r="AD107" s="7"/>
      <c r="AE107" s="7"/>
      <c r="AF107" s="7"/>
      <c r="AG107" s="7"/>
      <c r="AH107" s="7"/>
      <c r="AI107" s="7"/>
      <c r="AJ107" s="7"/>
      <c r="AK107" s="7"/>
      <c r="AL107" s="7"/>
    </row>
    <row r="108" customFormat="false" ht="15.75" hidden="false" customHeight="true" outlineLevel="0" collapsed="false">
      <c r="A108" s="18" t="s">
        <v>120</v>
      </c>
      <c r="B108" s="18" t="str">
        <f aca="false" t="array" ref="B108:B108">IF(A108="","",IFERROR(INDEX('CLM &amp; IM Mapping'!$B$2:$B$270,MATCH(TRIM(A108),'CLM &amp; IM Mapping'!$A$2:$A$270,0)),"Not Mapped"))</f>
        <v>Basil Scariya</v>
      </c>
      <c r="C108" s="18" t="str">
        <f aca="false" t="array" ref="C108:C108">IF(A108="","",IFERROR(INDEX('CLM &amp; IM Mapping'!$C$2:$C$270,MATCH(TRIM(A108),'CLM &amp; IM Mapping'!$A$2:$A$270,0)),"Not Mapped"))</f>
        <v>Prakash BS</v>
      </c>
      <c r="D108" s="18" t="s">
        <v>27</v>
      </c>
      <c r="E108" s="18" t="s">
        <v>314</v>
      </c>
      <c r="F108" s="18" t="s">
        <v>22</v>
      </c>
      <c r="G108" s="11" t="n">
        <v>4912</v>
      </c>
      <c r="H108" s="19" t="n">
        <v>0.7</v>
      </c>
      <c r="I108" s="20" t="n">
        <v>0.52</v>
      </c>
      <c r="J108" s="20" t="n">
        <v>0.66</v>
      </c>
      <c r="K108" s="20" t="n">
        <v>0.89</v>
      </c>
      <c r="L108" s="20" t="n">
        <v>0.66</v>
      </c>
      <c r="M108" s="12" t="n">
        <v>4</v>
      </c>
      <c r="N108" s="11"/>
      <c r="O108" s="1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22"/>
      <c r="AA108" s="22"/>
      <c r="AB108" s="22"/>
      <c r="AC108" s="22"/>
      <c r="AD108" s="7"/>
      <c r="AE108" s="7"/>
      <c r="AF108" s="7"/>
      <c r="AG108" s="7"/>
      <c r="AH108" s="7"/>
      <c r="AI108" s="7"/>
      <c r="AJ108" s="7"/>
      <c r="AK108" s="7"/>
      <c r="AL108" s="7"/>
    </row>
    <row r="109" customFormat="false" ht="15.75" hidden="false" customHeight="true" outlineLevel="0" collapsed="false">
      <c r="A109" s="18" t="s">
        <v>225</v>
      </c>
      <c r="B109" s="18" t="str">
        <f aca="false" t="array" ref="B109:B109">IF(A109="","",IFERROR(INDEX('CLM &amp; IM Mapping'!$B$2:$B$270,MATCH(TRIM(A109),'CLM &amp; IM Mapping'!$A$2:$A$270,0)),"Not Mapped"))</f>
        <v>Manjunatha V</v>
      </c>
      <c r="C109" s="18" t="str">
        <f aca="false" t="array" ref="C109:C109">IF(A109="","",IFERROR(INDEX('CLM &amp; IM Mapping'!$C$2:$C$270,MATCH(TRIM(A109),'CLM &amp; IM Mapping'!$A$2:$A$270,0)),"Not Mapped"))</f>
        <v>Un Mapped</v>
      </c>
      <c r="D109" s="18" t="s">
        <v>27</v>
      </c>
      <c r="E109" s="18" t="s">
        <v>314</v>
      </c>
      <c r="F109" s="18" t="s">
        <v>22</v>
      </c>
      <c r="G109" s="11" t="n">
        <v>5330</v>
      </c>
      <c r="H109" s="19" t="n">
        <v>0.7</v>
      </c>
      <c r="I109" s="20" t="n">
        <v>0.52</v>
      </c>
      <c r="J109" s="20" t="n">
        <v>0.87</v>
      </c>
      <c r="K109" s="20" t="n">
        <v>0.97</v>
      </c>
      <c r="L109" s="20" t="n">
        <v>0.87</v>
      </c>
      <c r="M109" s="12" t="n">
        <v>4</v>
      </c>
      <c r="N109" s="11"/>
      <c r="O109" s="1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22"/>
      <c r="AA109" s="22"/>
      <c r="AB109" s="22"/>
      <c r="AC109" s="22"/>
      <c r="AD109" s="7"/>
      <c r="AE109" s="7"/>
      <c r="AF109" s="7"/>
      <c r="AG109" s="7"/>
      <c r="AH109" s="7"/>
      <c r="AI109" s="7"/>
      <c r="AJ109" s="7"/>
      <c r="AK109" s="7"/>
      <c r="AL109" s="7"/>
    </row>
    <row r="110" customFormat="false" ht="15.75" hidden="false" customHeight="true" outlineLevel="0" collapsed="false">
      <c r="A110" s="18" t="s">
        <v>153</v>
      </c>
      <c r="B110" s="18" t="str">
        <f aca="false" t="array" ref="B110:B110">IF(A110="","",IFERROR(INDEX('CLM &amp; IM Mapping'!$B$2:$B$270,MATCH(TRIM(A110),'CLM &amp; IM Mapping'!$A$2:$A$270,0)),"Not Mapped"))</f>
        <v>Vishnu V</v>
      </c>
      <c r="C110" s="18" t="str">
        <f aca="false" t="array" ref="C110:C110">IF(A110="","",IFERROR(INDEX('CLM &amp; IM Mapping'!$C$2:$C$270,MATCH(TRIM(A110),'CLM &amp; IM Mapping'!$A$2:$A$270,0)),"Not Mapped"))</f>
        <v>Arivind S</v>
      </c>
      <c r="D110" s="18" t="s">
        <v>27</v>
      </c>
      <c r="E110" s="18" t="s">
        <v>314</v>
      </c>
      <c r="F110" s="18" t="s">
        <v>104</v>
      </c>
      <c r="G110" s="11" t="n">
        <v>6083</v>
      </c>
      <c r="H110" s="19" t="n">
        <v>0.7</v>
      </c>
      <c r="I110" s="20" t="n">
        <v>0.52</v>
      </c>
      <c r="J110" s="20" t="n">
        <v>0.88</v>
      </c>
      <c r="K110" s="20" t="n">
        <v>0.96</v>
      </c>
      <c r="L110" s="20" t="n">
        <v>0.88</v>
      </c>
      <c r="M110" s="12" t="n">
        <v>1</v>
      </c>
      <c r="N110" s="11"/>
      <c r="O110" s="1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22"/>
      <c r="AA110" s="22"/>
      <c r="AB110" s="22"/>
      <c r="AC110" s="22"/>
      <c r="AD110" s="7"/>
      <c r="AE110" s="7"/>
      <c r="AF110" s="7"/>
      <c r="AG110" s="7"/>
      <c r="AH110" s="7"/>
      <c r="AI110" s="7"/>
      <c r="AJ110" s="7"/>
      <c r="AK110" s="7"/>
      <c r="AL110" s="7"/>
    </row>
    <row r="111" customFormat="false" ht="15.75" hidden="false" customHeight="true" outlineLevel="0" collapsed="false">
      <c r="A111" s="18" t="s">
        <v>275</v>
      </c>
      <c r="B111" s="18" t="str">
        <f aca="false" t="array" ref="B111:B111">IF(A111="","",IFERROR(INDEX('CLM &amp; IM Mapping'!$B$2:$B$270,MATCH(TRIM(A111),'CLM &amp; IM Mapping'!$A$2:$A$270,0)),"Not Mapped"))</f>
        <v>Keshav G</v>
      </c>
      <c r="C111" s="18" t="str">
        <f aca="false" t="array" ref="C111:C111">IF(A111="","",IFERROR(INDEX('CLM &amp; IM Mapping'!$C$2:$C$270,MATCH(TRIM(A111),'CLM &amp; IM Mapping'!$A$2:$A$270,0)),"Not Mapped"))</f>
        <v>Un Mapped</v>
      </c>
      <c r="D111" s="18" t="s">
        <v>27</v>
      </c>
      <c r="E111" s="18" t="s">
        <v>316</v>
      </c>
      <c r="F111" s="18" t="s">
        <v>22</v>
      </c>
      <c r="G111" s="11" t="n">
        <v>5152</v>
      </c>
      <c r="H111" s="19" t="n">
        <v>0.7</v>
      </c>
      <c r="I111" s="20" t="n">
        <v>0.53</v>
      </c>
      <c r="J111" s="20" t="n">
        <v>0.93</v>
      </c>
      <c r="K111" s="20" t="n">
        <v>0.98</v>
      </c>
      <c r="L111" s="20" t="n">
        <v>0.93</v>
      </c>
      <c r="M111" s="12" t="n">
        <v>3</v>
      </c>
      <c r="N111" s="11"/>
      <c r="O111" s="1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22"/>
      <c r="AA111" s="22"/>
      <c r="AB111" s="22"/>
      <c r="AC111" s="22"/>
      <c r="AD111" s="7"/>
      <c r="AE111" s="7"/>
      <c r="AF111" s="7"/>
      <c r="AG111" s="7"/>
      <c r="AH111" s="7"/>
      <c r="AI111" s="7"/>
      <c r="AJ111" s="7"/>
      <c r="AK111" s="7"/>
      <c r="AL111" s="7"/>
    </row>
    <row r="112" customFormat="false" ht="15.75" hidden="false" customHeight="true" outlineLevel="0" collapsed="false">
      <c r="A112" s="18" t="s">
        <v>226</v>
      </c>
      <c r="B112" s="18" t="str">
        <f aca="false" t="array" ref="B112:B112">IF(A112="","",IFERROR(INDEX('CLM &amp; IM Mapping'!$B$2:$B$270,MATCH(TRIM(A112),'CLM &amp; IM Mapping'!$A$2:$A$270,0)),"Not Mapped"))</f>
        <v>Ashwath S</v>
      </c>
      <c r="C112" s="18" t="str">
        <f aca="false" t="array" ref="C112:C112">IF(A112="","",IFERROR(INDEX('CLM &amp; IM Mapping'!$C$2:$C$270,MATCH(TRIM(A112),'CLM &amp; IM Mapping'!$A$2:$A$270,0)),"Not Mapped"))</f>
        <v>Kantha Kumar</v>
      </c>
      <c r="D112" s="18" t="s">
        <v>27</v>
      </c>
      <c r="E112" s="18" t="s">
        <v>314</v>
      </c>
      <c r="F112" s="18" t="s">
        <v>22</v>
      </c>
      <c r="G112" s="11" t="n">
        <v>6865</v>
      </c>
      <c r="H112" s="19" t="n">
        <v>0.7</v>
      </c>
      <c r="I112" s="20" t="n">
        <v>0.53</v>
      </c>
      <c r="J112" s="20" t="n">
        <v>0.95</v>
      </c>
      <c r="K112" s="20" t="n">
        <v>0.98</v>
      </c>
      <c r="L112" s="18"/>
      <c r="M112" s="12" t="n">
        <v>2</v>
      </c>
      <c r="N112" s="11"/>
      <c r="O112" s="1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22"/>
      <c r="AA112" s="22"/>
      <c r="AB112" s="22"/>
      <c r="AC112" s="22"/>
      <c r="AD112" s="7"/>
      <c r="AE112" s="7"/>
      <c r="AF112" s="7"/>
      <c r="AG112" s="7"/>
      <c r="AH112" s="7"/>
      <c r="AI112" s="7"/>
      <c r="AJ112" s="7"/>
      <c r="AK112" s="7"/>
      <c r="AL112" s="7"/>
    </row>
    <row r="113" customFormat="false" ht="15.75" hidden="false" customHeight="true" outlineLevel="0" collapsed="false">
      <c r="A113" s="18" t="s">
        <v>92</v>
      </c>
      <c r="B113" s="18" t="str">
        <f aca="false" t="array" ref="B113:B113">IF(A113="","",IFERROR(INDEX('CLM &amp; IM Mapping'!$B$2:$B$270,MATCH(TRIM(A113),'CLM &amp; IM Mapping'!$A$2:$A$270,0)),"Not Mapped"))</f>
        <v>Adhavan Subramani</v>
      </c>
      <c r="C113" s="18" t="str">
        <f aca="false" t="array" ref="C113:C113">IF(A113="","",IFERROR(INDEX('CLM &amp; IM Mapping'!$C$2:$C$270,MATCH(TRIM(A113),'CLM &amp; IM Mapping'!$A$2:$A$270,0)),"Not Mapped"))</f>
        <v>Mohammed Akbar</v>
      </c>
      <c r="D113" s="18" t="s">
        <v>27</v>
      </c>
      <c r="E113" s="18" t="s">
        <v>314</v>
      </c>
      <c r="F113" s="18" t="s">
        <v>22</v>
      </c>
      <c r="G113" s="11" t="n">
        <v>5573</v>
      </c>
      <c r="H113" s="19" t="n">
        <v>0.7</v>
      </c>
      <c r="I113" s="20" t="n">
        <v>0.53</v>
      </c>
      <c r="J113" s="20" t="n">
        <v>0.86</v>
      </c>
      <c r="K113" s="20" t="n">
        <v>0.94</v>
      </c>
      <c r="L113" s="20" t="n">
        <v>0.86</v>
      </c>
      <c r="M113" s="12" t="n">
        <v>4</v>
      </c>
      <c r="N113" s="11"/>
      <c r="O113" s="1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22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customFormat="false" ht="15.75" hidden="false" customHeight="true" outlineLevel="0" collapsed="false">
      <c r="A114" s="18" t="s">
        <v>274</v>
      </c>
      <c r="B114" s="18" t="str">
        <f aca="false" t="array" ref="B114:B114">IF(A114="","",IFERROR(INDEX('CLM &amp; IM Mapping'!$B$2:$B$270,MATCH(TRIM(A114),'CLM &amp; IM Mapping'!$A$2:$A$270,0)),"Not Mapped"))</f>
        <v>Arun Raj</v>
      </c>
      <c r="C114" s="18" t="str">
        <f aca="false" t="array" ref="C114:C114">IF(A114="","",IFERROR(INDEX('CLM &amp; IM Mapping'!$C$2:$C$270,MATCH(TRIM(A114),'CLM &amp; IM Mapping'!$A$2:$A$270,0)),"Not Mapped"))</f>
        <v>Simon Manoharan</v>
      </c>
      <c r="D114" s="18" t="s">
        <v>24</v>
      </c>
      <c r="E114" s="18" t="s">
        <v>316</v>
      </c>
      <c r="F114" s="18" t="s">
        <v>22</v>
      </c>
      <c r="G114" s="11" t="n">
        <v>12700</v>
      </c>
      <c r="H114" s="19" t="n">
        <v>0.7</v>
      </c>
      <c r="I114" s="20" t="n">
        <v>0.53</v>
      </c>
      <c r="J114" s="20" t="n">
        <v>0.97</v>
      </c>
      <c r="K114" s="20" t="n">
        <v>0.99</v>
      </c>
      <c r="L114" s="20" t="n">
        <v>0.97</v>
      </c>
      <c r="M114" s="12" t="n">
        <v>3</v>
      </c>
      <c r="N114" s="11"/>
      <c r="O114" s="1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22"/>
      <c r="AA114" s="22"/>
      <c r="AB114" s="22"/>
      <c r="AC114" s="22"/>
      <c r="AD114" s="7"/>
      <c r="AE114" s="7"/>
      <c r="AF114" s="7"/>
      <c r="AG114" s="7"/>
      <c r="AH114" s="7"/>
      <c r="AI114" s="7"/>
      <c r="AJ114" s="7"/>
      <c r="AK114" s="7"/>
      <c r="AL114" s="7"/>
    </row>
    <row r="115" customFormat="false" ht="15.75" hidden="false" customHeight="true" outlineLevel="0" collapsed="false">
      <c r="A115" s="18" t="s">
        <v>41</v>
      </c>
      <c r="B115" s="18" t="str">
        <f aca="false" t="array" ref="B115:B115">IF(A115="","",IFERROR(INDEX('CLM &amp; IM Mapping'!$B$2:$B$270,MATCH(TRIM(A115),'CLM &amp; IM Mapping'!$A$2:$A$270,0)),"Not Mapped"))</f>
        <v>Narasimhamurthy R</v>
      </c>
      <c r="C115" s="18" t="str">
        <f aca="false" t="array" ref="C115:C115">IF(A115="","",IFERROR(INDEX('CLM &amp; IM Mapping'!$C$2:$C$270,MATCH(TRIM(A115),'CLM &amp; IM Mapping'!$A$2:$A$270,0)),"Not Mapped"))</f>
        <v>Kishor K</v>
      </c>
      <c r="D115" s="18" t="s">
        <v>27</v>
      </c>
      <c r="E115" s="18" t="s">
        <v>314</v>
      </c>
      <c r="F115" s="18" t="s">
        <v>22</v>
      </c>
      <c r="G115" s="11" t="n">
        <v>6939</v>
      </c>
      <c r="H115" s="19" t="n">
        <v>0.7</v>
      </c>
      <c r="I115" s="20" t="n">
        <v>0.53</v>
      </c>
      <c r="J115" s="20" t="n">
        <v>0.8</v>
      </c>
      <c r="K115" s="20" t="n">
        <v>0.94</v>
      </c>
      <c r="L115" s="20" t="n">
        <v>0.8</v>
      </c>
      <c r="M115" s="12" t="n">
        <v>4</v>
      </c>
      <c r="N115" s="11"/>
      <c r="O115" s="1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22"/>
      <c r="AA115" s="22"/>
      <c r="AB115" s="22"/>
      <c r="AC115" s="22"/>
      <c r="AD115" s="7"/>
      <c r="AE115" s="7"/>
      <c r="AF115" s="7"/>
      <c r="AG115" s="7"/>
      <c r="AH115" s="7"/>
      <c r="AI115" s="7"/>
      <c r="AJ115" s="7"/>
      <c r="AK115" s="7"/>
      <c r="AL115" s="7"/>
    </row>
    <row r="116" customFormat="false" ht="15.75" hidden="false" customHeight="true" outlineLevel="0" collapsed="false">
      <c r="A116" s="18" t="s">
        <v>234</v>
      </c>
      <c r="B116" s="18" t="str">
        <f aca="false" t="array" ref="B116:B116">IF(A116="","",IFERROR(INDEX('CLM &amp; IM Mapping'!$B$2:$B$270,MATCH(TRIM(A116),'CLM &amp; IM Mapping'!$A$2:$A$270,0)),"Not Mapped"))</f>
        <v>Narasimhamurthy R</v>
      </c>
      <c r="C116" s="18" t="str">
        <f aca="false" t="array" ref="C116:C116">IF(A116="","",IFERROR(INDEX('CLM &amp; IM Mapping'!$C$2:$C$270,MATCH(TRIM(A116),'CLM &amp; IM Mapping'!$A$2:$A$270,0)),"Not Mapped"))</f>
        <v>Kishor K</v>
      </c>
      <c r="D116" s="18" t="s">
        <v>27</v>
      </c>
      <c r="E116" s="18" t="s">
        <v>314</v>
      </c>
      <c r="F116" s="18" t="s">
        <v>22</v>
      </c>
      <c r="G116" s="11" t="n">
        <v>12313</v>
      </c>
      <c r="H116" s="19" t="n">
        <v>0.7</v>
      </c>
      <c r="I116" s="20" t="n">
        <v>0.53</v>
      </c>
      <c r="J116" s="20" t="n">
        <v>0.92</v>
      </c>
      <c r="K116" s="20" t="n">
        <v>0.97</v>
      </c>
      <c r="L116" s="20" t="n">
        <v>0.92</v>
      </c>
      <c r="M116" s="12" t="n">
        <v>4</v>
      </c>
      <c r="N116" s="11"/>
      <c r="O116" s="1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22"/>
      <c r="AA116" s="22"/>
      <c r="AB116" s="22"/>
      <c r="AC116" s="22"/>
      <c r="AD116" s="7"/>
      <c r="AE116" s="7"/>
      <c r="AF116" s="7"/>
      <c r="AG116" s="7"/>
      <c r="AH116" s="7"/>
      <c r="AI116" s="7"/>
      <c r="AJ116" s="7"/>
      <c r="AK116" s="7"/>
      <c r="AL116" s="7"/>
    </row>
    <row r="117" customFormat="false" ht="15.75" hidden="false" customHeight="true" outlineLevel="0" collapsed="false">
      <c r="A117" s="18" t="s">
        <v>101</v>
      </c>
      <c r="B117" s="18" t="str">
        <f aca="false" t="array" ref="B117:B117">IF(A117="","",IFERROR(INDEX('CLM &amp; IM Mapping'!$B$2:$B$270,MATCH(TRIM(A117),'CLM &amp; IM Mapping'!$A$2:$A$270,0)),"Not Mapped"))</f>
        <v>Silambarasan E</v>
      </c>
      <c r="C117" s="18" t="str">
        <f aca="false" t="array" ref="C117:C117">IF(A117="","",IFERROR(INDEX('CLM &amp; IM Mapping'!$C$2:$C$270,MATCH(TRIM(A117),'CLM &amp; IM Mapping'!$A$2:$A$270,0)),"Not Mapped"))</f>
        <v>Arivind S</v>
      </c>
      <c r="D117" s="18" t="s">
        <v>27</v>
      </c>
      <c r="E117" s="18" t="s">
        <v>314</v>
      </c>
      <c r="F117" s="18" t="s">
        <v>22</v>
      </c>
      <c r="G117" s="11" t="n">
        <v>8268</v>
      </c>
      <c r="H117" s="19" t="n">
        <v>0.7</v>
      </c>
      <c r="I117" s="20" t="n">
        <v>0.53</v>
      </c>
      <c r="J117" s="20" t="n">
        <v>0.86</v>
      </c>
      <c r="K117" s="20" t="n">
        <v>0.91</v>
      </c>
      <c r="L117" s="20" t="n">
        <v>0.86</v>
      </c>
      <c r="M117" s="12" t="n">
        <v>4</v>
      </c>
      <c r="N117" s="11"/>
      <c r="O117" s="1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22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customFormat="false" ht="15.75" hidden="false" customHeight="true" outlineLevel="0" collapsed="false">
      <c r="A118" s="18" t="s">
        <v>248</v>
      </c>
      <c r="B118" s="18" t="str">
        <f aca="false" t="array" ref="B118:B118">IF(A118="","",IFERROR(INDEX('CLM &amp; IM Mapping'!$B$2:$B$270,MATCH(TRIM(A118),'CLM &amp; IM Mapping'!$A$2:$A$270,0)),"Not Mapped"))</f>
        <v>Rizwan Ahmed</v>
      </c>
      <c r="C118" s="18" t="str">
        <f aca="false" t="array" ref="C118:C118">IF(A118="","",IFERROR(INDEX('CLM &amp; IM Mapping'!$C$2:$C$270,MATCH(TRIM(A118),'CLM &amp; IM Mapping'!$A$2:$A$270,0)),"Not Mapped"))</f>
        <v>Un Mapped</v>
      </c>
      <c r="D118" s="18" t="s">
        <v>27</v>
      </c>
      <c r="E118" s="18" t="s">
        <v>314</v>
      </c>
      <c r="F118" s="18" t="s">
        <v>22</v>
      </c>
      <c r="G118" s="11" t="n">
        <v>6360</v>
      </c>
      <c r="H118" s="19" t="n">
        <v>0.7</v>
      </c>
      <c r="I118" s="20" t="n">
        <v>0.54</v>
      </c>
      <c r="J118" s="20" t="n">
        <v>0.89</v>
      </c>
      <c r="K118" s="20" t="n">
        <v>0.96</v>
      </c>
      <c r="L118" s="20" t="n">
        <v>0.89</v>
      </c>
      <c r="M118" s="12" t="n">
        <v>3</v>
      </c>
      <c r="N118" s="11"/>
      <c r="O118" s="1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22"/>
      <c r="AA118" s="22"/>
      <c r="AB118" s="22"/>
      <c r="AC118" s="22"/>
      <c r="AD118" s="7"/>
      <c r="AE118" s="7"/>
      <c r="AF118" s="7"/>
      <c r="AG118" s="7"/>
      <c r="AH118" s="7"/>
      <c r="AI118" s="7"/>
      <c r="AJ118" s="7"/>
      <c r="AK118" s="7"/>
      <c r="AL118" s="7"/>
    </row>
    <row r="119" customFormat="false" ht="15.75" hidden="false" customHeight="true" outlineLevel="0" collapsed="false">
      <c r="A119" s="18" t="s">
        <v>218</v>
      </c>
      <c r="B119" s="18" t="str">
        <f aca="false" t="array" ref="B119:B119">IF(A119="","",IFERROR(INDEX('CLM &amp; IM Mapping'!$B$2:$B$270,MATCH(TRIM(A119),'CLM &amp; IM Mapping'!$A$2:$A$270,0)),"Not Mapped"))</f>
        <v>Arun Raj</v>
      </c>
      <c r="C119" s="18" t="str">
        <f aca="false" t="array" ref="C119:C119">IF(A119="","",IFERROR(INDEX('CLM &amp; IM Mapping'!$C$2:$C$270,MATCH(TRIM(A119),'CLM &amp; IM Mapping'!$A$2:$A$270,0)),"Not Mapped"))</f>
        <v>Simon Manoharan</v>
      </c>
      <c r="D119" s="18" t="s">
        <v>24</v>
      </c>
      <c r="E119" s="18" t="s">
        <v>316</v>
      </c>
      <c r="F119" s="18" t="s">
        <v>22</v>
      </c>
      <c r="G119" s="11" t="n">
        <v>11966</v>
      </c>
      <c r="H119" s="19" t="n">
        <v>0.7</v>
      </c>
      <c r="I119" s="20" t="n">
        <v>0.54</v>
      </c>
      <c r="J119" s="20" t="n">
        <v>0.98</v>
      </c>
      <c r="K119" s="20" t="n">
        <v>1</v>
      </c>
      <c r="L119" s="20" t="n">
        <v>0.98</v>
      </c>
      <c r="M119" s="12" t="n">
        <v>1</v>
      </c>
      <c r="N119" s="11"/>
      <c r="O119" s="1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22"/>
      <c r="AA119" s="22"/>
      <c r="AB119" s="22"/>
      <c r="AC119" s="22"/>
      <c r="AD119" s="7"/>
      <c r="AE119" s="7"/>
      <c r="AF119" s="7"/>
      <c r="AG119" s="7"/>
      <c r="AH119" s="7"/>
      <c r="AI119" s="7"/>
      <c r="AJ119" s="7"/>
      <c r="AK119" s="7"/>
      <c r="AL119" s="7"/>
    </row>
    <row r="120" customFormat="false" ht="15.75" hidden="false" customHeight="true" outlineLevel="0" collapsed="false">
      <c r="A120" s="18" t="s">
        <v>30</v>
      </c>
      <c r="B120" s="18" t="str">
        <f aca="false" t="array" ref="B120:B120">IF(A120="","",IFERROR(INDEX('CLM &amp; IM Mapping'!$B$2:$B$270,MATCH(TRIM(A120),'CLM &amp; IM Mapping'!$A$2:$A$270,0)),"Not Mapped"))</f>
        <v>Rizwan Ahmed</v>
      </c>
      <c r="C120" s="18" t="str">
        <f aca="false" t="array" ref="C120:C120">IF(A120="","",IFERROR(INDEX('CLM &amp; IM Mapping'!$C$2:$C$270,MATCH(TRIM(A120),'CLM &amp; IM Mapping'!$A$2:$A$270,0)),"Not Mapped"))</f>
        <v>Un Mapped</v>
      </c>
      <c r="D120" s="18" t="s">
        <v>27</v>
      </c>
      <c r="E120" s="18" t="s">
        <v>314</v>
      </c>
      <c r="F120" s="18" t="s">
        <v>22</v>
      </c>
      <c r="G120" s="11" t="n">
        <v>5704</v>
      </c>
      <c r="H120" s="19" t="n">
        <v>0.7</v>
      </c>
      <c r="I120" s="20" t="n">
        <v>0.54</v>
      </c>
      <c r="J120" s="20" t="n">
        <v>0.75</v>
      </c>
      <c r="K120" s="20" t="n">
        <v>0.94</v>
      </c>
      <c r="L120" s="20" t="n">
        <v>0.75</v>
      </c>
      <c r="M120" s="12" t="n">
        <v>5</v>
      </c>
      <c r="N120" s="11"/>
      <c r="O120" s="1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22"/>
      <c r="AA120" s="22"/>
      <c r="AB120" s="22"/>
      <c r="AC120" s="22"/>
      <c r="AD120" s="7"/>
      <c r="AE120" s="7"/>
      <c r="AF120" s="7"/>
      <c r="AG120" s="7"/>
      <c r="AH120" s="7"/>
      <c r="AI120" s="7"/>
      <c r="AJ120" s="7"/>
      <c r="AK120" s="7"/>
      <c r="AL120" s="7"/>
    </row>
    <row r="121" customFormat="false" ht="15.75" hidden="false" customHeight="true" outlineLevel="0" collapsed="false">
      <c r="A121" s="18" t="s">
        <v>87</v>
      </c>
      <c r="B121" s="18" t="str">
        <f aca="false" t="array" ref="B121:B121">IF(A121="","",IFERROR(INDEX('CLM &amp; IM Mapping'!$B$2:$B$270,MATCH(TRIM(A121),'CLM &amp; IM Mapping'!$A$2:$A$270,0)),"Not Mapped"))</f>
        <v>Silambarasan E</v>
      </c>
      <c r="C121" s="18" t="str">
        <f aca="false" t="array" ref="C121:C121">IF(A121="","",IFERROR(INDEX('CLM &amp; IM Mapping'!$C$2:$C$270,MATCH(TRIM(A121),'CLM &amp; IM Mapping'!$A$2:$A$270,0)),"Not Mapped"))</f>
        <v>Arivind S</v>
      </c>
      <c r="D121" s="18" t="s">
        <v>27</v>
      </c>
      <c r="E121" s="18" t="s">
        <v>316</v>
      </c>
      <c r="F121" s="18" t="s">
        <v>22</v>
      </c>
      <c r="G121" s="11" t="n">
        <v>5395</v>
      </c>
      <c r="H121" s="19" t="n">
        <v>0.7</v>
      </c>
      <c r="I121" s="20" t="n">
        <v>0.54</v>
      </c>
      <c r="J121" s="20" t="n">
        <v>0.84</v>
      </c>
      <c r="K121" s="20" t="n">
        <v>0.98</v>
      </c>
      <c r="L121" s="20" t="n">
        <v>0.84</v>
      </c>
      <c r="M121" s="12" t="n">
        <v>4</v>
      </c>
      <c r="N121" s="11"/>
      <c r="O121" s="1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22"/>
      <c r="AA121" s="22"/>
      <c r="AB121" s="22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customFormat="false" ht="15.75" hidden="false" customHeight="true" outlineLevel="0" collapsed="false">
      <c r="A122" s="18" t="s">
        <v>95</v>
      </c>
      <c r="B122" s="18" t="str">
        <f aca="false" t="array" ref="B122:B122">IF(A122="","",IFERROR(INDEX('CLM &amp; IM Mapping'!$B$2:$B$270,MATCH(TRIM(A122),'CLM &amp; IM Mapping'!$A$2:$A$270,0)),"Not Mapped"))</f>
        <v>Suhas N</v>
      </c>
      <c r="C122" s="18" t="str">
        <f aca="false" t="array" ref="C122:C122">IF(A122="","",IFERROR(INDEX('CLM &amp; IM Mapping'!$C$2:$C$270,MATCH(TRIM(A122),'CLM &amp; IM Mapping'!$A$2:$A$270,0)),"Not Mapped"))</f>
        <v>Aravind S</v>
      </c>
      <c r="D122" s="18" t="s">
        <v>27</v>
      </c>
      <c r="E122" s="18" t="s">
        <v>316</v>
      </c>
      <c r="F122" s="18" t="s">
        <v>22</v>
      </c>
      <c r="G122" s="11" t="n">
        <v>4848</v>
      </c>
      <c r="H122" s="19" t="n">
        <v>0.7</v>
      </c>
      <c r="I122" s="20" t="n">
        <v>0.54</v>
      </c>
      <c r="J122" s="20" t="n">
        <v>0.86</v>
      </c>
      <c r="K122" s="20" t="n">
        <v>0.95</v>
      </c>
      <c r="L122" s="20" t="n">
        <v>0.86</v>
      </c>
      <c r="M122" s="12" t="n">
        <v>3</v>
      </c>
      <c r="N122" s="11"/>
      <c r="O122" s="1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22"/>
      <c r="AA122" s="22"/>
      <c r="AB122" s="22"/>
      <c r="AC122" s="22"/>
      <c r="AD122" s="7"/>
      <c r="AE122" s="7"/>
      <c r="AF122" s="7"/>
      <c r="AG122" s="7"/>
      <c r="AH122" s="7"/>
      <c r="AI122" s="7"/>
      <c r="AJ122" s="7"/>
      <c r="AK122" s="7"/>
      <c r="AL122" s="7"/>
    </row>
    <row r="123" customFormat="false" ht="15.75" hidden="false" customHeight="true" outlineLevel="0" collapsed="false">
      <c r="A123" s="18" t="s">
        <v>174</v>
      </c>
      <c r="B123" s="18" t="str">
        <f aca="false" t="array" ref="B123:B123">IF(A123="","",IFERROR(INDEX('CLM &amp; IM Mapping'!$B$2:$B$270,MATCH(TRIM(A123),'CLM &amp; IM Mapping'!$A$2:$A$270,0)),"Not Mapped"))</f>
        <v>Raghavendra Vernekar</v>
      </c>
      <c r="C123" s="18" t="str">
        <f aca="false" t="array" ref="C123:C123">IF(A123="","",IFERROR(INDEX('CLM &amp; IM Mapping'!$C$2:$C$270,MATCH(TRIM(A123),'CLM &amp; IM Mapping'!$A$2:$A$270,0)),"Not Mapped"))</f>
        <v>Prakash BS</v>
      </c>
      <c r="D123" s="18" t="s">
        <v>27</v>
      </c>
      <c r="E123" s="18" t="s">
        <v>314</v>
      </c>
      <c r="F123" s="18" t="s">
        <v>22</v>
      </c>
      <c r="G123" s="11" t="n">
        <v>5732</v>
      </c>
      <c r="H123" s="19" t="n">
        <v>0.7</v>
      </c>
      <c r="I123" s="20" t="n">
        <v>0.55</v>
      </c>
      <c r="J123" s="20" t="n">
        <v>0.94</v>
      </c>
      <c r="K123" s="20" t="n">
        <v>0.98</v>
      </c>
      <c r="L123" s="20" t="n">
        <v>0.94</v>
      </c>
      <c r="M123" s="12" t="n">
        <v>3</v>
      </c>
      <c r="N123" s="11"/>
      <c r="O123" s="1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22"/>
      <c r="AA123" s="22"/>
      <c r="AB123" s="22"/>
      <c r="AC123" s="22"/>
      <c r="AD123" s="7"/>
      <c r="AE123" s="7"/>
      <c r="AF123" s="7"/>
      <c r="AG123" s="7"/>
      <c r="AH123" s="7"/>
      <c r="AI123" s="7"/>
      <c r="AJ123" s="7"/>
      <c r="AK123" s="7"/>
      <c r="AL123" s="7"/>
    </row>
    <row r="124" customFormat="false" ht="15.75" hidden="false" customHeight="true" outlineLevel="0" collapsed="false">
      <c r="A124" s="18" t="s">
        <v>28</v>
      </c>
      <c r="B124" s="18" t="str">
        <f aca="false" t="array" ref="B124:B124">IF(A124="","",IFERROR(INDEX('CLM &amp; IM Mapping'!$B$2:$B$270,MATCH(TRIM(A124),'CLM &amp; IM Mapping'!$A$2:$A$270,0)),"Not Mapped"))</f>
        <v>Vijay M</v>
      </c>
      <c r="C124" s="18" t="str">
        <f aca="false" t="array" ref="C124:C124">IF(A124="","",IFERROR(INDEX('CLM &amp; IM Mapping'!$C$2:$C$270,MATCH(TRIM(A124),'CLM &amp; IM Mapping'!$A$2:$A$270,0)),"Not Mapped"))</f>
        <v>Kantha Kumar</v>
      </c>
      <c r="D124" s="18" t="s">
        <v>27</v>
      </c>
      <c r="E124" s="18" t="s">
        <v>314</v>
      </c>
      <c r="F124" s="18" t="s">
        <v>22</v>
      </c>
      <c r="G124" s="11" t="n">
        <v>5355</v>
      </c>
      <c r="H124" s="19" t="n">
        <v>0.7</v>
      </c>
      <c r="I124" s="20" t="n">
        <v>0.55</v>
      </c>
      <c r="J124" s="20" t="n">
        <v>0.7</v>
      </c>
      <c r="K124" s="20" t="n">
        <v>0.94</v>
      </c>
      <c r="L124" s="20" t="n">
        <v>0.7</v>
      </c>
      <c r="M124" s="12" t="n">
        <v>5</v>
      </c>
      <c r="N124" s="11"/>
      <c r="O124" s="1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22"/>
      <c r="AA124" s="22"/>
      <c r="AB124" s="22"/>
      <c r="AC124" s="22"/>
      <c r="AD124" s="7"/>
      <c r="AE124" s="7"/>
      <c r="AF124" s="7"/>
      <c r="AG124" s="7"/>
      <c r="AH124" s="7"/>
      <c r="AI124" s="7"/>
      <c r="AJ124" s="7"/>
      <c r="AK124" s="7"/>
      <c r="AL124" s="7"/>
    </row>
    <row r="125" customFormat="false" ht="15.75" hidden="false" customHeight="true" outlineLevel="0" collapsed="false">
      <c r="A125" s="18" t="s">
        <v>37</v>
      </c>
      <c r="B125" s="18" t="str">
        <f aca="false" t="array" ref="B125:B125">IF(A125="","",IFERROR(INDEX('CLM &amp; IM Mapping'!$B$2:$B$270,MATCH(TRIM(A125),'CLM &amp; IM Mapping'!$A$2:$A$270,0)),"Not Mapped"))</f>
        <v>Basil Scariya</v>
      </c>
      <c r="C125" s="18" t="str">
        <f aca="false" t="array" ref="C125:C125">IF(A125="","",IFERROR(INDEX('CLM &amp; IM Mapping'!$C$2:$C$270,MATCH(TRIM(A125),'CLM &amp; IM Mapping'!$A$2:$A$270,0)),"Not Mapped"))</f>
        <v>Prakash BS</v>
      </c>
      <c r="D125" s="18" t="s">
        <v>27</v>
      </c>
      <c r="E125" s="18" t="s">
        <v>314</v>
      </c>
      <c r="F125" s="18" t="s">
        <v>22</v>
      </c>
      <c r="G125" s="11" t="n">
        <v>6170</v>
      </c>
      <c r="H125" s="19" t="n">
        <v>0.7</v>
      </c>
      <c r="I125" s="20" t="n">
        <v>0.55</v>
      </c>
      <c r="J125" s="20" t="n">
        <v>0.86</v>
      </c>
      <c r="K125" s="20" t="n">
        <v>0.95</v>
      </c>
      <c r="L125" s="20" t="n">
        <v>0.86</v>
      </c>
      <c r="M125" s="12" t="n">
        <v>3</v>
      </c>
      <c r="N125" s="11"/>
      <c r="O125" s="1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22"/>
      <c r="AA125" s="22"/>
      <c r="AB125" s="22"/>
      <c r="AC125" s="22"/>
      <c r="AD125" s="7"/>
      <c r="AE125" s="7"/>
      <c r="AF125" s="7"/>
      <c r="AG125" s="7"/>
      <c r="AH125" s="7"/>
      <c r="AI125" s="7"/>
      <c r="AJ125" s="7"/>
      <c r="AK125" s="7"/>
      <c r="AL125" s="7"/>
    </row>
    <row r="126" customFormat="false" ht="15.75" hidden="false" customHeight="true" outlineLevel="0" collapsed="false">
      <c r="A126" s="18" t="s">
        <v>39</v>
      </c>
      <c r="B126" s="18" t="str">
        <f aca="false" t="array" ref="B126:B126">IF(A126="","",IFERROR(INDEX('CLM &amp; IM Mapping'!$B$2:$B$270,MATCH(TRIM(A126),'CLM &amp; IM Mapping'!$A$2:$A$270,0)),"Not Mapped"))</f>
        <v>Girish N</v>
      </c>
      <c r="C126" s="18" t="str">
        <f aca="false" t="array" ref="C126:C126">IF(A126="","",IFERROR(INDEX('CLM &amp; IM Mapping'!$C$2:$C$270,MATCH(TRIM(A126),'CLM &amp; IM Mapping'!$A$2:$A$270,0)),"Not Mapped"))</f>
        <v>Un Mapped</v>
      </c>
      <c r="D126" s="18" t="s">
        <v>27</v>
      </c>
      <c r="E126" s="18" t="s">
        <v>314</v>
      </c>
      <c r="F126" s="18" t="s">
        <v>22</v>
      </c>
      <c r="G126" s="11" t="n">
        <v>6292</v>
      </c>
      <c r="H126" s="19" t="n">
        <v>0.7</v>
      </c>
      <c r="I126" s="20" t="n">
        <v>0.55</v>
      </c>
      <c r="J126" s="20" t="n">
        <v>0.85</v>
      </c>
      <c r="K126" s="20" t="n">
        <v>0.94</v>
      </c>
      <c r="L126" s="20" t="n">
        <v>0.85</v>
      </c>
      <c r="M126" s="12" t="n">
        <v>4</v>
      </c>
      <c r="N126" s="11"/>
      <c r="O126" s="1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22"/>
      <c r="AA126" s="22"/>
      <c r="AB126" s="22"/>
      <c r="AC126" s="22"/>
      <c r="AD126" s="7"/>
      <c r="AE126" s="7"/>
      <c r="AF126" s="7"/>
      <c r="AG126" s="7"/>
      <c r="AH126" s="7"/>
      <c r="AI126" s="7"/>
      <c r="AJ126" s="7"/>
      <c r="AK126" s="7"/>
      <c r="AL126" s="7"/>
    </row>
    <row r="127" customFormat="false" ht="15.75" hidden="false" customHeight="true" outlineLevel="0" collapsed="false">
      <c r="A127" s="18" t="s">
        <v>203</v>
      </c>
      <c r="B127" s="18" t="str">
        <f aca="false" t="array" ref="B127:B127">IF(A127="","",IFERROR(INDEX('CLM &amp; IM Mapping'!$B$2:$B$270,MATCH(TRIM(A127),'CLM &amp; IM Mapping'!$A$2:$A$270,0)),"Not Mapped"))</f>
        <v>Bangareppa CS</v>
      </c>
      <c r="C127" s="18" t="str">
        <f aca="false" t="array" ref="C127:C127">IF(A127="","",IFERROR(INDEX('CLM &amp; IM Mapping'!$C$2:$C$270,MATCH(TRIM(A127),'CLM &amp; IM Mapping'!$A$2:$A$270,0)),"Not Mapped"))</f>
        <v>Kishor K</v>
      </c>
      <c r="D127" s="18" t="s">
        <v>27</v>
      </c>
      <c r="E127" s="18" t="s">
        <v>314</v>
      </c>
      <c r="F127" s="18" t="s">
        <v>202</v>
      </c>
      <c r="G127" s="11" t="n">
        <v>5508</v>
      </c>
      <c r="H127" s="19" t="n">
        <v>0.7</v>
      </c>
      <c r="I127" s="20" t="n">
        <v>0.55</v>
      </c>
      <c r="J127" s="20" t="n">
        <v>0.98</v>
      </c>
      <c r="K127" s="20" t="n">
        <v>0.99</v>
      </c>
      <c r="L127" s="20" t="n">
        <v>0.98</v>
      </c>
      <c r="M127" s="12" t="n">
        <v>2</v>
      </c>
      <c r="N127" s="11"/>
      <c r="O127" s="1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22"/>
      <c r="AA127" s="22"/>
      <c r="AB127" s="22"/>
      <c r="AC127" s="22"/>
      <c r="AD127" s="7"/>
      <c r="AE127" s="7"/>
      <c r="AF127" s="7"/>
      <c r="AG127" s="7"/>
      <c r="AH127" s="7"/>
      <c r="AI127" s="7"/>
      <c r="AJ127" s="7"/>
      <c r="AK127" s="7"/>
      <c r="AL127" s="7"/>
    </row>
    <row r="128" customFormat="false" ht="15.75" hidden="false" customHeight="true" outlineLevel="0" collapsed="false">
      <c r="A128" s="18" t="s">
        <v>258</v>
      </c>
      <c r="B128" s="18" t="str">
        <f aca="false" t="array" ref="B128:B128">IF(A128="","",IFERROR(INDEX('CLM &amp; IM Mapping'!$B$2:$B$270,MATCH(TRIM(A128),'CLM &amp; IM Mapping'!$A$2:$A$270,0)),"Not Mapped"))</f>
        <v>Bangareppa CS</v>
      </c>
      <c r="C128" s="18" t="str">
        <f aca="false" t="array" ref="C128:C128">IF(A128="","",IFERROR(INDEX('CLM &amp; IM Mapping'!$C$2:$C$270,MATCH(TRIM(A128),'CLM &amp; IM Mapping'!$A$2:$A$270,0)),"Not Mapped"))</f>
        <v>Kishor K</v>
      </c>
      <c r="D128" s="18" t="s">
        <v>27</v>
      </c>
      <c r="E128" s="18" t="s">
        <v>314</v>
      </c>
      <c r="F128" s="18" t="s">
        <v>99</v>
      </c>
      <c r="G128" s="11" t="n">
        <v>5711</v>
      </c>
      <c r="H128" s="19" t="n">
        <v>0.7</v>
      </c>
      <c r="I128" s="20" t="n">
        <v>0.55</v>
      </c>
      <c r="J128" s="20" t="n">
        <v>0.85</v>
      </c>
      <c r="K128" s="20" t="n">
        <v>0.97</v>
      </c>
      <c r="L128" s="20" t="n">
        <v>0.85</v>
      </c>
      <c r="M128" s="12" t="n">
        <v>3</v>
      </c>
      <c r="N128" s="11"/>
      <c r="O128" s="1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22"/>
      <c r="AA128" s="22"/>
      <c r="AB128" s="22"/>
      <c r="AC128" s="22"/>
      <c r="AD128" s="7"/>
      <c r="AE128" s="7"/>
      <c r="AF128" s="7"/>
      <c r="AG128" s="7"/>
      <c r="AH128" s="7"/>
      <c r="AI128" s="7"/>
      <c r="AJ128" s="7"/>
      <c r="AK128" s="7"/>
      <c r="AL128" s="7"/>
    </row>
    <row r="129" customFormat="false" ht="15.75" hidden="false" customHeight="true" outlineLevel="0" collapsed="false">
      <c r="A129" s="18" t="s">
        <v>142</v>
      </c>
      <c r="B129" s="18" t="str">
        <f aca="false" t="array" ref="B129:B129">IF(A129="","",IFERROR(INDEX('CLM &amp; IM Mapping'!$B$2:$B$270,MATCH(TRIM(A129),'CLM &amp; IM Mapping'!$A$2:$A$270,0)),"Not Mapped"))</f>
        <v>Balaji G</v>
      </c>
      <c r="C129" s="18" t="str">
        <f aca="false" t="array" ref="C129:C129">IF(A129="","",IFERROR(INDEX('CLM &amp; IM Mapping'!$C$2:$C$270,MATCH(TRIM(A129),'CLM &amp; IM Mapping'!$A$2:$A$270,0)),"Not Mapped"))</f>
        <v>Mohammed Akbar</v>
      </c>
      <c r="D129" s="18" t="s">
        <v>27</v>
      </c>
      <c r="E129" s="18" t="s">
        <v>314</v>
      </c>
      <c r="F129" s="18" t="s">
        <v>22</v>
      </c>
      <c r="G129" s="11" t="n">
        <v>4674</v>
      </c>
      <c r="H129" s="19" t="n">
        <v>0.7</v>
      </c>
      <c r="I129" s="20" t="n">
        <v>0.56</v>
      </c>
      <c r="J129" s="20" t="n">
        <v>0.87</v>
      </c>
      <c r="K129" s="20" t="n">
        <v>0.97</v>
      </c>
      <c r="L129" s="20" t="n">
        <v>0.87</v>
      </c>
      <c r="M129" s="12" t="n">
        <v>2</v>
      </c>
      <c r="N129" s="11"/>
      <c r="O129" s="1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22"/>
      <c r="AA129" s="22"/>
      <c r="AB129" s="22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customFormat="false" ht="15.75" hidden="false" customHeight="true" outlineLevel="0" collapsed="false">
      <c r="A130" s="18" t="s">
        <v>115</v>
      </c>
      <c r="B130" s="18" t="str">
        <f aca="false" t="array" ref="B130:B130">IF(A130="","",IFERROR(INDEX('CLM &amp; IM Mapping'!$B$2:$B$270,MATCH(TRIM(A130),'CLM &amp; IM Mapping'!$A$2:$A$270,0)),"Not Mapped"))</f>
        <v>Suhas N</v>
      </c>
      <c r="C130" s="18" t="str">
        <f aca="false" t="array" ref="C130:C130">IF(A130="","",IFERROR(INDEX('CLM &amp; IM Mapping'!$C$2:$C$270,MATCH(TRIM(A130),'CLM &amp; IM Mapping'!$A$2:$A$270,0)),"Not Mapped"))</f>
        <v>Aravind S</v>
      </c>
      <c r="D130" s="18" t="s">
        <v>27</v>
      </c>
      <c r="E130" s="18" t="s">
        <v>314</v>
      </c>
      <c r="F130" s="18" t="s">
        <v>22</v>
      </c>
      <c r="G130" s="11" t="n">
        <v>5165</v>
      </c>
      <c r="H130" s="19" t="n">
        <v>0.7</v>
      </c>
      <c r="I130" s="20" t="n">
        <v>0.56</v>
      </c>
      <c r="J130" s="20" t="n">
        <v>0.91</v>
      </c>
      <c r="K130" s="20" t="n">
        <v>0.97</v>
      </c>
      <c r="L130" s="20" t="n">
        <v>0.91</v>
      </c>
      <c r="M130" s="12"/>
      <c r="N130" s="11"/>
      <c r="O130" s="1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22"/>
      <c r="AA130" s="22"/>
      <c r="AB130" s="22"/>
      <c r="AC130" s="22"/>
      <c r="AD130" s="7"/>
      <c r="AE130" s="7"/>
      <c r="AF130" s="7"/>
      <c r="AG130" s="7"/>
      <c r="AH130" s="7"/>
      <c r="AI130" s="7"/>
      <c r="AJ130" s="7"/>
      <c r="AK130" s="7"/>
      <c r="AL130" s="7"/>
    </row>
    <row r="131" customFormat="false" ht="15.75" hidden="false" customHeight="true" outlineLevel="0" collapsed="false">
      <c r="A131" s="18" t="s">
        <v>51</v>
      </c>
      <c r="B131" s="18" t="str">
        <f aca="false" t="array" ref="B131:B131">IF(A131="","",IFERROR(INDEX('CLM &amp; IM Mapping'!$B$2:$B$270,MATCH(TRIM(A131),'CLM &amp; IM Mapping'!$A$2:$A$270,0)),"Not Mapped"))</f>
        <v>Raghavendra Vernekar</v>
      </c>
      <c r="C131" s="18" t="str">
        <f aca="false" t="array" ref="C131:C131">IF(A131="","",IFERROR(INDEX('CLM &amp; IM Mapping'!$C$2:$C$270,MATCH(TRIM(A131),'CLM &amp; IM Mapping'!$A$2:$A$270,0)),"Not Mapped"))</f>
        <v>Prakash BS</v>
      </c>
      <c r="D131" s="18" t="s">
        <v>27</v>
      </c>
      <c r="E131" s="18" t="s">
        <v>314</v>
      </c>
      <c r="F131" s="18" t="s">
        <v>22</v>
      </c>
      <c r="G131" s="11" t="n">
        <v>8294</v>
      </c>
      <c r="H131" s="19" t="n">
        <v>0.7</v>
      </c>
      <c r="I131" s="20" t="n">
        <v>0.56</v>
      </c>
      <c r="J131" s="20" t="n">
        <v>0.82</v>
      </c>
      <c r="K131" s="20" t="n">
        <v>0.94</v>
      </c>
      <c r="L131" s="20" t="n">
        <v>0.82</v>
      </c>
      <c r="M131" s="12" t="n">
        <v>6</v>
      </c>
      <c r="N131" s="11"/>
      <c r="O131" s="1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22"/>
      <c r="AA131" s="22"/>
      <c r="AB131" s="22"/>
      <c r="AC131" s="22"/>
      <c r="AD131" s="7"/>
      <c r="AE131" s="7"/>
      <c r="AF131" s="7"/>
      <c r="AG131" s="7"/>
      <c r="AH131" s="7"/>
      <c r="AI131" s="7"/>
      <c r="AJ131" s="7"/>
      <c r="AK131" s="7"/>
      <c r="AL131" s="7"/>
    </row>
    <row r="132" customFormat="false" ht="15.75" hidden="false" customHeight="true" outlineLevel="0" collapsed="false">
      <c r="A132" s="18" t="s">
        <v>173</v>
      </c>
      <c r="B132" s="18" t="str">
        <f aca="false" t="array" ref="B132:B132">IF(A132="","",IFERROR(INDEX('CLM &amp; IM Mapping'!$B$2:$B$270,MATCH(TRIM(A132),'CLM &amp; IM Mapping'!$A$2:$A$270,0)),"Not Mapped"))</f>
        <v>Vishnu V</v>
      </c>
      <c r="C132" s="18" t="str">
        <f aca="false" t="array" ref="C132:C132">IF(A132="","",IFERROR(INDEX('CLM &amp; IM Mapping'!$C$2:$C$270,MATCH(TRIM(A132),'CLM &amp; IM Mapping'!$A$2:$A$270,0)),"Not Mapped"))</f>
        <v>Arivind S</v>
      </c>
      <c r="D132" s="18" t="s">
        <v>27</v>
      </c>
      <c r="E132" s="18" t="s">
        <v>316</v>
      </c>
      <c r="F132" s="18" t="s">
        <v>104</v>
      </c>
      <c r="G132" s="11" t="n">
        <v>5845</v>
      </c>
      <c r="H132" s="19" t="n">
        <v>0.7</v>
      </c>
      <c r="I132" s="20" t="n">
        <v>0.56</v>
      </c>
      <c r="J132" s="20" t="n">
        <v>0.9</v>
      </c>
      <c r="K132" s="20" t="n">
        <v>0.97</v>
      </c>
      <c r="L132" s="18"/>
      <c r="M132" s="12"/>
      <c r="N132" s="11"/>
      <c r="O132" s="1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22"/>
      <c r="AA132" s="22"/>
      <c r="AB132" s="22"/>
      <c r="AC132" s="22"/>
      <c r="AD132" s="7"/>
      <c r="AE132" s="7"/>
      <c r="AF132" s="7"/>
      <c r="AG132" s="7"/>
      <c r="AH132" s="7"/>
      <c r="AI132" s="7"/>
      <c r="AJ132" s="7"/>
      <c r="AK132" s="7"/>
      <c r="AL132" s="7"/>
    </row>
    <row r="133" customFormat="false" ht="15.75" hidden="false" customHeight="true" outlineLevel="0" collapsed="false">
      <c r="A133" s="18" t="s">
        <v>210</v>
      </c>
      <c r="B133" s="18" t="str">
        <f aca="false" t="array" ref="B133:B133">IF(A133="","",IFERROR(INDEX('CLM &amp; IM Mapping'!$B$2:$B$270,MATCH(TRIM(A133),'CLM &amp; IM Mapping'!$A$2:$A$270,0)),"Not Mapped"))</f>
        <v>Narasimhamurthy R</v>
      </c>
      <c r="C133" s="18" t="str">
        <f aca="false" t="array" ref="C133:C133">IF(A133="","",IFERROR(INDEX('CLM &amp; IM Mapping'!$C$2:$C$270,MATCH(TRIM(A133),'CLM &amp; IM Mapping'!$A$2:$A$270,0)),"Not Mapped"))</f>
        <v>Kishor K</v>
      </c>
      <c r="D133" s="18" t="s">
        <v>27</v>
      </c>
      <c r="E133" s="18" t="s">
        <v>314</v>
      </c>
      <c r="F133" s="18" t="s">
        <v>22</v>
      </c>
      <c r="G133" s="11" t="n">
        <v>5783</v>
      </c>
      <c r="H133" s="19" t="n">
        <v>0.7</v>
      </c>
      <c r="I133" s="20" t="n">
        <v>0.57</v>
      </c>
      <c r="J133" s="20" t="n">
        <v>0.86</v>
      </c>
      <c r="K133" s="20" t="n">
        <v>0.95</v>
      </c>
      <c r="L133" s="20" t="n">
        <v>0.86</v>
      </c>
      <c r="M133" s="12" t="n">
        <v>3</v>
      </c>
      <c r="N133" s="11"/>
      <c r="O133" s="1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22"/>
      <c r="AA133" s="22"/>
      <c r="AB133" s="22"/>
      <c r="AC133" s="22"/>
      <c r="AD133" s="7"/>
      <c r="AE133" s="7"/>
      <c r="AF133" s="7"/>
      <c r="AG133" s="7"/>
      <c r="AH133" s="7"/>
      <c r="AI133" s="7"/>
      <c r="AJ133" s="7"/>
      <c r="AK133" s="7"/>
      <c r="AL133" s="7"/>
    </row>
    <row r="134" customFormat="false" ht="15.75" hidden="false" customHeight="true" outlineLevel="0" collapsed="false">
      <c r="A134" s="18" t="s">
        <v>205</v>
      </c>
      <c r="B134" s="18" t="str">
        <f aca="false" t="array" ref="B134:B134">IF(A134="","",IFERROR(INDEX('CLM &amp; IM Mapping'!$B$2:$B$270,MATCH(TRIM(A134),'CLM &amp; IM Mapping'!$A$2:$A$270,0)),"Not Mapped"))</f>
        <v>Akshay P</v>
      </c>
      <c r="C134" s="18" t="str">
        <f aca="false" t="array" ref="C134:C134">IF(A134="","",IFERROR(INDEX('CLM &amp; IM Mapping'!$C$2:$C$270,MATCH(TRIM(A134),'CLM &amp; IM Mapping'!$A$2:$A$270,0)),"Not Mapped"))</f>
        <v>Srittam Dhal</v>
      </c>
      <c r="D134" s="18" t="s">
        <v>27</v>
      </c>
      <c r="E134" s="18" t="s">
        <v>314</v>
      </c>
      <c r="F134" s="18" t="s">
        <v>22</v>
      </c>
      <c r="G134" s="11" t="n">
        <v>5173</v>
      </c>
      <c r="H134" s="19" t="n">
        <v>0.7</v>
      </c>
      <c r="I134" s="20" t="n">
        <v>0.57</v>
      </c>
      <c r="J134" s="20" t="n">
        <v>0.88</v>
      </c>
      <c r="K134" s="20" t="n">
        <v>0.96</v>
      </c>
      <c r="L134" s="20" t="n">
        <v>0.88</v>
      </c>
      <c r="M134" s="12" t="n">
        <v>2</v>
      </c>
      <c r="N134" s="11"/>
      <c r="O134" s="1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22"/>
      <c r="AA134" s="22"/>
      <c r="AB134" s="22"/>
      <c r="AC134" s="22"/>
      <c r="AD134" s="7"/>
      <c r="AE134" s="7"/>
      <c r="AF134" s="7"/>
      <c r="AG134" s="7"/>
      <c r="AH134" s="7"/>
      <c r="AI134" s="7"/>
      <c r="AJ134" s="7"/>
      <c r="AK134" s="7"/>
      <c r="AL134" s="7"/>
    </row>
    <row r="135" customFormat="false" ht="15.75" hidden="false" customHeight="true" outlineLevel="0" collapsed="false">
      <c r="A135" s="18" t="s">
        <v>134</v>
      </c>
      <c r="B135" s="18" t="str">
        <f aca="false" t="array" ref="B135:B135">IF(A135="","",IFERROR(INDEX('CLM &amp; IM Mapping'!$B$2:$B$270,MATCH(TRIM(A135),'CLM &amp; IM Mapping'!$A$2:$A$270,0)),"Not Mapped"))</f>
        <v>Balaji G</v>
      </c>
      <c r="C135" s="18" t="str">
        <f aca="false" t="array" ref="C135:C135">IF(A135="","",IFERROR(INDEX('CLM &amp; IM Mapping'!$C$2:$C$270,MATCH(TRIM(A135),'CLM &amp; IM Mapping'!$A$2:$A$270,0)),"Not Mapped"))</f>
        <v>Mohammed Akbar</v>
      </c>
      <c r="D135" s="18" t="s">
        <v>27</v>
      </c>
      <c r="E135" s="18" t="s">
        <v>314</v>
      </c>
      <c r="F135" s="18" t="s">
        <v>22</v>
      </c>
      <c r="G135" s="11" t="n">
        <v>6333</v>
      </c>
      <c r="H135" s="19" t="n">
        <v>0.7</v>
      </c>
      <c r="I135" s="20" t="n">
        <v>0.58</v>
      </c>
      <c r="J135" s="20" t="n">
        <v>0.89</v>
      </c>
      <c r="K135" s="20" t="n">
        <v>0.97</v>
      </c>
      <c r="L135" s="20" t="n">
        <v>0.89</v>
      </c>
      <c r="M135" s="12" t="n">
        <v>4</v>
      </c>
      <c r="N135" s="11"/>
      <c r="O135" s="1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22"/>
      <c r="AA135" s="22"/>
      <c r="AB135" s="22"/>
      <c r="AC135" s="22"/>
      <c r="AD135" s="7"/>
      <c r="AE135" s="7"/>
      <c r="AF135" s="7"/>
      <c r="AG135" s="7"/>
      <c r="AH135" s="7"/>
      <c r="AI135" s="7"/>
      <c r="AJ135" s="7"/>
      <c r="AK135" s="7"/>
      <c r="AL135" s="7"/>
    </row>
    <row r="136" customFormat="false" ht="15.75" hidden="false" customHeight="true" outlineLevel="0" collapsed="false">
      <c r="A136" s="18" t="s">
        <v>278</v>
      </c>
      <c r="B136" s="18" t="str">
        <f aca="false" t="array" ref="B136:B136">IF(A136="","",IFERROR(INDEX('CLM &amp; IM Mapping'!$B$2:$B$270,MATCH(TRIM(A136),'CLM &amp; IM Mapping'!$A$2:$A$270,0)),"Not Mapped"))</f>
        <v>Ravishankar gowda</v>
      </c>
      <c r="C136" s="18" t="str">
        <f aca="false" t="array" ref="C136:C136">IF(A136="","",IFERROR(INDEX('CLM &amp; IM Mapping'!$C$2:$C$270,MATCH(TRIM(A136),'CLM &amp; IM Mapping'!$A$2:$A$270,0)),"Not Mapped"))</f>
        <v>Kishor K</v>
      </c>
      <c r="D136" s="18" t="s">
        <v>27</v>
      </c>
      <c r="E136" s="18" t="s">
        <v>314</v>
      </c>
      <c r="F136" s="18" t="s">
        <v>22</v>
      </c>
      <c r="G136" s="11" t="n">
        <v>4147</v>
      </c>
      <c r="H136" s="19" t="n">
        <v>0.7</v>
      </c>
      <c r="I136" s="20" t="n">
        <v>0.58</v>
      </c>
      <c r="J136" s="20" t="n">
        <v>0.93</v>
      </c>
      <c r="K136" s="20" t="n">
        <v>0.95</v>
      </c>
      <c r="L136" s="20" t="n">
        <v>0.93</v>
      </c>
      <c r="M136" s="12" t="n">
        <v>2</v>
      </c>
      <c r="N136" s="11"/>
      <c r="O136" s="1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22"/>
      <c r="AA136" s="22"/>
      <c r="AB136" s="22"/>
      <c r="AC136" s="22"/>
      <c r="AD136" s="7"/>
      <c r="AE136" s="7"/>
      <c r="AF136" s="7"/>
      <c r="AG136" s="7"/>
      <c r="AH136" s="7"/>
      <c r="AI136" s="7"/>
      <c r="AJ136" s="7"/>
      <c r="AK136" s="7"/>
      <c r="AL136" s="7"/>
    </row>
    <row r="137" customFormat="false" ht="15.75" hidden="false" customHeight="true" outlineLevel="0" collapsed="false">
      <c r="A137" s="18" t="s">
        <v>281</v>
      </c>
      <c r="B137" s="18" t="str">
        <f aca="false" t="array" ref="B137:B137">IF(A137="","",IFERROR(INDEX('CLM &amp; IM Mapping'!$B$2:$B$270,MATCH(TRIM(A137),'CLM &amp; IM Mapping'!$A$2:$A$270,0)),"Not Mapped"))</f>
        <v>Basil Scariya</v>
      </c>
      <c r="C137" s="18" t="str">
        <f aca="false" t="array" ref="C137:C137">IF(A137="","",IFERROR(INDEX('CLM &amp; IM Mapping'!$C$2:$C$270,MATCH(TRIM(A137),'CLM &amp; IM Mapping'!$A$2:$A$270,0)),"Not Mapped"))</f>
        <v>Prakash BS</v>
      </c>
      <c r="D137" s="18" t="s">
        <v>27</v>
      </c>
      <c r="E137" s="18" t="s">
        <v>314</v>
      </c>
      <c r="F137" s="18" t="s">
        <v>22</v>
      </c>
      <c r="G137" s="11" t="n">
        <v>6955</v>
      </c>
      <c r="H137" s="19" t="n">
        <v>0.7</v>
      </c>
      <c r="I137" s="20" t="n">
        <v>0.58</v>
      </c>
      <c r="J137" s="20" t="n">
        <v>0.93</v>
      </c>
      <c r="K137" s="20" t="n">
        <v>0.98</v>
      </c>
      <c r="L137" s="20" t="n">
        <v>0.93</v>
      </c>
      <c r="M137" s="12" t="n">
        <v>5</v>
      </c>
      <c r="N137" s="11"/>
      <c r="O137" s="1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22"/>
      <c r="AA137" s="22"/>
      <c r="AB137" s="22"/>
      <c r="AC137" s="22"/>
      <c r="AD137" s="7"/>
      <c r="AE137" s="7"/>
      <c r="AF137" s="7"/>
      <c r="AG137" s="7"/>
      <c r="AH137" s="7"/>
      <c r="AI137" s="7"/>
      <c r="AJ137" s="7"/>
      <c r="AK137" s="7"/>
      <c r="AL137" s="7"/>
    </row>
    <row r="138" customFormat="false" ht="15.75" hidden="false" customHeight="true" outlineLevel="0" collapsed="false">
      <c r="A138" s="18" t="s">
        <v>150</v>
      </c>
      <c r="B138" s="18" t="str">
        <f aca="false" t="array" ref="B138:B138">IF(A138="","",IFERROR(INDEX('CLM &amp; IM Mapping'!$B$2:$B$270,MATCH(TRIM(A138),'CLM &amp; IM Mapping'!$A$2:$A$270,0)),"Not Mapped"))</f>
        <v>Manjunatha V</v>
      </c>
      <c r="C138" s="18" t="str">
        <f aca="false" t="array" ref="C138:C138">IF(A138="","",IFERROR(INDEX('CLM &amp; IM Mapping'!$C$2:$C$270,MATCH(TRIM(A138),'CLM &amp; IM Mapping'!$A$2:$A$270,0)),"Not Mapped"))</f>
        <v>Un Mapped</v>
      </c>
      <c r="D138" s="18" t="s">
        <v>27</v>
      </c>
      <c r="E138" s="18" t="s">
        <v>316</v>
      </c>
      <c r="F138" s="18" t="s">
        <v>22</v>
      </c>
      <c r="G138" s="11" t="n">
        <v>5222</v>
      </c>
      <c r="H138" s="19" t="n">
        <v>0.7</v>
      </c>
      <c r="I138" s="20" t="n">
        <v>0.59</v>
      </c>
      <c r="J138" s="20" t="n">
        <v>0.83</v>
      </c>
      <c r="K138" s="20" t="n">
        <v>0.96</v>
      </c>
      <c r="L138" s="20" t="n">
        <v>0.83</v>
      </c>
      <c r="M138" s="12" t="n">
        <v>4</v>
      </c>
      <c r="N138" s="11"/>
      <c r="O138" s="1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22"/>
      <c r="AA138" s="22"/>
      <c r="AB138" s="22"/>
      <c r="AC138" s="22"/>
      <c r="AD138" s="7"/>
      <c r="AE138" s="7"/>
      <c r="AF138" s="7"/>
      <c r="AG138" s="7"/>
      <c r="AH138" s="7"/>
      <c r="AI138" s="7"/>
      <c r="AJ138" s="7"/>
      <c r="AK138" s="7"/>
      <c r="AL138" s="7"/>
    </row>
    <row r="139" customFormat="false" ht="15.75" hidden="false" customHeight="true" outlineLevel="0" collapsed="false">
      <c r="A139" s="18" t="s">
        <v>164</v>
      </c>
      <c r="B139" s="18" t="str">
        <f aca="false" t="array" ref="B139:B139">IF(A139="","",IFERROR(INDEX('CLM &amp; IM Mapping'!$B$2:$B$270,MATCH(TRIM(A139),'CLM &amp; IM Mapping'!$A$2:$A$270,0)),"Not Mapped"))</f>
        <v>Akshay P</v>
      </c>
      <c r="C139" s="18" t="str">
        <f aca="false" t="array" ref="C139:C139">IF(A139="","",IFERROR(INDEX('CLM &amp; IM Mapping'!$C$2:$C$270,MATCH(TRIM(A139),'CLM &amp; IM Mapping'!$A$2:$A$270,0)),"Not Mapped"))</f>
        <v>Srittam Dhal</v>
      </c>
      <c r="D139" s="18" t="s">
        <v>27</v>
      </c>
      <c r="E139" s="18" t="s">
        <v>314</v>
      </c>
      <c r="F139" s="18" t="s">
        <v>22</v>
      </c>
      <c r="G139" s="11" t="n">
        <v>6002</v>
      </c>
      <c r="H139" s="19" t="n">
        <v>0.7</v>
      </c>
      <c r="I139" s="20" t="n">
        <v>0.59</v>
      </c>
      <c r="J139" s="20" t="n">
        <v>0.92</v>
      </c>
      <c r="K139" s="20" t="n">
        <v>0.97</v>
      </c>
      <c r="L139" s="20" t="n">
        <v>0.92</v>
      </c>
      <c r="M139" s="12" t="n">
        <v>3</v>
      </c>
      <c r="N139" s="11"/>
      <c r="O139" s="1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22"/>
      <c r="AA139" s="22"/>
      <c r="AB139" s="22"/>
      <c r="AC139" s="22"/>
      <c r="AD139" s="7"/>
      <c r="AE139" s="7"/>
      <c r="AF139" s="7"/>
      <c r="AG139" s="7"/>
      <c r="AH139" s="7"/>
      <c r="AI139" s="7"/>
      <c r="AJ139" s="7"/>
      <c r="AK139" s="7"/>
      <c r="AL139" s="7"/>
    </row>
    <row r="140" customFormat="false" ht="15.75" hidden="false" customHeight="true" outlineLevel="0" collapsed="false">
      <c r="A140" s="18" t="s">
        <v>105</v>
      </c>
      <c r="B140" s="18" t="str">
        <f aca="false" t="array" ref="B140:B140">IF(A140="","",IFERROR(INDEX('CLM &amp; IM Mapping'!$B$2:$B$270,MATCH(TRIM(A140),'CLM &amp; IM Mapping'!$A$2:$A$270,0)),"Not Mapped"))</f>
        <v>Vishnu V</v>
      </c>
      <c r="C140" s="18" t="str">
        <f aca="false" t="array" ref="C140:C140">IF(A140="","",IFERROR(INDEX('CLM &amp; IM Mapping'!$C$2:$C$270,MATCH(TRIM(A140),'CLM &amp; IM Mapping'!$A$2:$A$270,0)),"Not Mapped"))</f>
        <v>Arivind S</v>
      </c>
      <c r="D140" s="18" t="s">
        <v>27</v>
      </c>
      <c r="E140" s="18" t="s">
        <v>314</v>
      </c>
      <c r="F140" s="18" t="s">
        <v>104</v>
      </c>
      <c r="G140" s="11" t="n">
        <v>6377</v>
      </c>
      <c r="H140" s="19" t="n">
        <v>0.7</v>
      </c>
      <c r="I140" s="20" t="n">
        <v>0.59</v>
      </c>
      <c r="J140" s="20" t="n">
        <v>0.92</v>
      </c>
      <c r="K140" s="20" t="n">
        <v>0.98</v>
      </c>
      <c r="L140" s="20" t="n">
        <v>0.92</v>
      </c>
      <c r="M140" s="12" t="n">
        <v>3</v>
      </c>
      <c r="N140" s="11"/>
      <c r="O140" s="1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22"/>
      <c r="AA140" s="22"/>
      <c r="AB140" s="22"/>
      <c r="AC140" s="22"/>
      <c r="AD140" s="7"/>
      <c r="AE140" s="7"/>
      <c r="AF140" s="7"/>
      <c r="AG140" s="7"/>
      <c r="AH140" s="7"/>
      <c r="AI140" s="7"/>
      <c r="AJ140" s="7"/>
      <c r="AK140" s="7"/>
      <c r="AL140" s="7"/>
    </row>
    <row r="141" customFormat="false" ht="15.75" hidden="false" customHeight="true" outlineLevel="0" collapsed="false">
      <c r="A141" s="18" t="s">
        <v>257</v>
      </c>
      <c r="B141" s="18" t="str">
        <f aca="false" t="array" ref="B141:B141">IF(A141="","",IFERROR(INDEX('CLM &amp; IM Mapping'!$B$2:$B$270,MATCH(TRIM(A141),'CLM &amp; IM Mapping'!$A$2:$A$270,0)),"Not Mapped"))</f>
        <v>Vishnu V</v>
      </c>
      <c r="C141" s="18" t="str">
        <f aca="false" t="array" ref="C141:C141">IF(A141="","",IFERROR(INDEX('CLM &amp; IM Mapping'!$C$2:$C$270,MATCH(TRIM(A141),'CLM &amp; IM Mapping'!$A$2:$A$270,0)),"Not Mapped"))</f>
        <v>Arivind S</v>
      </c>
      <c r="D141" s="18" t="s">
        <v>27</v>
      </c>
      <c r="E141" s="18" t="s">
        <v>316</v>
      </c>
      <c r="F141" s="18" t="s">
        <v>104</v>
      </c>
      <c r="G141" s="11" t="n">
        <v>6661</v>
      </c>
      <c r="H141" s="19" t="n">
        <v>0.7</v>
      </c>
      <c r="I141" s="20" t="n">
        <v>0.59</v>
      </c>
      <c r="J141" s="20" t="n">
        <v>0.96</v>
      </c>
      <c r="K141" s="20" t="n">
        <v>0.99</v>
      </c>
      <c r="L141" s="20" t="n">
        <v>0.96</v>
      </c>
      <c r="M141" s="12" t="n">
        <v>1</v>
      </c>
      <c r="N141" s="11"/>
      <c r="O141" s="1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22"/>
      <c r="AA141" s="22"/>
      <c r="AB141" s="22"/>
      <c r="AC141" s="22"/>
      <c r="AD141" s="7"/>
      <c r="AE141" s="7"/>
      <c r="AF141" s="7"/>
      <c r="AG141" s="7"/>
      <c r="AH141" s="7"/>
      <c r="AI141" s="7"/>
      <c r="AJ141" s="7"/>
      <c r="AK141" s="7"/>
      <c r="AL141" s="7"/>
    </row>
    <row r="142" customFormat="false" ht="15.75" hidden="false" customHeight="true" outlineLevel="0" collapsed="false">
      <c r="A142" s="18" t="s">
        <v>166</v>
      </c>
      <c r="B142" s="18" t="str">
        <f aca="false" t="array" ref="B142:B142">IF(A142="","",IFERROR(INDEX('CLM &amp; IM Mapping'!$B$2:$B$270,MATCH(TRIM(A142),'CLM &amp; IM Mapping'!$A$2:$A$270,0)),"Not Mapped"))</f>
        <v>Akshay P</v>
      </c>
      <c r="C142" s="18" t="str">
        <f aca="false" t="array" ref="C142:C142">IF(A142="","",IFERROR(INDEX('CLM &amp; IM Mapping'!$C$2:$C$270,MATCH(TRIM(A142),'CLM &amp; IM Mapping'!$A$2:$A$270,0)),"Not Mapped"))</f>
        <v>Srittam Dhal</v>
      </c>
      <c r="D142" s="18" t="s">
        <v>27</v>
      </c>
      <c r="E142" s="18" t="s">
        <v>316</v>
      </c>
      <c r="F142" s="18" t="s">
        <v>165</v>
      </c>
      <c r="G142" s="11" t="n">
        <v>7007</v>
      </c>
      <c r="H142" s="19" t="n">
        <v>0.7</v>
      </c>
      <c r="I142" s="20" t="n">
        <v>0.59</v>
      </c>
      <c r="J142" s="20" t="n">
        <v>0.97</v>
      </c>
      <c r="K142" s="20" t="n">
        <v>0.98</v>
      </c>
      <c r="L142" s="20" t="n">
        <v>0.97</v>
      </c>
      <c r="M142" s="12" t="n">
        <v>1</v>
      </c>
      <c r="N142" s="11"/>
      <c r="O142" s="1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22"/>
      <c r="AA142" s="22"/>
      <c r="AB142" s="22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customFormat="false" ht="15.75" hidden="false" customHeight="true" outlineLevel="0" collapsed="false">
      <c r="A143" s="18" t="s">
        <v>114</v>
      </c>
      <c r="B143" s="18" t="str">
        <f aca="false" t="array" ref="B143:B143">IF(A143="","",IFERROR(INDEX('CLM &amp; IM Mapping'!$B$2:$B$270,MATCH(TRIM(A143),'CLM &amp; IM Mapping'!$A$2:$A$270,0)),"Not Mapped"))</f>
        <v>Sundaresh S</v>
      </c>
      <c r="C143" s="18" t="str">
        <f aca="false" t="array" ref="C143:C143">IF(A143="","",IFERROR(INDEX('CLM &amp; IM Mapping'!$C$2:$C$270,MATCH(TRIM(A143),'CLM &amp; IM Mapping'!$A$2:$A$270,0)),"Not Mapped"))</f>
        <v>Un Mapped</v>
      </c>
      <c r="D143" s="18" t="s">
        <v>27</v>
      </c>
      <c r="E143" s="18" t="s">
        <v>314</v>
      </c>
      <c r="F143" s="18" t="s">
        <v>22</v>
      </c>
      <c r="G143" s="11" t="n">
        <v>5757</v>
      </c>
      <c r="H143" s="19" t="n">
        <v>0.7</v>
      </c>
      <c r="I143" s="20" t="n">
        <v>0.6</v>
      </c>
      <c r="J143" s="20" t="n">
        <v>0.88</v>
      </c>
      <c r="K143" s="20" t="n">
        <v>0.95</v>
      </c>
      <c r="L143" s="20" t="n">
        <v>0.88</v>
      </c>
      <c r="M143" s="12" t="n">
        <v>3</v>
      </c>
      <c r="N143" s="11"/>
      <c r="O143" s="1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22"/>
      <c r="AA143" s="22"/>
      <c r="AB143" s="22"/>
      <c r="AC143" s="22"/>
      <c r="AD143" s="7"/>
      <c r="AE143" s="7"/>
      <c r="AF143" s="7"/>
      <c r="AG143" s="7"/>
      <c r="AH143" s="7"/>
      <c r="AI143" s="7"/>
      <c r="AJ143" s="7"/>
      <c r="AK143" s="7"/>
      <c r="AL143" s="7"/>
    </row>
    <row r="144" customFormat="false" ht="15.75" hidden="false" customHeight="true" outlineLevel="0" collapsed="false">
      <c r="A144" s="18" t="s">
        <v>160</v>
      </c>
      <c r="B144" s="18" t="str">
        <f aca="false" t="array" ref="B144:B144">IF(A144="","",IFERROR(INDEX('CLM &amp; IM Mapping'!$B$2:$B$270,MATCH(TRIM(A144),'CLM &amp; IM Mapping'!$A$2:$A$270,0)),"Not Mapped"))</f>
        <v>Suhas N</v>
      </c>
      <c r="C144" s="18" t="str">
        <f aca="false" t="array" ref="C144:C144">IF(A144="","",IFERROR(INDEX('CLM &amp; IM Mapping'!$C$2:$C$270,MATCH(TRIM(A144),'CLM &amp; IM Mapping'!$A$2:$A$270,0)),"Not Mapped"))</f>
        <v>Aravind S</v>
      </c>
      <c r="D144" s="18" t="s">
        <v>27</v>
      </c>
      <c r="E144" s="18" t="s">
        <v>314</v>
      </c>
      <c r="F144" s="18" t="s">
        <v>22</v>
      </c>
      <c r="G144" s="11" t="n">
        <v>7332</v>
      </c>
      <c r="H144" s="19" t="n">
        <v>0.7</v>
      </c>
      <c r="I144" s="20" t="n">
        <v>0.6</v>
      </c>
      <c r="J144" s="20" t="n">
        <v>0.97</v>
      </c>
      <c r="K144" s="20" t="n">
        <v>0.99</v>
      </c>
      <c r="L144" s="20" t="n">
        <v>0.97</v>
      </c>
      <c r="M144" s="12" t="n">
        <v>1</v>
      </c>
      <c r="N144" s="11"/>
      <c r="O144" s="1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22"/>
      <c r="AA144" s="22"/>
      <c r="AB144" s="22"/>
      <c r="AC144" s="22"/>
      <c r="AD144" s="7"/>
      <c r="AE144" s="7"/>
      <c r="AF144" s="7"/>
      <c r="AG144" s="7"/>
      <c r="AH144" s="7"/>
      <c r="AI144" s="7"/>
      <c r="AJ144" s="7"/>
      <c r="AK144" s="7"/>
      <c r="AL144" s="7"/>
    </row>
    <row r="145" customFormat="false" ht="15.75" hidden="false" customHeight="true" outlineLevel="0" collapsed="false">
      <c r="A145" s="18" t="s">
        <v>121</v>
      </c>
      <c r="B145" s="18" t="str">
        <f aca="false" t="array" ref="B145:B145">IF(A145="","",IFERROR(INDEX('CLM &amp; IM Mapping'!$B$2:$B$270,MATCH(TRIM(A145),'CLM &amp; IM Mapping'!$A$2:$A$270,0)),"Not Mapped"))</f>
        <v>Raghavendra Vernekar</v>
      </c>
      <c r="C145" s="18" t="str">
        <f aca="false" t="array" ref="C145:C145">IF(A145="","",IFERROR(INDEX('CLM &amp; IM Mapping'!$C$2:$C$270,MATCH(TRIM(A145),'CLM &amp; IM Mapping'!$A$2:$A$270,0)),"Not Mapped"))</f>
        <v>Prakash BS</v>
      </c>
      <c r="D145" s="18" t="s">
        <v>27</v>
      </c>
      <c r="E145" s="18" t="s">
        <v>314</v>
      </c>
      <c r="F145" s="18" t="s">
        <v>22</v>
      </c>
      <c r="G145" s="11" t="n">
        <v>5155</v>
      </c>
      <c r="H145" s="19" t="n">
        <v>0.7</v>
      </c>
      <c r="I145" s="20" t="n">
        <v>0.6</v>
      </c>
      <c r="J145" s="20" t="n">
        <v>0.89</v>
      </c>
      <c r="K145" s="20" t="n">
        <v>0.97</v>
      </c>
      <c r="L145" s="20" t="n">
        <v>0.89</v>
      </c>
      <c r="M145" s="12" t="n">
        <v>4</v>
      </c>
      <c r="N145" s="11"/>
      <c r="O145" s="1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22"/>
      <c r="AA145" s="22"/>
      <c r="AB145" s="22"/>
      <c r="AC145" s="22"/>
      <c r="AD145" s="7"/>
      <c r="AE145" s="7"/>
      <c r="AF145" s="7"/>
      <c r="AG145" s="7"/>
      <c r="AH145" s="7"/>
      <c r="AI145" s="7"/>
      <c r="AJ145" s="7"/>
      <c r="AK145" s="7"/>
      <c r="AL145" s="7"/>
    </row>
    <row r="146" customFormat="false" ht="15.75" hidden="false" customHeight="true" outlineLevel="0" collapsed="false">
      <c r="A146" s="18" t="s">
        <v>179</v>
      </c>
      <c r="B146" s="18" t="str">
        <f aca="false" t="array" ref="B146:B146">IF(A146="","",IFERROR(INDEX('CLM &amp; IM Mapping'!$B$2:$B$270,MATCH(TRIM(A146),'CLM &amp; IM Mapping'!$A$2:$A$270,0)),"Not Mapped"))</f>
        <v>Santhosha M</v>
      </c>
      <c r="C146" s="18" t="str">
        <f aca="false" t="array" ref="C146:C146">IF(A146="","",IFERROR(INDEX('CLM &amp; IM Mapping'!$C$2:$C$270,MATCH(TRIM(A146),'CLM &amp; IM Mapping'!$A$2:$A$270,0)),"Not Mapped"))</f>
        <v>Aravind S</v>
      </c>
      <c r="D146" s="18" t="s">
        <v>27</v>
      </c>
      <c r="E146" s="18" t="s">
        <v>316</v>
      </c>
      <c r="F146" s="18" t="s">
        <v>130</v>
      </c>
      <c r="G146" s="11" t="n">
        <v>7361</v>
      </c>
      <c r="H146" s="19" t="n">
        <v>0.7</v>
      </c>
      <c r="I146" s="20" t="n">
        <v>0.6</v>
      </c>
      <c r="J146" s="20" t="n">
        <v>0.96</v>
      </c>
      <c r="K146" s="20" t="n">
        <v>0.98</v>
      </c>
      <c r="L146" s="20" t="n">
        <v>0.96</v>
      </c>
      <c r="M146" s="12" t="n">
        <v>1</v>
      </c>
      <c r="N146" s="11"/>
      <c r="O146" s="1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22"/>
      <c r="AA146" s="22"/>
      <c r="AB146" s="22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customFormat="false" ht="15.75" hidden="false" customHeight="true" outlineLevel="0" collapsed="false">
      <c r="A147" s="18" t="s">
        <v>127</v>
      </c>
      <c r="B147" s="18" t="str">
        <f aca="false" t="array" ref="B147:B147">IF(A147="","",IFERROR(INDEX('CLM &amp; IM Mapping'!$B$2:$B$270,MATCH(TRIM(A147),'CLM &amp; IM Mapping'!$A$2:$A$270,0)),"Not Mapped"))</f>
        <v>Rizwan Ahmed</v>
      </c>
      <c r="C147" s="18" t="str">
        <f aca="false" t="array" ref="C147:C147">IF(A147="","",IFERROR(INDEX('CLM &amp; IM Mapping'!$C$2:$C$270,MATCH(TRIM(A147),'CLM &amp; IM Mapping'!$A$2:$A$270,0)),"Not Mapped"))</f>
        <v>Prakash BS</v>
      </c>
      <c r="D147" s="18" t="s">
        <v>27</v>
      </c>
      <c r="E147" s="18" t="s">
        <v>314</v>
      </c>
      <c r="F147" s="18" t="s">
        <v>22</v>
      </c>
      <c r="G147" s="11" t="n">
        <v>7382</v>
      </c>
      <c r="H147" s="19" t="n">
        <v>0.7</v>
      </c>
      <c r="I147" s="20" t="n">
        <v>0.61</v>
      </c>
      <c r="J147" s="20" t="n">
        <v>0.88</v>
      </c>
      <c r="K147" s="20" t="n">
        <v>0.97</v>
      </c>
      <c r="L147" s="20" t="n">
        <v>0.88</v>
      </c>
      <c r="M147" s="12" t="n">
        <v>6</v>
      </c>
      <c r="N147" s="11"/>
      <c r="O147" s="1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22"/>
      <c r="AA147" s="22"/>
      <c r="AB147" s="22"/>
      <c r="AC147" s="22"/>
      <c r="AD147" s="7"/>
      <c r="AE147" s="7"/>
      <c r="AF147" s="7"/>
      <c r="AG147" s="7"/>
      <c r="AH147" s="7"/>
      <c r="AI147" s="7"/>
      <c r="AJ147" s="7"/>
      <c r="AK147" s="7"/>
      <c r="AL147" s="7"/>
    </row>
    <row r="148" customFormat="false" ht="15.75" hidden="false" customHeight="true" outlineLevel="0" collapsed="false">
      <c r="A148" s="18" t="s">
        <v>152</v>
      </c>
      <c r="B148" s="18" t="str">
        <f aca="false" t="array" ref="B148:B148">IF(A148="","",IFERROR(INDEX('CLM &amp; IM Mapping'!$B$2:$B$270,MATCH(TRIM(A148),'CLM &amp; IM Mapping'!$A$2:$A$270,0)),"Not Mapped"))</f>
        <v>Basil Scariya</v>
      </c>
      <c r="C148" s="18" t="str">
        <f aca="false" t="array" ref="C148:C148">IF(A148="","",IFERROR(INDEX('CLM &amp; IM Mapping'!$C$2:$C$270,MATCH(TRIM(A148),'CLM &amp; IM Mapping'!$A$2:$A$270,0)),"Not Mapped"))</f>
        <v>Prakash BS</v>
      </c>
      <c r="D148" s="18" t="s">
        <v>27</v>
      </c>
      <c r="E148" s="18" t="s">
        <v>314</v>
      </c>
      <c r="F148" s="18" t="s">
        <v>22</v>
      </c>
      <c r="G148" s="11" t="n">
        <v>6269</v>
      </c>
      <c r="H148" s="19" t="n">
        <v>0.7</v>
      </c>
      <c r="I148" s="20" t="n">
        <v>0.62</v>
      </c>
      <c r="J148" s="20" t="n">
        <v>0.88</v>
      </c>
      <c r="K148" s="20" t="n">
        <v>0.96</v>
      </c>
      <c r="L148" s="20" t="n">
        <v>0.88</v>
      </c>
      <c r="M148" s="12" t="n">
        <v>4</v>
      </c>
      <c r="N148" s="11"/>
      <c r="O148" s="1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22"/>
      <c r="AA148" s="22"/>
      <c r="AB148" s="22"/>
      <c r="AC148" s="22"/>
      <c r="AD148" s="7"/>
      <c r="AE148" s="7"/>
      <c r="AF148" s="7"/>
      <c r="AG148" s="7"/>
      <c r="AH148" s="7"/>
      <c r="AI148" s="7"/>
      <c r="AJ148" s="7"/>
      <c r="AK148" s="7"/>
      <c r="AL148" s="7"/>
    </row>
    <row r="149" customFormat="false" ht="15.75" hidden="false" customHeight="true" outlineLevel="0" collapsed="false">
      <c r="A149" s="18" t="s">
        <v>254</v>
      </c>
      <c r="B149" s="18" t="str">
        <f aca="false" t="array" ref="B149:B149">IF(A149="","",IFERROR(INDEX('CLM &amp; IM Mapping'!$B$2:$B$270,MATCH(TRIM(A149),'CLM &amp; IM Mapping'!$A$2:$A$270,0)),"Not Mapped"))</f>
        <v>Suhas N</v>
      </c>
      <c r="C149" s="18" t="str">
        <f aca="false" t="array" ref="C149:C149">IF(A149="","",IFERROR(INDEX('CLM &amp; IM Mapping'!$C$2:$C$270,MATCH(TRIM(A149),'CLM &amp; IM Mapping'!$A$2:$A$270,0)),"Not Mapped"))</f>
        <v>Aravind S</v>
      </c>
      <c r="D149" s="18" t="s">
        <v>27</v>
      </c>
      <c r="E149" s="18" t="s">
        <v>314</v>
      </c>
      <c r="F149" s="18" t="s">
        <v>22</v>
      </c>
      <c r="G149" s="11" t="n">
        <v>4895</v>
      </c>
      <c r="H149" s="19" t="n">
        <v>0.7</v>
      </c>
      <c r="I149" s="20" t="n">
        <v>0.62</v>
      </c>
      <c r="J149" s="20" t="n">
        <v>0.93</v>
      </c>
      <c r="K149" s="20" t="n">
        <v>0.98</v>
      </c>
      <c r="L149" s="20" t="n">
        <v>0.93</v>
      </c>
      <c r="M149" s="12" t="n">
        <v>4</v>
      </c>
      <c r="N149" s="11"/>
      <c r="O149" s="1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22"/>
      <c r="AA149" s="22"/>
      <c r="AB149" s="22"/>
      <c r="AC149" s="22"/>
      <c r="AD149" s="7"/>
      <c r="AE149" s="7"/>
      <c r="AF149" s="7"/>
      <c r="AG149" s="7"/>
      <c r="AH149" s="7"/>
      <c r="AI149" s="7"/>
      <c r="AJ149" s="7"/>
      <c r="AK149" s="7"/>
      <c r="AL149" s="7"/>
    </row>
    <row r="150" customFormat="false" ht="15.75" hidden="false" customHeight="true" outlineLevel="0" collapsed="false">
      <c r="A150" s="18" t="s">
        <v>132</v>
      </c>
      <c r="B150" s="18" t="str">
        <f aca="false" t="array" ref="B150:B150">IF(A150="","",IFERROR(INDEX('CLM &amp; IM Mapping'!$B$2:$B$270,MATCH(TRIM(A150),'CLM &amp; IM Mapping'!$A$2:$A$270,0)),"Not Mapped"))</f>
        <v>Rizwan Ahmed</v>
      </c>
      <c r="C150" s="18" t="str">
        <f aca="false" t="array" ref="C150:C150">IF(A150="","",IFERROR(INDEX('CLM &amp; IM Mapping'!$C$2:$C$270,MATCH(TRIM(A150),'CLM &amp; IM Mapping'!$A$2:$A$270,0)),"Not Mapped"))</f>
        <v>Un Mapped</v>
      </c>
      <c r="D150" s="18" t="s">
        <v>27</v>
      </c>
      <c r="E150" s="18" t="s">
        <v>316</v>
      </c>
      <c r="F150" s="18" t="s">
        <v>22</v>
      </c>
      <c r="G150" s="11" t="n">
        <v>5449</v>
      </c>
      <c r="H150" s="19" t="n">
        <v>0.7</v>
      </c>
      <c r="I150" s="20" t="n">
        <v>0.62</v>
      </c>
      <c r="J150" s="20" t="n">
        <v>0.93</v>
      </c>
      <c r="K150" s="20" t="n">
        <v>0.98</v>
      </c>
      <c r="L150" s="20" t="n">
        <v>0.93</v>
      </c>
      <c r="M150" s="12" t="n">
        <v>2</v>
      </c>
      <c r="N150" s="11"/>
      <c r="O150" s="1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22"/>
      <c r="AA150" s="22"/>
      <c r="AB150" s="22"/>
      <c r="AC150" s="22"/>
      <c r="AD150" s="7"/>
      <c r="AE150" s="7"/>
      <c r="AF150" s="7"/>
      <c r="AG150" s="7"/>
      <c r="AH150" s="7"/>
      <c r="AI150" s="7"/>
      <c r="AJ150" s="7"/>
      <c r="AK150" s="7"/>
      <c r="AL150" s="7"/>
    </row>
    <row r="151" customFormat="false" ht="15.75" hidden="false" customHeight="true" outlineLevel="0" collapsed="false">
      <c r="A151" s="18" t="s">
        <v>206</v>
      </c>
      <c r="B151" s="18" t="str">
        <f aca="false" t="array" ref="B151:B151">IF(A151="","",IFERROR(INDEX('CLM &amp; IM Mapping'!$B$2:$B$270,MATCH(TRIM(A151),'CLM &amp; IM Mapping'!$A$2:$A$270,0)),"Not Mapped"))</f>
        <v>Raghavendra Vernekar</v>
      </c>
      <c r="C151" s="18" t="str">
        <f aca="false" t="array" ref="C151:C151">IF(A151="","",IFERROR(INDEX('CLM &amp; IM Mapping'!$C$2:$C$270,MATCH(TRIM(A151),'CLM &amp; IM Mapping'!$A$2:$A$270,0)),"Not Mapped"))</f>
        <v>Prakash BS</v>
      </c>
      <c r="D151" s="18" t="s">
        <v>27</v>
      </c>
      <c r="E151" s="18" t="s">
        <v>314</v>
      </c>
      <c r="F151" s="18" t="s">
        <v>22</v>
      </c>
      <c r="G151" s="11" t="n">
        <v>5097</v>
      </c>
      <c r="H151" s="19" t="n">
        <v>0.7</v>
      </c>
      <c r="I151" s="20" t="n">
        <v>0.62</v>
      </c>
      <c r="J151" s="20" t="n">
        <v>0.79</v>
      </c>
      <c r="K151" s="20" t="n">
        <v>0.95</v>
      </c>
      <c r="L151" s="20" t="n">
        <v>0.79</v>
      </c>
      <c r="M151" s="12" t="n">
        <v>6</v>
      </c>
      <c r="N151" s="11"/>
      <c r="O151" s="1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22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customFormat="false" ht="15.75" hidden="false" customHeight="true" outlineLevel="0" collapsed="false">
      <c r="A152" s="18" t="s">
        <v>237</v>
      </c>
      <c r="B152" s="18" t="str">
        <f aca="false" t="array" ref="B152:B152">IF(A152="","",IFERROR(INDEX('CLM &amp; IM Mapping'!$B$2:$B$270,MATCH(TRIM(A152),'CLM &amp; IM Mapping'!$A$2:$A$270,0)),"Not Mapped"))</f>
        <v>Bangareppa CS</v>
      </c>
      <c r="C152" s="18" t="str">
        <f aca="false" t="array" ref="C152:C152">IF(A152="","",IFERROR(INDEX('CLM &amp; IM Mapping'!$C$2:$C$270,MATCH(TRIM(A152),'CLM &amp; IM Mapping'!$A$2:$A$270,0)),"Not Mapped"))</f>
        <v>Kishor K</v>
      </c>
      <c r="D152" s="18" t="s">
        <v>27</v>
      </c>
      <c r="E152" s="18" t="s">
        <v>314</v>
      </c>
      <c r="F152" s="18" t="s">
        <v>99</v>
      </c>
      <c r="G152" s="11" t="n">
        <v>5445</v>
      </c>
      <c r="H152" s="19" t="n">
        <v>0.7</v>
      </c>
      <c r="I152" s="20" t="n">
        <v>0.62</v>
      </c>
      <c r="J152" s="20" t="n">
        <v>0.98</v>
      </c>
      <c r="K152" s="20" t="n">
        <v>0.99</v>
      </c>
      <c r="L152" s="18"/>
      <c r="M152" s="12" t="n">
        <v>1</v>
      </c>
      <c r="N152" s="11"/>
      <c r="O152" s="1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22"/>
      <c r="AA152" s="22"/>
      <c r="AB152" s="22"/>
      <c r="AC152" s="22"/>
      <c r="AD152" s="7"/>
      <c r="AE152" s="7"/>
      <c r="AF152" s="7"/>
      <c r="AG152" s="7"/>
      <c r="AH152" s="7"/>
      <c r="AI152" s="7"/>
      <c r="AJ152" s="7"/>
      <c r="AK152" s="7"/>
      <c r="AL152" s="7"/>
    </row>
    <row r="153" customFormat="false" ht="15.75" hidden="false" customHeight="true" outlineLevel="0" collapsed="false">
      <c r="A153" s="18" t="s">
        <v>246</v>
      </c>
      <c r="B153" s="18" t="str">
        <f aca="false" t="array" ref="B153:B153">IF(A153="","",IFERROR(INDEX('CLM &amp; IM Mapping'!$B$2:$B$270,MATCH(TRIM(A153),'CLM &amp; IM Mapping'!$A$2:$A$270,0)),"Not Mapped"))</f>
        <v>Vishnu V</v>
      </c>
      <c r="C153" s="18" t="str">
        <f aca="false" t="array" ref="C153:C153">IF(A153="","",IFERROR(INDEX('CLM &amp; IM Mapping'!$C$2:$C$270,MATCH(TRIM(A153),'CLM &amp; IM Mapping'!$A$2:$A$270,0)),"Not Mapped"))</f>
        <v>Arivind S</v>
      </c>
      <c r="D153" s="18" t="s">
        <v>27</v>
      </c>
      <c r="E153" s="18" t="s">
        <v>316</v>
      </c>
      <c r="F153" s="18" t="s">
        <v>221</v>
      </c>
      <c r="G153" s="11" t="n">
        <v>5099</v>
      </c>
      <c r="H153" s="19" t="n">
        <v>0.7</v>
      </c>
      <c r="I153" s="20" t="n">
        <v>0.62</v>
      </c>
      <c r="J153" s="20" t="n">
        <v>0.99</v>
      </c>
      <c r="K153" s="20" t="n">
        <v>1</v>
      </c>
      <c r="L153" s="20" t="n">
        <v>0.99</v>
      </c>
      <c r="M153" s="12" t="n">
        <v>1</v>
      </c>
      <c r="N153" s="11"/>
      <c r="O153" s="1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22"/>
      <c r="AA153" s="22"/>
      <c r="AB153" s="22"/>
      <c r="AC153" s="22"/>
      <c r="AD153" s="7"/>
      <c r="AE153" s="7"/>
      <c r="AF153" s="7"/>
      <c r="AG153" s="7"/>
      <c r="AH153" s="7"/>
      <c r="AI153" s="7"/>
      <c r="AJ153" s="7"/>
      <c r="AK153" s="7"/>
      <c r="AL153" s="7"/>
    </row>
    <row r="154" customFormat="false" ht="15.75" hidden="false" customHeight="true" outlineLevel="0" collapsed="false">
      <c r="A154" s="18" t="s">
        <v>74</v>
      </c>
      <c r="B154" s="18" t="str">
        <f aca="false" t="array" ref="B154:B154">IF(A154="","",IFERROR(INDEX('CLM &amp; IM Mapping'!$B$2:$B$270,MATCH(TRIM(A154),'CLM &amp; IM Mapping'!$A$2:$A$270,0)),"Not Mapped"))</f>
        <v>Manoj Kj</v>
      </c>
      <c r="C154" s="18" t="str">
        <f aca="false" t="array" ref="C154:C154">IF(A154="","",IFERROR(INDEX('CLM &amp; IM Mapping'!$C$2:$C$270,MATCH(TRIM(A154),'CLM &amp; IM Mapping'!$A$2:$A$270,0)),"Not Mapped"))</f>
        <v>Srittam Dhal</v>
      </c>
      <c r="D154" s="18" t="s">
        <v>27</v>
      </c>
      <c r="E154" s="18" t="s">
        <v>314</v>
      </c>
      <c r="F154" s="18" t="s">
        <v>22</v>
      </c>
      <c r="G154" s="11" t="n">
        <v>6275</v>
      </c>
      <c r="H154" s="19" t="n">
        <v>0.7</v>
      </c>
      <c r="I154" s="20" t="n">
        <v>0.64</v>
      </c>
      <c r="J154" s="20" t="n">
        <v>0.81</v>
      </c>
      <c r="K154" s="20" t="n">
        <v>0.93</v>
      </c>
      <c r="L154" s="20" t="n">
        <v>0.81</v>
      </c>
      <c r="M154" s="12" t="n">
        <v>3</v>
      </c>
      <c r="N154" s="11"/>
      <c r="O154" s="1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22"/>
      <c r="AA154" s="22"/>
      <c r="AB154" s="22"/>
      <c r="AC154" s="22"/>
      <c r="AD154" s="7"/>
      <c r="AE154" s="7"/>
      <c r="AF154" s="7"/>
      <c r="AG154" s="7"/>
      <c r="AH154" s="7"/>
      <c r="AI154" s="7"/>
      <c r="AJ154" s="7"/>
      <c r="AK154" s="7"/>
      <c r="AL154" s="7"/>
    </row>
    <row r="155" customFormat="false" ht="15.75" hidden="false" customHeight="true" outlineLevel="0" collapsed="false">
      <c r="A155" s="18" t="s">
        <v>196</v>
      </c>
      <c r="B155" s="18" t="str">
        <f aca="false" t="array" ref="B155:B155">IF(A155="","",IFERROR(INDEX('CLM &amp; IM Mapping'!$B$2:$B$270,MATCH(TRIM(A155),'CLM &amp; IM Mapping'!$A$2:$A$270,0)),"Not Mapped"))</f>
        <v>Saddam Hussain</v>
      </c>
      <c r="C155" s="18" t="str">
        <f aca="false" t="array" ref="C155:C155">IF(A155="","",IFERROR(INDEX('CLM &amp; IM Mapping'!$C$2:$C$270,MATCH(TRIM(A155),'CLM &amp; IM Mapping'!$A$2:$A$270,0)),"Not Mapped"))</f>
        <v>Un Mapped</v>
      </c>
      <c r="D155" s="18" t="s">
        <v>27</v>
      </c>
      <c r="E155" s="18" t="s">
        <v>316</v>
      </c>
      <c r="F155" s="18" t="s">
        <v>22</v>
      </c>
      <c r="G155" s="11" t="n">
        <v>4901</v>
      </c>
      <c r="H155" s="19" t="n">
        <v>0.7</v>
      </c>
      <c r="I155" s="20" t="n">
        <v>0.64</v>
      </c>
      <c r="J155" s="20" t="n">
        <v>0.9</v>
      </c>
      <c r="K155" s="20" t="n">
        <v>0.98</v>
      </c>
      <c r="L155" s="20" t="n">
        <v>0.9</v>
      </c>
      <c r="M155" s="12" t="n">
        <v>5</v>
      </c>
      <c r="N155" s="11"/>
      <c r="O155" s="1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22"/>
      <c r="AA155" s="22"/>
      <c r="AB155" s="22"/>
      <c r="AC155" s="22"/>
      <c r="AD155" s="7"/>
      <c r="AE155" s="7"/>
      <c r="AF155" s="7"/>
      <c r="AG155" s="7"/>
      <c r="AH155" s="7"/>
      <c r="AI155" s="7"/>
      <c r="AJ155" s="7"/>
      <c r="AK155" s="7"/>
      <c r="AL155" s="7"/>
    </row>
    <row r="156" customFormat="false" ht="15.75" hidden="false" customHeight="true" outlineLevel="0" collapsed="false">
      <c r="A156" s="18" t="s">
        <v>220</v>
      </c>
      <c r="B156" s="18" t="str">
        <f aca="false" t="array" ref="B156:B156">IF(A156="","",IFERROR(INDEX('CLM &amp; IM Mapping'!$B$2:$B$270,MATCH(TRIM(A156),'CLM &amp; IM Mapping'!$A$2:$A$270,0)),"Not Mapped"))</f>
        <v>Girish N</v>
      </c>
      <c r="C156" s="18" t="str">
        <f aca="false" t="array" ref="C156:C156">IF(A156="","",IFERROR(INDEX('CLM &amp; IM Mapping'!$C$2:$C$270,MATCH(TRIM(A156),'CLM &amp; IM Mapping'!$A$2:$A$270,0)),"Not Mapped"))</f>
        <v>Un Mapped</v>
      </c>
      <c r="D156" s="18" t="s">
        <v>27</v>
      </c>
      <c r="E156" s="18" t="s">
        <v>314</v>
      </c>
      <c r="F156" s="18" t="s">
        <v>22</v>
      </c>
      <c r="G156" s="11" t="n">
        <v>5859</v>
      </c>
      <c r="H156" s="19" t="n">
        <v>0.7</v>
      </c>
      <c r="I156" s="20" t="n">
        <v>0.64</v>
      </c>
      <c r="J156" s="20" t="n">
        <v>0.84</v>
      </c>
      <c r="K156" s="20" t="n">
        <v>0.94</v>
      </c>
      <c r="L156" s="20" t="n">
        <v>0.84</v>
      </c>
      <c r="M156" s="12" t="n">
        <v>4</v>
      </c>
      <c r="N156" s="11"/>
      <c r="O156" s="1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22"/>
      <c r="AA156" s="22"/>
      <c r="AB156" s="22"/>
      <c r="AC156" s="22"/>
      <c r="AD156" s="7"/>
      <c r="AE156" s="7"/>
      <c r="AF156" s="7"/>
      <c r="AG156" s="7"/>
      <c r="AH156" s="7"/>
      <c r="AI156" s="7"/>
      <c r="AJ156" s="7"/>
      <c r="AK156" s="7"/>
      <c r="AL156" s="7"/>
    </row>
    <row r="157" customFormat="false" ht="15.75" hidden="false" customHeight="true" outlineLevel="0" collapsed="false">
      <c r="A157" s="18" t="s">
        <v>85</v>
      </c>
      <c r="B157" s="18" t="str">
        <f aca="false" t="array" ref="B157:B157">IF(A157="","",IFERROR(INDEX('CLM &amp; IM Mapping'!$B$2:$B$270,MATCH(TRIM(A157),'CLM &amp; IM Mapping'!$A$2:$A$270,0)),"Not Mapped"))</f>
        <v>Saddam Hussain</v>
      </c>
      <c r="C157" s="18" t="str">
        <f aca="false" t="array" ref="C157:C157">IF(A157="","",IFERROR(INDEX('CLM &amp; IM Mapping'!$C$2:$C$270,MATCH(TRIM(A157),'CLM &amp; IM Mapping'!$A$2:$A$270,0)),"Not Mapped"))</f>
        <v>Un Mapped</v>
      </c>
      <c r="D157" s="18" t="s">
        <v>27</v>
      </c>
      <c r="E157" s="18" t="s">
        <v>314</v>
      </c>
      <c r="F157" s="18" t="s">
        <v>22</v>
      </c>
      <c r="G157" s="11" t="n">
        <v>6002</v>
      </c>
      <c r="H157" s="19" t="n">
        <v>0.7</v>
      </c>
      <c r="I157" s="20" t="n">
        <v>0.64</v>
      </c>
      <c r="J157" s="20" t="n">
        <v>0.74</v>
      </c>
      <c r="K157" s="20" t="n">
        <v>0.92</v>
      </c>
      <c r="L157" s="20" t="n">
        <v>0.74</v>
      </c>
      <c r="M157" s="12" t="n">
        <v>6</v>
      </c>
      <c r="N157" s="11"/>
      <c r="O157" s="1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22"/>
      <c r="AA157" s="22"/>
      <c r="AB157" s="22"/>
      <c r="AC157" s="22"/>
      <c r="AD157" s="7"/>
      <c r="AE157" s="7"/>
      <c r="AF157" s="7"/>
      <c r="AG157" s="7"/>
      <c r="AH157" s="7"/>
      <c r="AI157" s="7"/>
      <c r="AJ157" s="7"/>
      <c r="AK157" s="7"/>
      <c r="AL157" s="7"/>
    </row>
    <row r="158" customFormat="false" ht="15.75" hidden="false" customHeight="true" outlineLevel="0" collapsed="false">
      <c r="A158" s="18" t="s">
        <v>112</v>
      </c>
      <c r="B158" s="18" t="str">
        <f aca="false" t="array" ref="B158:B158">IF(A158="","",IFERROR(INDEX('CLM &amp; IM Mapping'!$B$2:$B$270,MATCH(TRIM(A158),'CLM &amp; IM Mapping'!$A$2:$A$270,0)),"Not Mapped"))</f>
        <v>Akshay P</v>
      </c>
      <c r="C158" s="18" t="str">
        <f aca="false" t="array" ref="C158:C158">IF(A158="","",IFERROR(INDEX('CLM &amp; IM Mapping'!$C$2:$C$270,MATCH(TRIM(A158),'CLM &amp; IM Mapping'!$A$2:$A$270,0)),"Not Mapped"))</f>
        <v>Srittam Dhal</v>
      </c>
      <c r="D158" s="18" t="s">
        <v>27</v>
      </c>
      <c r="E158" s="18" t="s">
        <v>314</v>
      </c>
      <c r="F158" s="18" t="s">
        <v>22</v>
      </c>
      <c r="G158" s="11" t="n">
        <v>5212</v>
      </c>
      <c r="H158" s="19" t="n">
        <v>0.7</v>
      </c>
      <c r="I158" s="20" t="n">
        <v>0.64</v>
      </c>
      <c r="J158" s="20" t="n">
        <v>0.89</v>
      </c>
      <c r="K158" s="20" t="n">
        <v>0.97</v>
      </c>
      <c r="L158" s="20" t="n">
        <v>0.89</v>
      </c>
      <c r="M158" s="12" t="n">
        <v>3</v>
      </c>
      <c r="N158" s="11"/>
      <c r="O158" s="1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22"/>
      <c r="AA158" s="22"/>
      <c r="AB158" s="22"/>
      <c r="AC158" s="22"/>
      <c r="AD158" s="7"/>
      <c r="AE158" s="7"/>
      <c r="AF158" s="7"/>
      <c r="AG158" s="7"/>
      <c r="AH158" s="7"/>
      <c r="AI158" s="7"/>
      <c r="AJ158" s="7"/>
      <c r="AK158" s="7"/>
      <c r="AL158" s="7"/>
    </row>
    <row r="159" customFormat="false" ht="15.75" hidden="false" customHeight="true" outlineLevel="0" collapsed="false">
      <c r="A159" s="18" t="s">
        <v>162</v>
      </c>
      <c r="B159" s="18" t="str">
        <f aca="false" t="array" ref="B159:B159">IF(A159="","",IFERROR(INDEX('CLM &amp; IM Mapping'!$B$2:$B$270,MATCH(TRIM(A159),'CLM &amp; IM Mapping'!$A$2:$A$270,0)),"Not Mapped"))</f>
        <v>Vijay M</v>
      </c>
      <c r="C159" s="18" t="str">
        <f aca="false" t="array" ref="C159:C159">IF(A159="","",IFERROR(INDEX('CLM &amp; IM Mapping'!$C$2:$C$270,MATCH(TRIM(A159),'CLM &amp; IM Mapping'!$A$2:$A$270,0)),"Not Mapped"))</f>
        <v>Kantha Kumar</v>
      </c>
      <c r="D159" s="18" t="s">
        <v>27</v>
      </c>
      <c r="E159" s="18" t="s">
        <v>314</v>
      </c>
      <c r="F159" s="18" t="s">
        <v>22</v>
      </c>
      <c r="G159" s="11" t="n">
        <v>5034</v>
      </c>
      <c r="H159" s="19" t="n">
        <v>0.7</v>
      </c>
      <c r="I159" s="20" t="n">
        <v>0.65</v>
      </c>
      <c r="J159" s="20" t="n">
        <v>0.82</v>
      </c>
      <c r="K159" s="20" t="n">
        <v>0.96</v>
      </c>
      <c r="L159" s="20" t="n">
        <v>0.82</v>
      </c>
      <c r="M159" s="12" t="n">
        <v>6</v>
      </c>
      <c r="N159" s="11"/>
      <c r="O159" s="1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22"/>
      <c r="AA159" s="22"/>
      <c r="AB159" s="22"/>
      <c r="AC159" s="22"/>
      <c r="AD159" s="7"/>
      <c r="AE159" s="7"/>
      <c r="AF159" s="7"/>
      <c r="AG159" s="7"/>
      <c r="AH159" s="7"/>
      <c r="AI159" s="7"/>
      <c r="AJ159" s="7"/>
      <c r="AK159" s="7"/>
      <c r="AL159" s="7"/>
    </row>
    <row r="160" customFormat="false" ht="15.75" hidden="false" customHeight="true" outlineLevel="0" collapsed="false">
      <c r="A160" s="18" t="s">
        <v>168</v>
      </c>
      <c r="B160" s="18" t="str">
        <f aca="false" t="array" ref="B160:B160">IF(A160="","",IFERROR(INDEX('CLM &amp; IM Mapping'!$B$2:$B$270,MATCH(TRIM(A160),'CLM &amp; IM Mapping'!$A$2:$A$270,0)),"Not Mapped"))</f>
        <v>Saddam Hussain</v>
      </c>
      <c r="C160" s="18" t="str">
        <f aca="false" t="array" ref="C160:C160">IF(A160="","",IFERROR(INDEX('CLM &amp; IM Mapping'!$C$2:$C$270,MATCH(TRIM(A160),'CLM &amp; IM Mapping'!$A$2:$A$270,0)),"Not Mapped"))</f>
        <v>Un Mapped</v>
      </c>
      <c r="D160" s="18" t="s">
        <v>27</v>
      </c>
      <c r="E160" s="18" t="s">
        <v>314</v>
      </c>
      <c r="F160" s="18" t="s">
        <v>22</v>
      </c>
      <c r="G160" s="11" t="n">
        <v>6537</v>
      </c>
      <c r="H160" s="19" t="n">
        <v>0.7</v>
      </c>
      <c r="I160" s="20" t="n">
        <v>0.65</v>
      </c>
      <c r="J160" s="20" t="n">
        <v>0.91</v>
      </c>
      <c r="K160" s="20" t="n">
        <v>0.97</v>
      </c>
      <c r="L160" s="20" t="n">
        <v>0.91</v>
      </c>
      <c r="M160" s="12" t="n">
        <v>3</v>
      </c>
      <c r="N160" s="11"/>
      <c r="O160" s="1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22"/>
      <c r="AA160" s="22"/>
      <c r="AB160" s="22"/>
      <c r="AC160" s="22"/>
      <c r="AD160" s="7"/>
      <c r="AE160" s="7"/>
      <c r="AF160" s="7"/>
      <c r="AG160" s="7"/>
      <c r="AH160" s="7"/>
      <c r="AI160" s="7"/>
      <c r="AJ160" s="7"/>
      <c r="AK160" s="7"/>
      <c r="AL160" s="7"/>
    </row>
    <row r="161" customFormat="false" ht="15.75" hidden="false" customHeight="true" outlineLevel="0" collapsed="false">
      <c r="A161" s="18" t="s">
        <v>284</v>
      </c>
      <c r="B161" s="18" t="str">
        <f aca="false" t="array" ref="B161:B161">IF(A161="","",IFERROR(INDEX('CLM &amp; IM Mapping'!$B$2:$B$270,MATCH(TRIM(A161),'CLM &amp; IM Mapping'!$A$2:$A$270,0)),"Not Mapped"))</f>
        <v>Manjunatha V</v>
      </c>
      <c r="C161" s="18" t="str">
        <f aca="false" t="array" ref="C161:C161">IF(A161="","",IFERROR(INDEX('CLM &amp; IM Mapping'!$C$2:$C$270,MATCH(TRIM(A161),'CLM &amp; IM Mapping'!$A$2:$A$270,0)),"Not Mapped"))</f>
        <v>Un Mapped</v>
      </c>
      <c r="D161" s="18" t="s">
        <v>27</v>
      </c>
      <c r="E161" s="18" t="s">
        <v>316</v>
      </c>
      <c r="F161" s="18" t="s">
        <v>22</v>
      </c>
      <c r="G161" s="11" t="n">
        <v>5780</v>
      </c>
      <c r="H161" s="19" t="n">
        <v>0.7</v>
      </c>
      <c r="I161" s="20" t="n">
        <v>0.65</v>
      </c>
      <c r="J161" s="20" t="n">
        <v>0.94</v>
      </c>
      <c r="K161" s="20" t="n">
        <v>0.99</v>
      </c>
      <c r="L161" s="20" t="n">
        <v>0.94</v>
      </c>
      <c r="M161" s="12" t="n">
        <v>3</v>
      </c>
      <c r="N161" s="11"/>
      <c r="O161" s="1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22"/>
      <c r="AA161" s="22"/>
      <c r="AB161" s="22"/>
      <c r="AC161" s="22"/>
      <c r="AD161" s="7"/>
      <c r="AE161" s="7"/>
      <c r="AF161" s="7"/>
      <c r="AG161" s="7"/>
      <c r="AH161" s="7"/>
      <c r="AI161" s="7"/>
      <c r="AJ161" s="7"/>
      <c r="AK161" s="7"/>
      <c r="AL161" s="7"/>
    </row>
    <row r="162" customFormat="false" ht="15.75" hidden="false" customHeight="true" outlineLevel="0" collapsed="false">
      <c r="A162" s="18" t="s">
        <v>67</v>
      </c>
      <c r="B162" s="18" t="str">
        <f aca="false" t="array" ref="B162:B162">IF(A162="","",IFERROR(INDEX('CLM &amp; IM Mapping'!$B$2:$B$270,MATCH(TRIM(A162),'CLM &amp; IM Mapping'!$A$2:$A$270,0)),"Not Mapped"))</f>
        <v>Arun Raj</v>
      </c>
      <c r="C162" s="18" t="str">
        <f aca="false" t="array" ref="C162:C162">IF(A162="","",IFERROR(INDEX('CLM &amp; IM Mapping'!$C$2:$C$270,MATCH(TRIM(A162),'CLM &amp; IM Mapping'!$A$2:$A$270,0)),"Not Mapped"))</f>
        <v>Simon Manoharan</v>
      </c>
      <c r="D162" s="18" t="s">
        <v>24</v>
      </c>
      <c r="E162" s="18" t="s">
        <v>316</v>
      </c>
      <c r="F162" s="18" t="s">
        <v>22</v>
      </c>
      <c r="G162" s="11" t="n">
        <v>14855</v>
      </c>
      <c r="H162" s="19" t="n">
        <v>0.7</v>
      </c>
      <c r="I162" s="20" t="n">
        <v>0.66</v>
      </c>
      <c r="J162" s="20" t="n">
        <v>0.95</v>
      </c>
      <c r="K162" s="20" t="n">
        <v>0.98</v>
      </c>
      <c r="L162" s="20" t="n">
        <v>0.95</v>
      </c>
      <c r="M162" s="12" t="n">
        <v>6</v>
      </c>
      <c r="N162" s="11"/>
      <c r="O162" s="1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22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customFormat="false" ht="15.75" hidden="false" customHeight="true" outlineLevel="0" collapsed="false">
      <c r="A163" s="18" t="s">
        <v>266</v>
      </c>
      <c r="B163" s="18" t="str">
        <f aca="false" t="array" ref="B163:B163">IF(A163="","",IFERROR(INDEX('CLM &amp; IM Mapping'!$B$2:$B$270,MATCH(TRIM(A163),'CLM &amp; IM Mapping'!$A$2:$A$270,0)),"Not Mapped"))</f>
        <v>Sundaresh S</v>
      </c>
      <c r="C163" s="18" t="str">
        <f aca="false" t="array" ref="C163:C163">IF(A163="","",IFERROR(INDEX('CLM &amp; IM Mapping'!$C$2:$C$270,MATCH(TRIM(A163),'CLM &amp; IM Mapping'!$A$2:$A$270,0)),"Not Mapped"))</f>
        <v>Un Mapped</v>
      </c>
      <c r="D163" s="18" t="s">
        <v>27</v>
      </c>
      <c r="E163" s="18" t="s">
        <v>314</v>
      </c>
      <c r="F163" s="18" t="s">
        <v>22</v>
      </c>
      <c r="G163" s="11" t="n">
        <v>4445</v>
      </c>
      <c r="H163" s="19" t="n">
        <v>0.7</v>
      </c>
      <c r="I163" s="20" t="n">
        <v>0.66</v>
      </c>
      <c r="J163" s="20" t="n">
        <v>0.82</v>
      </c>
      <c r="K163" s="20" t="n">
        <v>0.96</v>
      </c>
      <c r="L163" s="20" t="n">
        <v>0.82</v>
      </c>
      <c r="M163" s="12" t="n">
        <v>5</v>
      </c>
      <c r="N163" s="11"/>
      <c r="O163" s="1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22"/>
      <c r="AA163" s="22"/>
      <c r="AB163" s="22"/>
      <c r="AC163" s="22"/>
      <c r="AD163" s="7"/>
      <c r="AE163" s="7"/>
      <c r="AF163" s="7"/>
      <c r="AG163" s="7"/>
      <c r="AH163" s="7"/>
      <c r="AI163" s="7"/>
      <c r="AJ163" s="7"/>
      <c r="AK163" s="7"/>
      <c r="AL163" s="7"/>
    </row>
    <row r="164" customFormat="false" ht="15.75" hidden="false" customHeight="true" outlineLevel="0" collapsed="false">
      <c r="A164" s="18" t="s">
        <v>83</v>
      </c>
      <c r="B164" s="18" t="str">
        <f aca="false" t="array" ref="B164:B164">IF(A164="","",IFERROR(INDEX('CLM &amp; IM Mapping'!$B$2:$B$270,MATCH(TRIM(A164),'CLM &amp; IM Mapping'!$A$2:$A$270,0)),"Not Mapped"))</f>
        <v>Balaji G</v>
      </c>
      <c r="C164" s="18" t="str">
        <f aca="false" t="array" ref="C164:C164">IF(A164="","",IFERROR(INDEX('CLM &amp; IM Mapping'!$C$2:$C$270,MATCH(TRIM(A164),'CLM &amp; IM Mapping'!$A$2:$A$270,0)),"Not Mapped"))</f>
        <v>Mohammed Akbar</v>
      </c>
      <c r="D164" s="18" t="s">
        <v>27</v>
      </c>
      <c r="E164" s="18" t="s">
        <v>314</v>
      </c>
      <c r="F164" s="18" t="s">
        <v>82</v>
      </c>
      <c r="G164" s="11" t="n">
        <v>4841</v>
      </c>
      <c r="H164" s="19" t="n">
        <v>0.7</v>
      </c>
      <c r="I164" s="20" t="n">
        <v>0.66</v>
      </c>
      <c r="J164" s="20" t="n">
        <v>0.86</v>
      </c>
      <c r="K164" s="20" t="n">
        <v>0.96</v>
      </c>
      <c r="L164" s="20" t="n">
        <v>0.86</v>
      </c>
      <c r="M164" s="12" t="n">
        <v>3</v>
      </c>
      <c r="N164" s="11"/>
      <c r="O164" s="1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22"/>
      <c r="AA164" s="22"/>
      <c r="AB164" s="22"/>
      <c r="AC164" s="22"/>
      <c r="AD164" s="7"/>
      <c r="AE164" s="7"/>
      <c r="AF164" s="7"/>
      <c r="AG164" s="7"/>
      <c r="AH164" s="7"/>
      <c r="AI164" s="7"/>
      <c r="AJ164" s="7"/>
      <c r="AK164" s="7"/>
      <c r="AL164" s="7"/>
    </row>
    <row r="165" customFormat="false" ht="15.75" hidden="false" customHeight="true" outlineLevel="0" collapsed="false">
      <c r="A165" s="18" t="s">
        <v>91</v>
      </c>
      <c r="B165" s="18" t="str">
        <f aca="false" t="array" ref="B165:B165">IF(A165="","",IFERROR(INDEX('CLM &amp; IM Mapping'!$B$2:$B$270,MATCH(TRIM(A165),'CLM &amp; IM Mapping'!$A$2:$A$270,0)),"Not Mapped"))</f>
        <v>Girish N</v>
      </c>
      <c r="C165" s="18" t="str">
        <f aca="false" t="array" ref="C165:C165">IF(A165="","",IFERROR(INDEX('CLM &amp; IM Mapping'!$C$2:$C$270,MATCH(TRIM(A165),'CLM &amp; IM Mapping'!$A$2:$A$270,0)),"Not Mapped"))</f>
        <v>Un Mapped</v>
      </c>
      <c r="D165" s="18" t="s">
        <v>27</v>
      </c>
      <c r="E165" s="18" t="s">
        <v>316</v>
      </c>
      <c r="F165" s="18" t="s">
        <v>22</v>
      </c>
      <c r="G165" s="11" t="n">
        <v>7468</v>
      </c>
      <c r="H165" s="19" t="n">
        <v>0.7</v>
      </c>
      <c r="I165" s="20" t="n">
        <v>0.67</v>
      </c>
      <c r="J165" s="20" t="n">
        <v>0.92</v>
      </c>
      <c r="K165" s="20" t="n">
        <v>0.98</v>
      </c>
      <c r="L165" s="20" t="n">
        <v>0.92</v>
      </c>
      <c r="M165" s="12" t="n">
        <v>4</v>
      </c>
      <c r="N165" s="11"/>
      <c r="O165" s="1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22"/>
      <c r="AA165" s="22"/>
      <c r="AB165" s="22"/>
      <c r="AC165" s="22"/>
      <c r="AD165" s="7"/>
      <c r="AE165" s="7"/>
      <c r="AF165" s="7"/>
      <c r="AG165" s="7"/>
      <c r="AH165" s="7"/>
      <c r="AI165" s="7"/>
      <c r="AJ165" s="7"/>
      <c r="AK165" s="7"/>
      <c r="AL165" s="7"/>
    </row>
    <row r="166" customFormat="false" ht="15.75" hidden="false" customHeight="true" outlineLevel="0" collapsed="false">
      <c r="A166" s="18" t="s">
        <v>267</v>
      </c>
      <c r="B166" s="18" t="str">
        <f aca="false" t="array" ref="B166:B166">IF(A166="","",IFERROR(INDEX('CLM &amp; IM Mapping'!$B$2:$B$270,MATCH(TRIM(A166),'CLM &amp; IM Mapping'!$A$2:$A$270,0)),"Not Mapped"))</f>
        <v>Raghavendra Vernekar</v>
      </c>
      <c r="C166" s="18" t="str">
        <f aca="false" t="array" ref="C166:C166">IF(A166="","",IFERROR(INDEX('CLM &amp; IM Mapping'!$C$2:$C$270,MATCH(TRIM(A166),'CLM &amp; IM Mapping'!$A$2:$A$270,0)),"Not Mapped"))</f>
        <v>Prakash BS</v>
      </c>
      <c r="D166" s="18" t="s">
        <v>27</v>
      </c>
      <c r="E166" s="18" t="s">
        <v>314</v>
      </c>
      <c r="F166" s="18" t="s">
        <v>22</v>
      </c>
      <c r="G166" s="11" t="n">
        <v>2978</v>
      </c>
      <c r="H166" s="19" t="n">
        <v>0.7</v>
      </c>
      <c r="I166" s="20" t="n">
        <v>0.67</v>
      </c>
      <c r="J166" s="20" t="n">
        <v>0.87</v>
      </c>
      <c r="K166" s="20" t="n">
        <v>0.97</v>
      </c>
      <c r="L166" s="20" t="n">
        <v>0.87</v>
      </c>
      <c r="M166" s="12" t="n">
        <v>4</v>
      </c>
      <c r="N166" s="11"/>
      <c r="O166" s="1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22"/>
      <c r="AA166" s="22"/>
      <c r="AB166" s="22"/>
      <c r="AC166" s="22"/>
      <c r="AD166" s="7"/>
      <c r="AE166" s="7"/>
      <c r="AF166" s="7"/>
      <c r="AG166" s="7"/>
      <c r="AH166" s="7"/>
      <c r="AI166" s="7"/>
      <c r="AJ166" s="7"/>
      <c r="AK166" s="7"/>
      <c r="AL166" s="7"/>
    </row>
    <row r="167" customFormat="false" ht="15.75" hidden="false" customHeight="true" outlineLevel="0" collapsed="false">
      <c r="A167" s="18" t="s">
        <v>190</v>
      </c>
      <c r="B167" s="18" t="str">
        <f aca="false" t="array" ref="B167:B167">IF(A167="","",IFERROR(INDEX('CLM &amp; IM Mapping'!$B$2:$B$270,MATCH(TRIM(A167),'CLM &amp; IM Mapping'!$A$2:$A$270,0)),"Not Mapped"))</f>
        <v>Sundaresh S</v>
      </c>
      <c r="C167" s="18" t="str">
        <f aca="false" t="array" ref="C167:C167">IF(A167="","",IFERROR(INDEX('CLM &amp; IM Mapping'!$C$2:$C$270,MATCH(TRIM(A167),'CLM &amp; IM Mapping'!$A$2:$A$270,0)),"Not Mapped"))</f>
        <v>Un Mapped</v>
      </c>
      <c r="D167" s="18" t="s">
        <v>27</v>
      </c>
      <c r="E167" s="18" t="s">
        <v>314</v>
      </c>
      <c r="F167" s="18" t="s">
        <v>22</v>
      </c>
      <c r="G167" s="11" t="n">
        <v>6559</v>
      </c>
      <c r="H167" s="19" t="n">
        <v>0.7</v>
      </c>
      <c r="I167" s="20" t="n">
        <v>0.67</v>
      </c>
      <c r="J167" s="20" t="n">
        <v>0.94</v>
      </c>
      <c r="K167" s="20" t="n">
        <v>0.99</v>
      </c>
      <c r="L167" s="20" t="n">
        <v>0.94</v>
      </c>
      <c r="M167" s="12" t="n">
        <v>5</v>
      </c>
      <c r="N167" s="11"/>
      <c r="O167" s="1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22"/>
      <c r="AA167" s="22"/>
      <c r="AB167" s="22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customFormat="false" ht="15.75" hidden="false" customHeight="true" outlineLevel="0" collapsed="false">
      <c r="A168" s="18" t="s">
        <v>32</v>
      </c>
      <c r="B168" s="18" t="str">
        <f aca="false" t="array" ref="B168:B168">IF(A168="","",IFERROR(INDEX('CLM &amp; IM Mapping'!$B$2:$B$270,MATCH(TRIM(A168),'CLM &amp; IM Mapping'!$A$2:$A$270,0)),"Not Mapped"))</f>
        <v>Saddam Hussain</v>
      </c>
      <c r="C168" s="18" t="str">
        <f aca="false" t="array" ref="C168:C168">IF(A168="","",IFERROR(INDEX('CLM &amp; IM Mapping'!$C$2:$C$270,MATCH(TRIM(A168),'CLM &amp; IM Mapping'!$A$2:$A$270,0)),"Not Mapped"))</f>
        <v>Un Mapped</v>
      </c>
      <c r="D168" s="18" t="s">
        <v>27</v>
      </c>
      <c r="E168" s="18" t="s">
        <v>314</v>
      </c>
      <c r="F168" s="18" t="s">
        <v>22</v>
      </c>
      <c r="G168" s="11" t="n">
        <v>8449</v>
      </c>
      <c r="H168" s="19" t="n">
        <v>0.7</v>
      </c>
      <c r="I168" s="20" t="n">
        <v>0.68</v>
      </c>
      <c r="J168" s="20" t="n">
        <v>0.84</v>
      </c>
      <c r="K168" s="20" t="n">
        <v>0.95</v>
      </c>
      <c r="L168" s="20" t="n">
        <v>0.84</v>
      </c>
      <c r="M168" s="12" t="n">
        <v>8</v>
      </c>
      <c r="N168" s="11"/>
      <c r="O168" s="1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22"/>
      <c r="AA168" s="22"/>
      <c r="AB168" s="22"/>
      <c r="AC168" s="22"/>
      <c r="AD168" s="7"/>
      <c r="AE168" s="7"/>
      <c r="AF168" s="7"/>
      <c r="AG168" s="7"/>
      <c r="AH168" s="7"/>
      <c r="AI168" s="7"/>
      <c r="AJ168" s="7"/>
      <c r="AK168" s="7"/>
      <c r="AL168" s="7"/>
    </row>
    <row r="169" customFormat="false" ht="15.75" hidden="false" customHeight="true" outlineLevel="0" collapsed="false">
      <c r="A169" s="18" t="s">
        <v>188</v>
      </c>
      <c r="B169" s="18" t="str">
        <f aca="false" t="array" ref="B169:B169">IF(A169="","",IFERROR(INDEX('CLM &amp; IM Mapping'!$B$2:$B$270,MATCH(TRIM(A169),'CLM &amp; IM Mapping'!$A$2:$A$270,0)),"Not Mapped"))</f>
        <v>Majid Kakatikar</v>
      </c>
      <c r="C169" s="18" t="str">
        <f aca="false" t="array" ref="C169:C169">IF(A169="","",IFERROR(INDEX('CLM &amp; IM Mapping'!$C$2:$C$270,MATCH(TRIM(A169),'CLM &amp; IM Mapping'!$A$2:$A$270,0)),"Not Mapped"))</f>
        <v>Kishor K</v>
      </c>
      <c r="D169" s="18" t="s">
        <v>27</v>
      </c>
      <c r="E169" s="18" t="s">
        <v>316</v>
      </c>
      <c r="F169" s="18" t="s">
        <v>123</v>
      </c>
      <c r="G169" s="11" t="n">
        <v>6127</v>
      </c>
      <c r="H169" s="19" t="n">
        <v>0.7</v>
      </c>
      <c r="I169" s="20" t="n">
        <v>0.69</v>
      </c>
      <c r="J169" s="20" t="n">
        <v>1</v>
      </c>
      <c r="K169" s="20" t="n">
        <v>1</v>
      </c>
      <c r="L169" s="20" t="n">
        <v>1</v>
      </c>
      <c r="M169" s="12" t="n">
        <v>3</v>
      </c>
      <c r="N169" s="11"/>
      <c r="O169" s="1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22"/>
      <c r="AA169" s="22"/>
      <c r="AB169" s="22"/>
      <c r="AC169" s="22"/>
      <c r="AD169" s="7"/>
      <c r="AE169" s="7"/>
      <c r="AF169" s="7"/>
      <c r="AG169" s="7"/>
      <c r="AH169" s="7"/>
      <c r="AI169" s="7"/>
      <c r="AJ169" s="7"/>
      <c r="AK169" s="7"/>
      <c r="AL169" s="7"/>
    </row>
    <row r="170" customFormat="false" ht="15.75" hidden="false" customHeight="true" outlineLevel="0" collapsed="false">
      <c r="A170" s="18" t="s">
        <v>209</v>
      </c>
      <c r="B170" s="18" t="str">
        <f aca="false" t="array" ref="B170:B170">IF(A170="","",IFERROR(INDEX('CLM &amp; IM Mapping'!$B$2:$B$270,MATCH(TRIM(A170),'CLM &amp; IM Mapping'!$A$2:$A$270,0)),"Not Mapped"))</f>
        <v>Narasimhamurthy R</v>
      </c>
      <c r="C170" s="18" t="str">
        <f aca="false" t="array" ref="C170:C170">IF(A170="","",IFERROR(INDEX('CLM &amp; IM Mapping'!$C$2:$C$270,MATCH(TRIM(A170),'CLM &amp; IM Mapping'!$A$2:$A$270,0)),"Not Mapped"))</f>
        <v>Kishor K</v>
      </c>
      <c r="D170" s="18" t="s">
        <v>27</v>
      </c>
      <c r="E170" s="18" t="s">
        <v>314</v>
      </c>
      <c r="F170" s="18" t="s">
        <v>22</v>
      </c>
      <c r="G170" s="11" t="n">
        <v>6286</v>
      </c>
      <c r="H170" s="19" t="n">
        <v>0.7</v>
      </c>
      <c r="I170" s="20" t="n">
        <v>0.69</v>
      </c>
      <c r="J170" s="20" t="n">
        <v>0.85</v>
      </c>
      <c r="K170" s="20" t="n">
        <v>0.94</v>
      </c>
      <c r="L170" s="20" t="n">
        <v>0.85</v>
      </c>
      <c r="M170" s="12" t="n">
        <v>3</v>
      </c>
      <c r="N170" s="11"/>
      <c r="O170" s="1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22"/>
      <c r="AA170" s="22"/>
      <c r="AB170" s="22"/>
      <c r="AC170" s="22"/>
      <c r="AD170" s="7"/>
      <c r="AE170" s="7"/>
      <c r="AF170" s="7"/>
      <c r="AG170" s="7"/>
      <c r="AH170" s="7"/>
      <c r="AI170" s="7"/>
      <c r="AJ170" s="7"/>
      <c r="AK170" s="7"/>
      <c r="AL170" s="7"/>
    </row>
    <row r="171" customFormat="false" ht="15.75" hidden="false" customHeight="true" outlineLevel="0" collapsed="false">
      <c r="A171" s="18" t="s">
        <v>47</v>
      </c>
      <c r="B171" s="18" t="str">
        <f aca="false" t="array" ref="B171:B171">IF(A171="","",IFERROR(INDEX('CLM &amp; IM Mapping'!$B$2:$B$270,MATCH(TRIM(A171),'CLM &amp; IM Mapping'!$A$2:$A$270,0)),"Not Mapped"))</f>
        <v>Raghavendra Vernekar</v>
      </c>
      <c r="C171" s="18" t="str">
        <f aca="false" t="array" ref="C171:C171">IF(A171="","",IFERROR(INDEX('CLM &amp; IM Mapping'!$C$2:$C$270,MATCH(TRIM(A171),'CLM &amp; IM Mapping'!$A$2:$A$270,0)),"Not Mapped"))</f>
        <v>Prakash BS</v>
      </c>
      <c r="D171" s="18" t="s">
        <v>27</v>
      </c>
      <c r="E171" s="18" t="s">
        <v>314</v>
      </c>
      <c r="F171" s="18" t="s">
        <v>22</v>
      </c>
      <c r="G171" s="11" t="n">
        <v>6895</v>
      </c>
      <c r="H171" s="19" t="n">
        <v>0.7</v>
      </c>
      <c r="I171" s="20" t="n">
        <v>0.69</v>
      </c>
      <c r="J171" s="20" t="n">
        <v>0.81</v>
      </c>
      <c r="K171" s="20" t="n">
        <v>0.95</v>
      </c>
      <c r="L171" s="20" t="n">
        <v>0.81</v>
      </c>
      <c r="M171" s="12" t="n">
        <v>4</v>
      </c>
      <c r="N171" s="11"/>
      <c r="O171" s="1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22"/>
      <c r="AA171" s="22"/>
      <c r="AB171" s="22"/>
      <c r="AC171" s="22"/>
      <c r="AD171" s="7"/>
      <c r="AE171" s="7"/>
      <c r="AF171" s="7"/>
      <c r="AG171" s="7"/>
      <c r="AH171" s="7"/>
      <c r="AI171" s="7"/>
      <c r="AJ171" s="7"/>
      <c r="AK171" s="7"/>
      <c r="AL171" s="7"/>
    </row>
    <row r="172" customFormat="false" ht="15.75" hidden="false" customHeight="true" outlineLevel="0" collapsed="false">
      <c r="A172" s="18" t="s">
        <v>216</v>
      </c>
      <c r="B172" s="18" t="str">
        <f aca="false" t="array" ref="B172:B172">IF(A172="","",IFERROR(INDEX('CLM &amp; IM Mapping'!$B$2:$B$270,MATCH(TRIM(A172),'CLM &amp; IM Mapping'!$A$2:$A$270,0)),"Not Mapped"))</f>
        <v>Vishnu V</v>
      </c>
      <c r="C172" s="18" t="str">
        <f aca="false" t="array" ref="C172:C172">IF(A172="","",IFERROR(INDEX('CLM &amp; IM Mapping'!$C$2:$C$270,MATCH(TRIM(A172),'CLM &amp; IM Mapping'!$A$2:$A$270,0)),"Not Mapped"))</f>
        <v>Arivind S</v>
      </c>
      <c r="D172" s="18" t="s">
        <v>27</v>
      </c>
      <c r="E172" s="18" t="s">
        <v>314</v>
      </c>
      <c r="F172" s="18" t="s">
        <v>104</v>
      </c>
      <c r="G172" s="11" t="n">
        <v>5170</v>
      </c>
      <c r="H172" s="19" t="n">
        <v>0.7</v>
      </c>
      <c r="I172" s="20" t="n">
        <v>0.69</v>
      </c>
      <c r="J172" s="20" t="n">
        <v>0.98</v>
      </c>
      <c r="K172" s="20" t="n">
        <v>0.99</v>
      </c>
      <c r="L172" s="20" t="n">
        <v>0.98</v>
      </c>
      <c r="M172" s="12" t="n">
        <v>1</v>
      </c>
      <c r="N172" s="11"/>
      <c r="O172" s="1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22"/>
      <c r="AA172" s="22"/>
      <c r="AB172" s="22"/>
      <c r="AC172" s="22"/>
      <c r="AD172" s="7"/>
      <c r="AE172" s="7"/>
      <c r="AF172" s="7"/>
      <c r="AG172" s="7"/>
      <c r="AH172" s="7"/>
      <c r="AI172" s="7"/>
      <c r="AJ172" s="7"/>
      <c r="AK172" s="7"/>
      <c r="AL172" s="7"/>
    </row>
    <row r="173" customFormat="false" ht="15.75" hidden="false" customHeight="true" outlineLevel="0" collapsed="false">
      <c r="A173" s="18" t="s">
        <v>171</v>
      </c>
      <c r="B173" s="18" t="str">
        <f aca="false" t="array" ref="B173:B173">IF(A173="","",IFERROR(INDEX('CLM &amp; IM Mapping'!$B$2:$B$270,MATCH(TRIM(A173),'CLM &amp; IM Mapping'!$A$2:$A$270,0)),"Not Mapped"))</f>
        <v>Saddam Hussain</v>
      </c>
      <c r="C173" s="18" t="str">
        <f aca="false" t="array" ref="C173:C173">IF(A173="","",IFERROR(INDEX('CLM &amp; IM Mapping'!$C$2:$C$270,MATCH(TRIM(A173),'CLM &amp; IM Mapping'!$A$2:$A$270,0)),"Not Mapped"))</f>
        <v>Un Mapped</v>
      </c>
      <c r="D173" s="18" t="s">
        <v>27</v>
      </c>
      <c r="E173" s="18" t="s">
        <v>314</v>
      </c>
      <c r="F173" s="18" t="s">
        <v>22</v>
      </c>
      <c r="G173" s="11" t="n">
        <v>5663</v>
      </c>
      <c r="H173" s="19" t="n">
        <v>0.7</v>
      </c>
      <c r="I173" s="20" t="n">
        <v>0.7</v>
      </c>
      <c r="J173" s="20" t="n">
        <v>0.94</v>
      </c>
      <c r="K173" s="20" t="n">
        <v>0.99</v>
      </c>
      <c r="L173" s="20" t="n">
        <v>0.94</v>
      </c>
      <c r="M173" s="12" t="n">
        <v>4</v>
      </c>
      <c r="N173" s="11"/>
      <c r="O173" s="1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22"/>
      <c r="AA173" s="22"/>
      <c r="AB173" s="22"/>
      <c r="AC173" s="22"/>
      <c r="AD173" s="7"/>
      <c r="AE173" s="7"/>
      <c r="AF173" s="7"/>
      <c r="AG173" s="7"/>
      <c r="AH173" s="7"/>
      <c r="AI173" s="7"/>
      <c r="AJ173" s="7"/>
      <c r="AK173" s="7"/>
      <c r="AL173" s="7"/>
    </row>
    <row r="174" customFormat="false" ht="15.75" hidden="false" customHeight="true" outlineLevel="0" collapsed="false">
      <c r="A174" s="18" t="s">
        <v>70</v>
      </c>
      <c r="B174" s="18" t="str">
        <f aca="false" t="array" ref="B174:B174">IF(A174="","",IFERROR(INDEX('CLM &amp; IM Mapping'!$B$2:$B$270,MATCH(TRIM(A174),'CLM &amp; IM Mapping'!$A$2:$A$270,0)),"Not Mapped"))</f>
        <v>Mohaideen DH</v>
      </c>
      <c r="C174" s="18" t="str">
        <f aca="false" t="array" ref="C174:C174">IF(A174="","",IFERROR(INDEX('CLM &amp; IM Mapping'!$C$2:$C$270,MATCH(TRIM(A174),'CLM &amp; IM Mapping'!$A$2:$A$270,0)),"Not Mapped"))</f>
        <v>Mohammed Akbar</v>
      </c>
      <c r="D174" s="18" t="s">
        <v>27</v>
      </c>
      <c r="E174" s="18" t="s">
        <v>314</v>
      </c>
      <c r="F174" s="18" t="s">
        <v>22</v>
      </c>
      <c r="G174" s="11" t="n">
        <v>6324</v>
      </c>
      <c r="H174" s="19" t="n">
        <v>0.7</v>
      </c>
      <c r="I174" s="20" t="n">
        <v>0.7</v>
      </c>
      <c r="J174" s="20" t="n">
        <v>0.8</v>
      </c>
      <c r="K174" s="20" t="n">
        <v>0.82</v>
      </c>
      <c r="L174" s="20" t="n">
        <v>0.8</v>
      </c>
      <c r="M174" s="12" t="n">
        <v>5</v>
      </c>
      <c r="N174" s="11"/>
      <c r="O174" s="1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22"/>
      <c r="AA174" s="22"/>
      <c r="AB174" s="22"/>
      <c r="AC174" s="22"/>
      <c r="AD174" s="7"/>
      <c r="AE174" s="7"/>
      <c r="AF174" s="7"/>
      <c r="AG174" s="7"/>
      <c r="AH174" s="7"/>
      <c r="AI174" s="7"/>
      <c r="AJ174" s="7"/>
      <c r="AK174" s="7"/>
      <c r="AL174" s="7"/>
    </row>
    <row r="175" customFormat="false" ht="15.75" hidden="false" customHeight="true" outlineLevel="0" collapsed="false">
      <c r="A175" s="18" t="s">
        <v>256</v>
      </c>
      <c r="B175" s="18" t="str">
        <f aca="false" t="array" ref="B175:B175">IF(A175="","",IFERROR(INDEX('CLM &amp; IM Mapping'!$B$2:$B$270,MATCH(TRIM(A175),'CLM &amp; IM Mapping'!$A$2:$A$270,0)),"Not Mapped"))</f>
        <v>Suhas N</v>
      </c>
      <c r="C175" s="18" t="str">
        <f aca="false" t="array" ref="C175:C175">IF(A175="","",IFERROR(INDEX('CLM &amp; IM Mapping'!$C$2:$C$270,MATCH(TRIM(A175),'CLM &amp; IM Mapping'!$A$2:$A$270,0)),"Not Mapped"))</f>
        <v>Aravind S</v>
      </c>
      <c r="D175" s="18" t="s">
        <v>27</v>
      </c>
      <c r="E175" s="18" t="s">
        <v>314</v>
      </c>
      <c r="F175" s="18" t="s">
        <v>22</v>
      </c>
      <c r="G175" s="11" t="n">
        <v>6272</v>
      </c>
      <c r="H175" s="19" t="n">
        <v>0.7</v>
      </c>
      <c r="I175" s="20" t="n">
        <v>0.7</v>
      </c>
      <c r="J175" s="20" t="n">
        <v>0.89</v>
      </c>
      <c r="K175" s="20" t="n">
        <v>0.97</v>
      </c>
      <c r="L175" s="20" t="n">
        <v>0.89</v>
      </c>
      <c r="M175" s="12" t="n">
        <v>2</v>
      </c>
      <c r="N175" s="11"/>
      <c r="O175" s="1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22"/>
      <c r="AA175" s="22"/>
      <c r="AB175" s="22"/>
      <c r="AC175" s="22"/>
      <c r="AD175" s="7"/>
      <c r="AE175" s="7"/>
      <c r="AF175" s="7"/>
      <c r="AG175" s="7"/>
      <c r="AH175" s="7"/>
      <c r="AI175" s="7"/>
      <c r="AJ175" s="7"/>
      <c r="AK175" s="7"/>
      <c r="AL175" s="7"/>
    </row>
    <row r="176" customFormat="false" ht="15.75" hidden="false" customHeight="true" outlineLevel="0" collapsed="false">
      <c r="A176" s="18" t="s">
        <v>44</v>
      </c>
      <c r="B176" s="18" t="str">
        <f aca="false" t="array" ref="B176:B176">IF(A176="","",IFERROR(INDEX('CLM &amp; IM Mapping'!$B$2:$B$270,MATCH(TRIM(A176),'CLM &amp; IM Mapping'!$A$2:$A$270,0)),"Not Mapped"))</f>
        <v>Silambarasan E</v>
      </c>
      <c r="C176" s="18" t="str">
        <f aca="false" t="array" ref="C176:C176">IF(A176="","",IFERROR(INDEX('CLM &amp; IM Mapping'!$C$2:$C$270,MATCH(TRIM(A176),'CLM &amp; IM Mapping'!$A$2:$A$270,0)),"Not Mapped"))</f>
        <v>Arivind S</v>
      </c>
      <c r="D176" s="18" t="s">
        <v>27</v>
      </c>
      <c r="E176" s="18" t="s">
        <v>316</v>
      </c>
      <c r="F176" s="18" t="s">
        <v>22</v>
      </c>
      <c r="G176" s="11" t="n">
        <v>6330</v>
      </c>
      <c r="H176" s="19" t="n">
        <v>0.7</v>
      </c>
      <c r="I176" s="20" t="n">
        <v>0.7</v>
      </c>
      <c r="J176" s="20" t="n">
        <v>0.82</v>
      </c>
      <c r="K176" s="20" t="n">
        <v>0.92</v>
      </c>
      <c r="L176" s="20" t="n">
        <v>0.82</v>
      </c>
      <c r="M176" s="12" t="n">
        <v>3</v>
      </c>
      <c r="N176" s="11"/>
      <c r="O176" s="1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22"/>
      <c r="AA176" s="22"/>
      <c r="AB176" s="22"/>
      <c r="AC176" s="22"/>
      <c r="AD176" s="7"/>
      <c r="AE176" s="7"/>
      <c r="AF176" s="7"/>
      <c r="AG176" s="7"/>
      <c r="AH176" s="7"/>
      <c r="AI176" s="7"/>
      <c r="AJ176" s="7"/>
      <c r="AK176" s="7"/>
      <c r="AL176" s="7"/>
    </row>
    <row r="177" customFormat="false" ht="15.75" hidden="false" customHeight="true" outlineLevel="0" collapsed="false">
      <c r="A177" s="18" t="s">
        <v>38</v>
      </c>
      <c r="B177" s="18" t="str">
        <f aca="false" t="array" ref="B177:B177">IF(A177="","",IFERROR(INDEX('CLM &amp; IM Mapping'!$B$2:$B$270,MATCH(TRIM(A177),'CLM &amp; IM Mapping'!$A$2:$A$270,0)),"Not Mapped"))</f>
        <v>Adhavan Subramani</v>
      </c>
      <c r="C177" s="18" t="str">
        <f aca="false" t="array" ref="C177:C177">IF(A177="","",IFERROR(INDEX('CLM &amp; IM Mapping'!$C$2:$C$270,MATCH(TRIM(A177),'CLM &amp; IM Mapping'!$A$2:$A$270,0)),"Not Mapped"))</f>
        <v>Mohammed Akbar</v>
      </c>
      <c r="D177" s="18" t="s">
        <v>27</v>
      </c>
      <c r="E177" s="18" t="s">
        <v>314</v>
      </c>
      <c r="F177" s="18" t="s">
        <v>22</v>
      </c>
      <c r="G177" s="11" t="n">
        <v>5572</v>
      </c>
      <c r="H177" s="19" t="n">
        <v>0.7</v>
      </c>
      <c r="I177" s="20" t="n">
        <v>0.7</v>
      </c>
      <c r="J177" s="20" t="n">
        <v>0.86</v>
      </c>
      <c r="K177" s="20" t="n">
        <v>0.96</v>
      </c>
      <c r="L177" s="20" t="n">
        <v>0.86</v>
      </c>
      <c r="M177" s="12" t="n">
        <v>4</v>
      </c>
      <c r="N177" s="11"/>
      <c r="O177" s="1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22"/>
      <c r="AA177" s="22"/>
      <c r="AB177" s="22"/>
      <c r="AC177" s="22"/>
      <c r="AD177" s="7"/>
      <c r="AE177" s="7"/>
      <c r="AF177" s="7"/>
      <c r="AG177" s="7"/>
      <c r="AH177" s="7"/>
      <c r="AI177" s="7"/>
      <c r="AJ177" s="7"/>
      <c r="AK177" s="7"/>
      <c r="AL177" s="7"/>
    </row>
    <row r="178" customFormat="false" ht="15.75" hidden="false" customHeight="true" outlineLevel="0" collapsed="false">
      <c r="A178" s="18" t="s">
        <v>285</v>
      </c>
      <c r="B178" s="18" t="str">
        <f aca="false" t="array" ref="B178:B178">IF(A178="","",IFERROR(INDEX('CLM &amp; IM Mapping'!$B$2:$B$270,MATCH(TRIM(A178),'CLM &amp; IM Mapping'!$A$2:$A$270,0)),"Not Mapped"))</f>
        <v>Saddam Hussain</v>
      </c>
      <c r="C178" s="18" t="str">
        <f aca="false" t="array" ref="C178:C178">IF(A178="","",IFERROR(INDEX('CLM &amp; IM Mapping'!$C$2:$C$270,MATCH(TRIM(A178),'CLM &amp; IM Mapping'!$A$2:$A$270,0)),"Not Mapped"))</f>
        <v>Un Mapped</v>
      </c>
      <c r="D178" s="18" t="s">
        <v>27</v>
      </c>
      <c r="E178" s="18" t="s">
        <v>316</v>
      </c>
      <c r="F178" s="18" t="s">
        <v>22</v>
      </c>
      <c r="G178" s="11" t="n">
        <v>4408</v>
      </c>
      <c r="H178" s="19" t="n">
        <v>0.7</v>
      </c>
      <c r="I178" s="20" t="n">
        <v>0.71</v>
      </c>
      <c r="J178" s="20" t="n">
        <v>0.81</v>
      </c>
      <c r="K178" s="20" t="n">
        <v>0.98</v>
      </c>
      <c r="L178" s="20" t="n">
        <v>0.81</v>
      </c>
      <c r="M178" s="12" t="n">
        <v>3</v>
      </c>
      <c r="N178" s="11"/>
      <c r="O178" s="1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22"/>
      <c r="AA178" s="22"/>
      <c r="AB178" s="22"/>
      <c r="AC178" s="22"/>
      <c r="AD178" s="7"/>
      <c r="AE178" s="7"/>
      <c r="AF178" s="7"/>
      <c r="AG178" s="7"/>
      <c r="AH178" s="7"/>
      <c r="AI178" s="7"/>
      <c r="AJ178" s="7"/>
      <c r="AK178" s="7"/>
      <c r="AL178" s="7"/>
    </row>
    <row r="179" customFormat="false" ht="15.75" hidden="false" customHeight="true" outlineLevel="0" collapsed="false">
      <c r="A179" s="18" t="s">
        <v>122</v>
      </c>
      <c r="B179" s="18" t="str">
        <f aca="false" t="array" ref="B179:B179">IF(A179="","",IFERROR(INDEX('CLM &amp; IM Mapping'!$B$2:$B$270,MATCH(TRIM(A179),'CLM &amp; IM Mapping'!$A$2:$A$270,0)),"Not Mapped"))</f>
        <v>Raghavendra Vernekar</v>
      </c>
      <c r="C179" s="18" t="str">
        <f aca="false" t="array" ref="C179:C179">IF(A179="","",IFERROR(INDEX('CLM &amp; IM Mapping'!$C$2:$C$270,MATCH(TRIM(A179),'CLM &amp; IM Mapping'!$A$2:$A$270,0)),"Not Mapped"))</f>
        <v>Prakash BS</v>
      </c>
      <c r="D179" s="18" t="s">
        <v>27</v>
      </c>
      <c r="E179" s="18" t="s">
        <v>314</v>
      </c>
      <c r="F179" s="18" t="s">
        <v>22</v>
      </c>
      <c r="G179" s="11" t="n">
        <v>7036</v>
      </c>
      <c r="H179" s="19" t="n">
        <v>0.7</v>
      </c>
      <c r="I179" s="20" t="n">
        <v>0.72</v>
      </c>
      <c r="J179" s="20" t="n">
        <v>0.86</v>
      </c>
      <c r="K179" s="20" t="n">
        <v>0.94</v>
      </c>
      <c r="L179" s="20" t="n">
        <v>0.86</v>
      </c>
      <c r="M179" s="12" t="n">
        <v>4</v>
      </c>
      <c r="N179" s="11"/>
      <c r="O179" s="1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22"/>
      <c r="AA179" s="22"/>
      <c r="AB179" s="22"/>
      <c r="AC179" s="22"/>
      <c r="AD179" s="7"/>
      <c r="AE179" s="7"/>
      <c r="AF179" s="7"/>
      <c r="AG179" s="7"/>
      <c r="AH179" s="7"/>
      <c r="AI179" s="7"/>
      <c r="AJ179" s="7"/>
      <c r="AK179" s="7"/>
      <c r="AL179" s="7"/>
    </row>
    <row r="180" customFormat="false" ht="15.75" hidden="false" customHeight="true" outlineLevel="0" collapsed="false">
      <c r="A180" s="18" t="s">
        <v>116</v>
      </c>
      <c r="B180" s="18" t="str">
        <f aca="false" t="array" ref="B180:B180">IF(A180="","",IFERROR(INDEX('CLM &amp; IM Mapping'!$B$2:$B$270,MATCH(TRIM(A180),'CLM &amp; IM Mapping'!$A$2:$A$270,0)),"Not Mapped"))</f>
        <v>Adhavan Subramani</v>
      </c>
      <c r="C180" s="18" t="str">
        <f aca="false" t="array" ref="C180:C180">IF(A180="","",IFERROR(INDEX('CLM &amp; IM Mapping'!$C$2:$C$270,MATCH(TRIM(A180),'CLM &amp; IM Mapping'!$A$2:$A$270,0)),"Not Mapped"))</f>
        <v>Mohammed Akbar</v>
      </c>
      <c r="D180" s="18" t="s">
        <v>27</v>
      </c>
      <c r="E180" s="18" t="s">
        <v>314</v>
      </c>
      <c r="F180" s="18" t="s">
        <v>22</v>
      </c>
      <c r="G180" s="11" t="n">
        <v>5516</v>
      </c>
      <c r="H180" s="19" t="n">
        <v>0.7</v>
      </c>
      <c r="I180" s="20" t="n">
        <v>0.72</v>
      </c>
      <c r="J180" s="20" t="n">
        <v>0.8</v>
      </c>
      <c r="K180" s="20" t="n">
        <v>0.96</v>
      </c>
      <c r="L180" s="20" t="n">
        <v>0.8</v>
      </c>
      <c r="M180" s="12" t="n">
        <v>4</v>
      </c>
      <c r="N180" s="11"/>
      <c r="O180" s="1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22"/>
      <c r="AA180" s="22"/>
      <c r="AB180" s="22"/>
      <c r="AC180" s="22"/>
      <c r="AD180" s="7"/>
      <c r="AE180" s="7"/>
      <c r="AF180" s="7"/>
      <c r="AG180" s="7"/>
      <c r="AH180" s="7"/>
      <c r="AI180" s="7"/>
      <c r="AJ180" s="7"/>
      <c r="AK180" s="7"/>
      <c r="AL180" s="7"/>
    </row>
    <row r="181" customFormat="false" ht="15.75" hidden="false" customHeight="true" outlineLevel="0" collapsed="false">
      <c r="A181" s="18" t="s">
        <v>161</v>
      </c>
      <c r="B181" s="18" t="str">
        <f aca="false" t="array" ref="B181:B181">IF(A181="","",IFERROR(INDEX('CLM &amp; IM Mapping'!$B$2:$B$270,MATCH(TRIM(A181),'CLM &amp; IM Mapping'!$A$2:$A$270,0)),"Not Mapped"))</f>
        <v>Ashwath S</v>
      </c>
      <c r="C181" s="18" t="str">
        <f aca="false" t="array" ref="C181:C181">IF(A181="","",IFERROR(INDEX('CLM &amp; IM Mapping'!$C$2:$C$270,MATCH(TRIM(A181),'CLM &amp; IM Mapping'!$A$2:$A$270,0)),"Not Mapped"))</f>
        <v>Kantha Kumar</v>
      </c>
      <c r="D181" s="18" t="s">
        <v>27</v>
      </c>
      <c r="E181" s="18" t="s">
        <v>314</v>
      </c>
      <c r="F181" s="18" t="s">
        <v>22</v>
      </c>
      <c r="G181" s="11" t="n">
        <v>6248</v>
      </c>
      <c r="H181" s="19" t="n">
        <v>0.7</v>
      </c>
      <c r="I181" s="20" t="n">
        <v>0.72</v>
      </c>
      <c r="J181" s="20" t="n">
        <v>0.95</v>
      </c>
      <c r="K181" s="20" t="n">
        <v>0.98</v>
      </c>
      <c r="L181" s="20" t="n">
        <v>0.95</v>
      </c>
      <c r="M181" s="12" t="n">
        <v>3</v>
      </c>
      <c r="N181" s="11"/>
      <c r="O181" s="1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22"/>
      <c r="AA181" s="22"/>
      <c r="AB181" s="22"/>
      <c r="AC181" s="22"/>
      <c r="AD181" s="7"/>
      <c r="AE181" s="7"/>
      <c r="AF181" s="7"/>
      <c r="AG181" s="7"/>
      <c r="AH181" s="7"/>
      <c r="AI181" s="7"/>
      <c r="AJ181" s="7"/>
      <c r="AK181" s="7"/>
      <c r="AL181" s="7"/>
    </row>
    <row r="182" customFormat="false" ht="15.75" hidden="false" customHeight="true" outlineLevel="0" collapsed="false">
      <c r="A182" s="18" t="s">
        <v>235</v>
      </c>
      <c r="B182" s="18" t="str">
        <f aca="false" t="array" ref="B182:B182">IF(A182="","",IFERROR(INDEX('CLM &amp; IM Mapping'!$B$2:$B$270,MATCH(TRIM(A182),'CLM &amp; IM Mapping'!$A$2:$A$270,0)),"Not Mapped"))</f>
        <v>Balaji G</v>
      </c>
      <c r="C182" s="18" t="str">
        <f aca="false" t="array" ref="C182:C182">IF(A182="","",IFERROR(INDEX('CLM &amp; IM Mapping'!$C$2:$C$270,MATCH(TRIM(A182),'CLM &amp; IM Mapping'!$A$2:$A$270,0)),"Not Mapped"))</f>
        <v>Mohammed Akbar</v>
      </c>
      <c r="D182" s="18" t="s">
        <v>27</v>
      </c>
      <c r="E182" s="18" t="s">
        <v>314</v>
      </c>
      <c r="F182" s="18" t="s">
        <v>22</v>
      </c>
      <c r="G182" s="11" t="n">
        <v>5689</v>
      </c>
      <c r="H182" s="19" t="n">
        <v>0.7</v>
      </c>
      <c r="I182" s="20" t="n">
        <v>0.72</v>
      </c>
      <c r="J182" s="20" t="n">
        <v>0.88</v>
      </c>
      <c r="K182" s="20" t="n">
        <v>0.96</v>
      </c>
      <c r="L182" s="20" t="n">
        <v>0.88</v>
      </c>
      <c r="M182" s="12" t="n">
        <v>5</v>
      </c>
      <c r="N182" s="11"/>
      <c r="O182" s="1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22"/>
      <c r="AA182" s="22"/>
      <c r="AB182" s="22"/>
      <c r="AC182" s="22"/>
      <c r="AD182" s="7"/>
      <c r="AE182" s="7"/>
      <c r="AF182" s="7"/>
      <c r="AG182" s="7"/>
      <c r="AH182" s="7"/>
      <c r="AI182" s="7"/>
      <c r="AJ182" s="7"/>
      <c r="AK182" s="7"/>
      <c r="AL182" s="7"/>
    </row>
    <row r="183" customFormat="false" ht="15.75" hidden="false" customHeight="true" outlineLevel="0" collapsed="false">
      <c r="A183" s="18" t="s">
        <v>76</v>
      </c>
      <c r="B183" s="18" t="str">
        <f aca="false" t="array" ref="B183:B183">IF(A183="","",IFERROR(INDEX('CLM &amp; IM Mapping'!$B$2:$B$270,MATCH(TRIM(A183),'CLM &amp; IM Mapping'!$A$2:$A$270,0)),"Not Mapped"))</f>
        <v>Ashwath S</v>
      </c>
      <c r="C183" s="18" t="str">
        <f aca="false" t="array" ref="C183:C183">IF(A183="","",IFERROR(INDEX('CLM &amp; IM Mapping'!$C$2:$C$270,MATCH(TRIM(A183),'CLM &amp; IM Mapping'!$A$2:$A$270,0)),"Not Mapped"))</f>
        <v>Kantha Kumar</v>
      </c>
      <c r="D183" s="18" t="s">
        <v>27</v>
      </c>
      <c r="E183" s="18" t="s">
        <v>314</v>
      </c>
      <c r="F183" s="18" t="s">
        <v>22</v>
      </c>
      <c r="G183" s="11" t="n">
        <v>6158</v>
      </c>
      <c r="H183" s="19" t="n">
        <v>0.7</v>
      </c>
      <c r="I183" s="20" t="n">
        <v>0.73</v>
      </c>
      <c r="J183" s="20" t="n">
        <v>0.85</v>
      </c>
      <c r="K183" s="20" t="n">
        <v>0.96</v>
      </c>
      <c r="L183" s="20" t="n">
        <v>0.85</v>
      </c>
      <c r="M183" s="12" t="n">
        <v>4</v>
      </c>
      <c r="N183" s="11"/>
      <c r="O183" s="1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22"/>
      <c r="AA183" s="22"/>
      <c r="AB183" s="22"/>
      <c r="AC183" s="22"/>
      <c r="AD183" s="7"/>
      <c r="AE183" s="7"/>
      <c r="AF183" s="7"/>
      <c r="AG183" s="7"/>
      <c r="AH183" s="7"/>
      <c r="AI183" s="7"/>
      <c r="AJ183" s="7"/>
      <c r="AK183" s="7"/>
      <c r="AL183" s="7"/>
    </row>
    <row r="184" customFormat="false" ht="15.75" hidden="false" customHeight="true" outlineLevel="0" collapsed="false">
      <c r="A184" s="18" t="s">
        <v>68</v>
      </c>
      <c r="B184" s="18" t="str">
        <f aca="false" t="array" ref="B184:B184">IF(A184="","",IFERROR(INDEX('CLM &amp; IM Mapping'!$B$2:$B$270,MATCH(TRIM(A184),'CLM &amp; IM Mapping'!$A$2:$A$270,0)),"Not Mapped"))</f>
        <v>Mohaideen DH</v>
      </c>
      <c r="C184" s="18" t="str">
        <f aca="false" t="array" ref="C184:C184">IF(A184="","",IFERROR(INDEX('CLM &amp; IM Mapping'!$C$2:$C$270,MATCH(TRIM(A184),'CLM &amp; IM Mapping'!$A$2:$A$270,0)),"Not Mapped"))</f>
        <v>Mohammed Akbar</v>
      </c>
      <c r="D184" s="18" t="s">
        <v>27</v>
      </c>
      <c r="E184" s="18" t="s">
        <v>314</v>
      </c>
      <c r="F184" s="18" t="s">
        <v>22</v>
      </c>
      <c r="G184" s="11" t="n">
        <v>4964</v>
      </c>
      <c r="H184" s="19" t="n">
        <v>0.7</v>
      </c>
      <c r="I184" s="20" t="n">
        <v>0.74</v>
      </c>
      <c r="J184" s="20" t="n">
        <v>0.83</v>
      </c>
      <c r="K184" s="20" t="n">
        <v>0.96</v>
      </c>
      <c r="L184" s="20" t="n">
        <v>0.83</v>
      </c>
      <c r="M184" s="12" t="n">
        <v>4</v>
      </c>
      <c r="N184" s="11"/>
      <c r="O184" s="1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22"/>
      <c r="AA184" s="22"/>
      <c r="AB184" s="22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customFormat="false" ht="15.75" hidden="false" customHeight="true" outlineLevel="0" collapsed="false">
      <c r="A185" s="18" t="s">
        <v>178</v>
      </c>
      <c r="B185" s="18" t="str">
        <f aca="false" t="array" ref="B185:B185">IF(A185="","",IFERROR(INDEX('CLM &amp; IM Mapping'!$B$2:$B$270,MATCH(TRIM(A185),'CLM &amp; IM Mapping'!$A$2:$A$270,0)),"Not Mapped"))</f>
        <v>Santhosha M</v>
      </c>
      <c r="C185" s="18" t="str">
        <f aca="false" t="array" ref="C185:C185">IF(A185="","",IFERROR(INDEX('CLM &amp; IM Mapping'!$C$2:$C$270,MATCH(TRIM(A185),'CLM &amp; IM Mapping'!$A$2:$A$270,0)),"Not Mapped"))</f>
        <v>Aravind S</v>
      </c>
      <c r="D185" s="18" t="s">
        <v>27</v>
      </c>
      <c r="E185" s="18" t="s">
        <v>314</v>
      </c>
      <c r="F185" s="18" t="s">
        <v>130</v>
      </c>
      <c r="G185" s="11" t="n">
        <v>5543</v>
      </c>
      <c r="H185" s="19" t="n">
        <v>0.7</v>
      </c>
      <c r="I185" s="20" t="n">
        <v>0.74</v>
      </c>
      <c r="J185" s="20" t="n">
        <v>0.98</v>
      </c>
      <c r="K185" s="20" t="n">
        <v>0.99</v>
      </c>
      <c r="L185" s="20" t="n">
        <v>0.98</v>
      </c>
      <c r="M185" s="12" t="n">
        <v>2</v>
      </c>
      <c r="N185" s="11"/>
      <c r="O185" s="1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22"/>
      <c r="AA185" s="22"/>
      <c r="AB185" s="22"/>
      <c r="AC185" s="22"/>
      <c r="AD185" s="7"/>
      <c r="AE185" s="7"/>
      <c r="AF185" s="7"/>
      <c r="AG185" s="7"/>
      <c r="AH185" s="7"/>
      <c r="AI185" s="7"/>
      <c r="AJ185" s="7"/>
      <c r="AK185" s="7"/>
      <c r="AL185" s="7"/>
    </row>
    <row r="186" customFormat="false" ht="15.75" hidden="false" customHeight="true" outlineLevel="0" collapsed="false">
      <c r="A186" s="18" t="s">
        <v>201</v>
      </c>
      <c r="B186" s="18" t="str">
        <f aca="false" t="array" ref="B186:B186">IF(A186="","",IFERROR(INDEX('CLM &amp; IM Mapping'!$B$2:$B$270,MATCH(TRIM(A186),'CLM &amp; IM Mapping'!$A$2:$A$270,0)),"Not Mapped"))</f>
        <v>Balaji G</v>
      </c>
      <c r="C186" s="18" t="str">
        <f aca="false" t="array" ref="C186:C186">IF(A186="","",IFERROR(INDEX('CLM &amp; IM Mapping'!$C$2:$C$270,MATCH(TRIM(A186),'CLM &amp; IM Mapping'!$A$2:$A$270,0)),"Not Mapped"))</f>
        <v>Mohammed Akbar</v>
      </c>
      <c r="D186" s="18" t="s">
        <v>27</v>
      </c>
      <c r="E186" s="18" t="s">
        <v>314</v>
      </c>
      <c r="F186" s="18" t="s">
        <v>22</v>
      </c>
      <c r="G186" s="11" t="n">
        <v>6010</v>
      </c>
      <c r="H186" s="19" t="n">
        <v>0.7</v>
      </c>
      <c r="I186" s="20" t="n">
        <v>0.75</v>
      </c>
      <c r="J186" s="20" t="n">
        <v>0.97</v>
      </c>
      <c r="K186" s="20" t="n">
        <v>0.99</v>
      </c>
      <c r="L186" s="20" t="n">
        <v>0.97</v>
      </c>
      <c r="M186" s="12" t="n">
        <v>4</v>
      </c>
      <c r="N186" s="11"/>
      <c r="O186" s="1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22"/>
      <c r="AA186" s="22"/>
      <c r="AB186" s="22"/>
      <c r="AC186" s="22"/>
      <c r="AD186" s="7"/>
      <c r="AE186" s="7"/>
      <c r="AF186" s="7"/>
      <c r="AG186" s="7"/>
      <c r="AH186" s="7"/>
      <c r="AI186" s="7"/>
      <c r="AJ186" s="7"/>
      <c r="AK186" s="7"/>
      <c r="AL186" s="7"/>
    </row>
    <row r="187" customFormat="false" ht="15.75" hidden="false" customHeight="true" outlineLevel="0" collapsed="false">
      <c r="A187" s="18" t="s">
        <v>77</v>
      </c>
      <c r="B187" s="18" t="str">
        <f aca="false" t="array" ref="B187:B187">IF(A187="","",IFERROR(INDEX('CLM &amp; IM Mapping'!$B$2:$B$270,MATCH(TRIM(A187),'CLM &amp; IM Mapping'!$A$2:$A$270,0)),"Not Mapped"))</f>
        <v>Akshay P</v>
      </c>
      <c r="C187" s="18" t="str">
        <f aca="false" t="array" ref="C187:C187">IF(A187="","",IFERROR(INDEX('CLM &amp; IM Mapping'!$C$2:$C$270,MATCH(TRIM(A187),'CLM &amp; IM Mapping'!$A$2:$A$270,0)),"Not Mapped"))</f>
        <v>Srittam Dhal</v>
      </c>
      <c r="D187" s="18" t="s">
        <v>27</v>
      </c>
      <c r="E187" s="18" t="s">
        <v>314</v>
      </c>
      <c r="F187" s="18" t="s">
        <v>22</v>
      </c>
      <c r="G187" s="11" t="n">
        <v>5379</v>
      </c>
      <c r="H187" s="19" t="n">
        <v>0.7</v>
      </c>
      <c r="I187" s="20" t="n">
        <v>0.75</v>
      </c>
      <c r="J187" s="20" t="n">
        <v>0.81</v>
      </c>
      <c r="K187" s="20" t="n">
        <v>0.95</v>
      </c>
      <c r="L187" s="20" t="n">
        <v>0.81</v>
      </c>
      <c r="M187" s="12" t="n">
        <v>3</v>
      </c>
      <c r="N187" s="11"/>
      <c r="O187" s="1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22"/>
      <c r="AA187" s="22"/>
      <c r="AB187" s="22"/>
      <c r="AC187" s="22"/>
      <c r="AD187" s="7"/>
      <c r="AE187" s="7"/>
      <c r="AF187" s="7"/>
      <c r="AG187" s="7"/>
      <c r="AH187" s="7"/>
      <c r="AI187" s="7"/>
      <c r="AJ187" s="7"/>
      <c r="AK187" s="7"/>
      <c r="AL187" s="7"/>
    </row>
    <row r="188" customFormat="false" ht="15.75" hidden="false" customHeight="true" outlineLevel="0" collapsed="false">
      <c r="A188" s="18" t="s">
        <v>208</v>
      </c>
      <c r="B188" s="18" t="str">
        <f aca="false" t="array" ref="B188:B188">IF(A188="","",IFERROR(INDEX('CLM &amp; IM Mapping'!$B$2:$B$270,MATCH(TRIM(A188),'CLM &amp; IM Mapping'!$A$2:$A$270,0)),"Not Mapped"))</f>
        <v>Bangareppa CS</v>
      </c>
      <c r="C188" s="18" t="str">
        <f aca="false" t="array" ref="C188:C188">IF(A188="","",IFERROR(INDEX('CLM &amp; IM Mapping'!$C$2:$C$270,MATCH(TRIM(A188),'CLM &amp; IM Mapping'!$A$2:$A$270,0)),"Not Mapped"))</f>
        <v>Kishor K</v>
      </c>
      <c r="D188" s="18" t="s">
        <v>27</v>
      </c>
      <c r="E188" s="18" t="s">
        <v>314</v>
      </c>
      <c r="F188" s="18" t="s">
        <v>202</v>
      </c>
      <c r="G188" s="11" t="n">
        <v>6112</v>
      </c>
      <c r="H188" s="19" t="n">
        <v>0.7</v>
      </c>
      <c r="I188" s="20" t="n">
        <v>0.75</v>
      </c>
      <c r="J188" s="20" t="n">
        <v>0.97</v>
      </c>
      <c r="K188" s="20" t="n">
        <v>0.98</v>
      </c>
      <c r="L188" s="20" t="n">
        <v>0.97</v>
      </c>
      <c r="M188" s="12" t="n">
        <v>2</v>
      </c>
      <c r="N188" s="11"/>
      <c r="O188" s="1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22"/>
      <c r="AA188" s="22"/>
      <c r="AB188" s="22"/>
      <c r="AC188" s="22"/>
      <c r="AD188" s="7"/>
      <c r="AE188" s="7"/>
      <c r="AF188" s="7"/>
      <c r="AG188" s="7"/>
      <c r="AH188" s="7"/>
      <c r="AI188" s="7"/>
      <c r="AJ188" s="7"/>
      <c r="AK188" s="7"/>
      <c r="AL188" s="7"/>
    </row>
    <row r="189" customFormat="false" ht="15.75" hidden="false" customHeight="true" outlineLevel="0" collapsed="false">
      <c r="A189" s="18" t="s">
        <v>108</v>
      </c>
      <c r="B189" s="18" t="str">
        <f aca="false" t="array" ref="B189:B189">IF(A189="","",IFERROR(INDEX('CLM &amp; IM Mapping'!$B$2:$B$270,MATCH(TRIM(A189),'CLM &amp; IM Mapping'!$A$2:$A$270,0)),"Not Mapped"))</f>
        <v>Vijay M</v>
      </c>
      <c r="C189" s="18" t="str">
        <f aca="false" t="array" ref="C189:C189">IF(A189="","",IFERROR(INDEX('CLM &amp; IM Mapping'!$C$2:$C$270,MATCH(TRIM(A189),'CLM &amp; IM Mapping'!$A$2:$A$270,0)),"Not Mapped"))</f>
        <v>Kantha Kumar</v>
      </c>
      <c r="D189" s="18" t="s">
        <v>27</v>
      </c>
      <c r="E189" s="18" t="s">
        <v>314</v>
      </c>
      <c r="F189" s="18" t="s">
        <v>22</v>
      </c>
      <c r="G189" s="11" t="n">
        <v>5085</v>
      </c>
      <c r="H189" s="19" t="n">
        <v>0.7</v>
      </c>
      <c r="I189" s="20" t="n">
        <v>0.76</v>
      </c>
      <c r="J189" s="20" t="n">
        <v>0.85</v>
      </c>
      <c r="K189" s="20" t="n">
        <v>0.92</v>
      </c>
      <c r="L189" s="20" t="n">
        <v>0.85</v>
      </c>
      <c r="M189" s="12" t="n">
        <v>1</v>
      </c>
      <c r="N189" s="11"/>
      <c r="O189" s="1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22"/>
      <c r="AA189" s="22"/>
      <c r="AB189" s="22"/>
      <c r="AC189" s="22"/>
      <c r="AD189" s="7"/>
      <c r="AE189" s="7"/>
      <c r="AF189" s="7"/>
      <c r="AG189" s="7"/>
      <c r="AH189" s="7"/>
      <c r="AI189" s="7"/>
      <c r="AJ189" s="7"/>
      <c r="AK189" s="7"/>
      <c r="AL189" s="7"/>
    </row>
    <row r="190" customFormat="false" ht="15.75" hidden="false" customHeight="true" outlineLevel="0" collapsed="false">
      <c r="A190" s="18" t="s">
        <v>126</v>
      </c>
      <c r="B190" s="18" t="str">
        <f aca="false" t="array" ref="B190:B190">IF(A190="","",IFERROR(INDEX('CLM &amp; IM Mapping'!$B$2:$B$270,MATCH(TRIM(A190),'CLM &amp; IM Mapping'!$A$2:$A$270,0)),"Not Mapped"))</f>
        <v>Balaji G</v>
      </c>
      <c r="C190" s="18" t="str">
        <f aca="false" t="array" ref="C190:C190">IF(A190="","",IFERROR(INDEX('CLM &amp; IM Mapping'!$C$2:$C$270,MATCH(TRIM(A190),'CLM &amp; IM Mapping'!$A$2:$A$270,0)),"Not Mapped"))</f>
        <v>Mohammed Akbar</v>
      </c>
      <c r="D190" s="18" t="s">
        <v>27</v>
      </c>
      <c r="E190" s="18" t="s">
        <v>314</v>
      </c>
      <c r="F190" s="18" t="s">
        <v>22</v>
      </c>
      <c r="G190" s="11" t="n">
        <v>6774</v>
      </c>
      <c r="H190" s="19" t="n">
        <v>0.7</v>
      </c>
      <c r="I190" s="20" t="n">
        <v>0.76</v>
      </c>
      <c r="J190" s="20" t="n">
        <v>0.95</v>
      </c>
      <c r="K190" s="20" t="n">
        <v>0.97</v>
      </c>
      <c r="L190" s="18"/>
      <c r="M190" s="12" t="n">
        <v>3</v>
      </c>
      <c r="N190" s="11"/>
      <c r="O190" s="1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22"/>
      <c r="AA190" s="22"/>
      <c r="AB190" s="22"/>
      <c r="AC190" s="22"/>
      <c r="AD190" s="7"/>
      <c r="AE190" s="7"/>
      <c r="AF190" s="7"/>
      <c r="AG190" s="7"/>
      <c r="AH190" s="7"/>
      <c r="AI190" s="7"/>
      <c r="AJ190" s="7"/>
      <c r="AK190" s="7"/>
      <c r="AL190" s="7"/>
    </row>
    <row r="191" customFormat="false" ht="15.75" hidden="false" customHeight="true" outlineLevel="0" collapsed="false">
      <c r="A191" s="18" t="s">
        <v>204</v>
      </c>
      <c r="B191" s="18" t="str">
        <f aca="false" t="array" ref="B191:B191">IF(A191="","",IFERROR(INDEX('CLM &amp; IM Mapping'!$B$2:$B$270,MATCH(TRIM(A191),'CLM &amp; IM Mapping'!$A$2:$A$270,0)),"Not Mapped"))</f>
        <v>Ravishankar gowda</v>
      </c>
      <c r="C191" s="18" t="str">
        <f aca="false" t="array" ref="C191:C191">IF(A191="","",IFERROR(INDEX('CLM &amp; IM Mapping'!$C$2:$C$270,MATCH(TRIM(A191),'CLM &amp; IM Mapping'!$A$2:$A$270,0)),"Not Mapped"))</f>
        <v>Kishor K</v>
      </c>
      <c r="D191" s="18" t="s">
        <v>27</v>
      </c>
      <c r="E191" s="18" t="s">
        <v>314</v>
      </c>
      <c r="F191" s="18" t="s">
        <v>22</v>
      </c>
      <c r="G191" s="11" t="n">
        <v>5893</v>
      </c>
      <c r="H191" s="19" t="n">
        <v>0.7</v>
      </c>
      <c r="I191" s="20" t="n">
        <v>0.77</v>
      </c>
      <c r="J191" s="20" t="n">
        <v>0.88</v>
      </c>
      <c r="K191" s="20" t="n">
        <v>0.97</v>
      </c>
      <c r="L191" s="20" t="n">
        <v>0.88</v>
      </c>
      <c r="M191" s="12" t="n">
        <v>7</v>
      </c>
      <c r="N191" s="11"/>
      <c r="O191" s="1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22"/>
      <c r="AA191" s="22"/>
      <c r="AB191" s="22"/>
      <c r="AC191" s="22"/>
      <c r="AD191" s="7"/>
      <c r="AE191" s="7"/>
      <c r="AF191" s="7"/>
      <c r="AG191" s="7"/>
      <c r="AH191" s="7"/>
      <c r="AI191" s="7"/>
      <c r="AJ191" s="7"/>
      <c r="AK191" s="7"/>
      <c r="AL191" s="7"/>
    </row>
    <row r="192" customFormat="false" ht="15.75" hidden="false" customHeight="true" outlineLevel="0" collapsed="false">
      <c r="A192" s="18" t="s">
        <v>181</v>
      </c>
      <c r="B192" s="18" t="str">
        <f aca="false" t="array" ref="B192:B192">IF(A192="","",IFERROR(INDEX('CLM &amp; IM Mapping'!$B$2:$B$270,MATCH(TRIM(A192),'CLM &amp; IM Mapping'!$A$2:$A$270,0)),"Not Mapped"))</f>
        <v>Raghavendra Vernekar</v>
      </c>
      <c r="C192" s="18" t="str">
        <f aca="false" t="array" ref="C192:C192">IF(A192="","",IFERROR(INDEX('CLM &amp; IM Mapping'!$C$2:$C$270,MATCH(TRIM(A192),'CLM &amp; IM Mapping'!$A$2:$A$270,0)),"Not Mapped"))</f>
        <v>Prakash BS</v>
      </c>
      <c r="D192" s="18" t="s">
        <v>27</v>
      </c>
      <c r="E192" s="18" t="s">
        <v>316</v>
      </c>
      <c r="F192" s="18" t="s">
        <v>22</v>
      </c>
      <c r="G192" s="11" t="n">
        <v>6976</v>
      </c>
      <c r="H192" s="19" t="n">
        <v>0.7</v>
      </c>
      <c r="I192" s="20" t="n">
        <v>0.77</v>
      </c>
      <c r="J192" s="20" t="n">
        <v>0.85</v>
      </c>
      <c r="K192" s="20" t="n">
        <v>0.96</v>
      </c>
      <c r="L192" s="20" t="n">
        <v>0.85</v>
      </c>
      <c r="M192" s="12" t="n">
        <v>7</v>
      </c>
      <c r="N192" s="11"/>
      <c r="O192" s="1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22"/>
      <c r="AA192" s="22"/>
      <c r="AB192" s="22"/>
      <c r="AC192" s="22"/>
      <c r="AD192" s="7"/>
      <c r="AE192" s="7"/>
      <c r="AF192" s="7"/>
      <c r="AG192" s="7"/>
      <c r="AH192" s="7"/>
      <c r="AI192" s="7"/>
      <c r="AJ192" s="7"/>
      <c r="AK192" s="7"/>
      <c r="AL192" s="7"/>
    </row>
    <row r="193" customFormat="false" ht="15.75" hidden="false" customHeight="true" outlineLevel="0" collapsed="false">
      <c r="A193" s="18" t="s">
        <v>46</v>
      </c>
      <c r="B193" s="18" t="str">
        <f aca="false" t="array" ref="B193:B193">IF(A193="","",IFERROR(INDEX('CLM &amp; IM Mapping'!$B$2:$B$270,MATCH(TRIM(A193),'CLM &amp; IM Mapping'!$A$2:$A$270,0)),"Not Mapped"))</f>
        <v>Keshav G</v>
      </c>
      <c r="C193" s="18" t="str">
        <f aca="false" t="array" ref="C193:C193">IF(A193="","",IFERROR(INDEX('CLM &amp; IM Mapping'!$C$2:$C$270,MATCH(TRIM(A193),'CLM &amp; IM Mapping'!$A$2:$A$270,0)),"Not Mapped"))</f>
        <v>Mohammed Akbar</v>
      </c>
      <c r="D193" s="18" t="s">
        <v>27</v>
      </c>
      <c r="E193" s="18" t="s">
        <v>316</v>
      </c>
      <c r="F193" s="18" t="s">
        <v>22</v>
      </c>
      <c r="G193" s="11" t="n">
        <v>12192</v>
      </c>
      <c r="H193" s="19" t="n">
        <v>0.7</v>
      </c>
      <c r="I193" s="20" t="n">
        <v>0.77</v>
      </c>
      <c r="J193" s="20" t="n">
        <v>0.89</v>
      </c>
      <c r="K193" s="20" t="n">
        <v>0.96</v>
      </c>
      <c r="L193" s="20" t="n">
        <v>0.89</v>
      </c>
      <c r="M193" s="12" t="n">
        <v>8</v>
      </c>
      <c r="N193" s="11"/>
      <c r="O193" s="1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22"/>
      <c r="AA193" s="22"/>
      <c r="AB193" s="22"/>
      <c r="AC193" s="22"/>
      <c r="AD193" s="7"/>
      <c r="AE193" s="7"/>
      <c r="AF193" s="7"/>
      <c r="AG193" s="7"/>
      <c r="AH193" s="7"/>
      <c r="AI193" s="7"/>
      <c r="AJ193" s="7"/>
      <c r="AK193" s="7"/>
      <c r="AL193" s="7"/>
    </row>
    <row r="194" customFormat="false" ht="15.75" hidden="false" customHeight="true" outlineLevel="0" collapsed="false">
      <c r="A194" s="18" t="s">
        <v>255</v>
      </c>
      <c r="B194" s="18" t="str">
        <f aca="false" t="array" ref="B194:B194">IF(A194="","",IFERROR(INDEX('CLM &amp; IM Mapping'!$B$2:$B$270,MATCH(TRIM(A194),'CLM &amp; IM Mapping'!$A$2:$A$270,0)),"Not Mapped"))</f>
        <v>Vishnu V</v>
      </c>
      <c r="C194" s="18" t="str">
        <f aca="false" t="array" ref="C194:C194">IF(A194="","",IFERROR(INDEX('CLM &amp; IM Mapping'!$C$2:$C$270,MATCH(TRIM(A194),'CLM &amp; IM Mapping'!$A$2:$A$270,0)),"Not Mapped"))</f>
        <v>Arivind S</v>
      </c>
      <c r="D194" s="18" t="s">
        <v>27</v>
      </c>
      <c r="E194" s="18" t="s">
        <v>314</v>
      </c>
      <c r="F194" s="18" t="s">
        <v>104</v>
      </c>
      <c r="G194" s="11" t="n">
        <v>5902</v>
      </c>
      <c r="H194" s="19" t="n">
        <v>0.7</v>
      </c>
      <c r="I194" s="20" t="n">
        <v>0.77</v>
      </c>
      <c r="J194" s="20" t="n">
        <v>0.93</v>
      </c>
      <c r="K194" s="20" t="n">
        <v>0.98</v>
      </c>
      <c r="L194" s="20" t="n">
        <v>0.93</v>
      </c>
      <c r="M194" s="12" t="n">
        <v>3</v>
      </c>
      <c r="N194" s="11"/>
      <c r="O194" s="1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22"/>
      <c r="AA194" s="22"/>
      <c r="AB194" s="22"/>
      <c r="AC194" s="22"/>
      <c r="AD194" s="7"/>
      <c r="AE194" s="7"/>
      <c r="AF194" s="7"/>
      <c r="AG194" s="7"/>
      <c r="AH194" s="7"/>
      <c r="AI194" s="7"/>
      <c r="AJ194" s="7"/>
      <c r="AK194" s="7"/>
      <c r="AL194" s="7"/>
    </row>
    <row r="195" customFormat="false" ht="15.75" hidden="false" customHeight="true" outlineLevel="0" collapsed="false">
      <c r="A195" s="18" t="s">
        <v>231</v>
      </c>
      <c r="B195" s="18" t="str">
        <f aca="false" t="array" ref="B195:B195">IF(A195="","",IFERROR(INDEX('CLM &amp; IM Mapping'!$B$2:$B$270,MATCH(TRIM(A195),'CLM &amp; IM Mapping'!$A$2:$A$270,0)),"Not Mapped"))</f>
        <v>Vishnu V</v>
      </c>
      <c r="C195" s="18" t="str">
        <f aca="false" t="array" ref="C195:C195">IF(A195="","",IFERROR(INDEX('CLM &amp; IM Mapping'!$C$2:$C$270,MATCH(TRIM(A195),'CLM &amp; IM Mapping'!$A$2:$A$270,0)),"Not Mapped"))</f>
        <v>Arivind S</v>
      </c>
      <c r="D195" s="18" t="s">
        <v>27</v>
      </c>
      <c r="E195" s="18" t="s">
        <v>314</v>
      </c>
      <c r="F195" s="18" t="s">
        <v>104</v>
      </c>
      <c r="G195" s="11" t="n">
        <v>5215</v>
      </c>
      <c r="H195" s="19" t="n">
        <v>0.7</v>
      </c>
      <c r="I195" s="20" t="n">
        <v>0.77</v>
      </c>
      <c r="J195" s="20" t="n">
        <v>0.91</v>
      </c>
      <c r="K195" s="20" t="n">
        <v>0.97</v>
      </c>
      <c r="L195" s="20" t="n">
        <v>0.91</v>
      </c>
      <c r="M195" s="12" t="n">
        <v>3</v>
      </c>
      <c r="N195" s="11"/>
      <c r="O195" s="1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22"/>
      <c r="AA195" s="22"/>
      <c r="AB195" s="22"/>
      <c r="AC195" s="22"/>
      <c r="AD195" s="7"/>
      <c r="AE195" s="7"/>
      <c r="AF195" s="7"/>
      <c r="AG195" s="7"/>
      <c r="AH195" s="7"/>
      <c r="AI195" s="7"/>
      <c r="AJ195" s="7"/>
      <c r="AK195" s="7"/>
      <c r="AL195" s="7"/>
    </row>
    <row r="196" customFormat="false" ht="15.75" hidden="false" customHeight="true" outlineLevel="0" collapsed="false">
      <c r="A196" s="18" t="s">
        <v>40</v>
      </c>
      <c r="B196" s="18" t="str">
        <f aca="false" t="array" ref="B196:B196">IF(A196="","",IFERROR(INDEX('CLM &amp; IM Mapping'!$B$2:$B$270,MATCH(TRIM(A196),'CLM &amp; IM Mapping'!$A$2:$A$270,0)),"Not Mapped"))</f>
        <v>Rizwan Ahmed</v>
      </c>
      <c r="C196" s="18" t="str">
        <f aca="false" t="array" ref="C196:C196">IF(A196="","",IFERROR(INDEX('CLM &amp; IM Mapping'!$C$2:$C$270,MATCH(TRIM(A196),'CLM &amp; IM Mapping'!$A$2:$A$270,0)),"Not Mapped"))</f>
        <v>Un Mapped</v>
      </c>
      <c r="D196" s="18" t="s">
        <v>27</v>
      </c>
      <c r="E196" s="18" t="s">
        <v>314</v>
      </c>
      <c r="F196" s="18" t="s">
        <v>22</v>
      </c>
      <c r="G196" s="11" t="n">
        <v>7186</v>
      </c>
      <c r="H196" s="19" t="n">
        <v>0.7</v>
      </c>
      <c r="I196" s="20" t="n">
        <v>0.78</v>
      </c>
      <c r="J196" s="20" t="n">
        <v>0.86</v>
      </c>
      <c r="K196" s="20" t="n">
        <v>0.94</v>
      </c>
      <c r="L196" s="20" t="n">
        <v>0.86</v>
      </c>
      <c r="M196" s="12" t="n">
        <v>3</v>
      </c>
      <c r="N196" s="11"/>
      <c r="O196" s="1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22"/>
      <c r="AA196" s="22"/>
      <c r="AB196" s="22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customFormat="false" ht="15.75" hidden="false" customHeight="true" outlineLevel="0" collapsed="false">
      <c r="A197" s="18" t="s">
        <v>93</v>
      </c>
      <c r="B197" s="18" t="str">
        <f aca="false" t="array" ref="B197:B197">IF(A197="","",IFERROR(INDEX('CLM &amp; IM Mapping'!$B$2:$B$270,MATCH(TRIM(A197),'CLM &amp; IM Mapping'!$A$2:$A$270,0)),"Not Mapped"))</f>
        <v>Manjunatha V</v>
      </c>
      <c r="C197" s="18" t="str">
        <f aca="false" t="array" ref="C197:C197">IF(A197="","",IFERROR(INDEX('CLM &amp; IM Mapping'!$C$2:$C$270,MATCH(TRIM(A197),'CLM &amp; IM Mapping'!$A$2:$A$270,0)),"Not Mapped"))</f>
        <v>Un Mapped</v>
      </c>
      <c r="D197" s="18" t="s">
        <v>27</v>
      </c>
      <c r="E197" s="18" t="s">
        <v>314</v>
      </c>
      <c r="F197" s="18" t="s">
        <v>22</v>
      </c>
      <c r="G197" s="11" t="n">
        <v>6055</v>
      </c>
      <c r="H197" s="19" t="n">
        <v>0.7</v>
      </c>
      <c r="I197" s="20" t="n">
        <v>0.78</v>
      </c>
      <c r="J197" s="20" t="n">
        <v>0.81</v>
      </c>
      <c r="K197" s="20" t="n">
        <v>0.94</v>
      </c>
      <c r="L197" s="20" t="n">
        <v>0.81</v>
      </c>
      <c r="M197" s="12" t="n">
        <v>5</v>
      </c>
      <c r="N197" s="11"/>
      <c r="O197" s="1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22"/>
      <c r="AA197" s="22"/>
      <c r="AB197" s="22"/>
      <c r="AC197" s="22"/>
      <c r="AD197" s="7"/>
      <c r="AE197" s="7"/>
      <c r="AF197" s="7"/>
      <c r="AG197" s="7"/>
      <c r="AH197" s="7"/>
      <c r="AI197" s="7"/>
      <c r="AJ197" s="7"/>
      <c r="AK197" s="7"/>
      <c r="AL197" s="7"/>
    </row>
    <row r="198" customFormat="false" ht="15.75" hidden="false" customHeight="true" outlineLevel="0" collapsed="false">
      <c r="A198" s="18" t="s">
        <v>233</v>
      </c>
      <c r="B198" s="18" t="str">
        <f aca="false" t="array" ref="B198:B198">IF(A198="","",IFERROR(INDEX('CLM &amp; IM Mapping'!$B$2:$B$270,MATCH(TRIM(A198),'CLM &amp; IM Mapping'!$A$2:$A$270,0)),"Not Mapped"))</f>
        <v>Balaji G</v>
      </c>
      <c r="C198" s="18" t="str">
        <f aca="false" t="array" ref="C198:C198">IF(A198="","",IFERROR(INDEX('CLM &amp; IM Mapping'!$C$2:$C$270,MATCH(TRIM(A198),'CLM &amp; IM Mapping'!$A$2:$A$270,0)),"Not Mapped"))</f>
        <v>Mohammed Akbar</v>
      </c>
      <c r="D198" s="18" t="s">
        <v>27</v>
      </c>
      <c r="E198" s="18" t="s">
        <v>314</v>
      </c>
      <c r="F198" s="18" t="s">
        <v>22</v>
      </c>
      <c r="G198" s="11" t="n">
        <v>5948</v>
      </c>
      <c r="H198" s="19" t="n">
        <v>0.7</v>
      </c>
      <c r="I198" s="20" t="n">
        <v>0.79</v>
      </c>
      <c r="J198" s="20" t="n">
        <v>0.9</v>
      </c>
      <c r="K198" s="20" t="n">
        <v>0.98</v>
      </c>
      <c r="L198" s="18"/>
      <c r="M198" s="12" t="n">
        <v>3</v>
      </c>
      <c r="N198" s="11"/>
      <c r="O198" s="1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22"/>
      <c r="AA198" s="22"/>
      <c r="AB198" s="22"/>
      <c r="AC198" s="22"/>
      <c r="AD198" s="7"/>
      <c r="AE198" s="7"/>
      <c r="AF198" s="7"/>
      <c r="AG198" s="7"/>
      <c r="AH198" s="7"/>
      <c r="AI198" s="7"/>
      <c r="AJ198" s="7"/>
      <c r="AK198" s="7"/>
      <c r="AL198" s="7"/>
    </row>
    <row r="199" customFormat="false" ht="15.75" hidden="false" customHeight="true" outlineLevel="0" collapsed="false">
      <c r="A199" s="18" t="s">
        <v>223</v>
      </c>
      <c r="B199" s="18" t="str">
        <f aca="false" t="array" ref="B199:B199">IF(A199="","",IFERROR(INDEX('CLM &amp; IM Mapping'!$B$2:$B$270,MATCH(TRIM(A199),'CLM &amp; IM Mapping'!$A$2:$A$270,0)),"Not Mapped"))</f>
        <v>Ravishankar gowda</v>
      </c>
      <c r="C199" s="18" t="str">
        <f aca="false" t="array" ref="C199:C199">IF(A199="","",IFERROR(INDEX('CLM &amp; IM Mapping'!$C$2:$C$270,MATCH(TRIM(A199),'CLM &amp; IM Mapping'!$A$2:$A$270,0)),"Not Mapped"))</f>
        <v>Kishor K</v>
      </c>
      <c r="D199" s="18" t="s">
        <v>27</v>
      </c>
      <c r="E199" s="18" t="s">
        <v>316</v>
      </c>
      <c r="F199" s="18" t="s">
        <v>22</v>
      </c>
      <c r="G199" s="11" t="n">
        <v>6145</v>
      </c>
      <c r="H199" s="19" t="n">
        <v>0.7</v>
      </c>
      <c r="I199" s="20" t="n">
        <v>0.79</v>
      </c>
      <c r="J199" s="20" t="n">
        <v>0.97</v>
      </c>
      <c r="K199" s="20" t="n">
        <v>0.98</v>
      </c>
      <c r="L199" s="20" t="n">
        <v>0.97</v>
      </c>
      <c r="M199" s="12" t="n">
        <v>3</v>
      </c>
      <c r="N199" s="11"/>
      <c r="O199" s="1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22"/>
      <c r="AA199" s="22"/>
      <c r="AB199" s="22"/>
      <c r="AC199" s="22"/>
      <c r="AD199" s="7"/>
      <c r="AE199" s="7"/>
      <c r="AF199" s="7"/>
      <c r="AG199" s="7"/>
      <c r="AH199" s="7"/>
      <c r="AI199" s="7"/>
      <c r="AJ199" s="7"/>
      <c r="AK199" s="7"/>
      <c r="AL199" s="7"/>
    </row>
    <row r="200" customFormat="false" ht="15.75" hidden="false" customHeight="true" outlineLevel="0" collapsed="false">
      <c r="A200" s="18" t="s">
        <v>291</v>
      </c>
      <c r="B200" s="18" t="str">
        <f aca="false" t="array" ref="B200:B200">IF(A200="","",IFERROR(INDEX('CLM &amp; IM Mapping'!$B$2:$B$270,MATCH(TRIM(A200),'CLM &amp; IM Mapping'!$A$2:$A$270,0)),"Not Mapped"))</f>
        <v>John Britto</v>
      </c>
      <c r="C200" s="18" t="str">
        <f aca="false" t="array" ref="C200:C200">IF(A200="","",IFERROR(INDEX('CLM &amp; IM Mapping'!$C$2:$C$270,MATCH(TRIM(A200),'CLM &amp; IM Mapping'!$A$2:$A$270,0)),"Not Mapped"))</f>
        <v>Aravind S</v>
      </c>
      <c r="D200" s="18" t="s">
        <v>27</v>
      </c>
      <c r="E200" s="18" t="s">
        <v>314</v>
      </c>
      <c r="F200" s="18" t="s">
        <v>145</v>
      </c>
      <c r="G200" s="11" t="n">
        <v>5602</v>
      </c>
      <c r="H200" s="19" t="n">
        <v>0.7</v>
      </c>
      <c r="I200" s="20" t="n">
        <v>0.79</v>
      </c>
      <c r="J200" s="20" t="n">
        <v>0.89</v>
      </c>
      <c r="K200" s="20" t="n">
        <v>0.98</v>
      </c>
      <c r="L200" s="20" t="n">
        <v>0.89</v>
      </c>
      <c r="M200" s="12" t="n">
        <v>3</v>
      </c>
      <c r="N200" s="11"/>
      <c r="O200" s="1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22"/>
      <c r="AA200" s="22"/>
      <c r="AB200" s="22"/>
      <c r="AC200" s="22"/>
      <c r="AD200" s="7"/>
      <c r="AE200" s="7"/>
      <c r="AF200" s="7"/>
      <c r="AG200" s="7"/>
      <c r="AH200" s="7"/>
      <c r="AI200" s="7"/>
      <c r="AJ200" s="7"/>
      <c r="AK200" s="7"/>
      <c r="AL200" s="7"/>
    </row>
    <row r="201" customFormat="false" ht="15.75" hidden="false" customHeight="true" outlineLevel="0" collapsed="false">
      <c r="A201" s="18" t="s">
        <v>98</v>
      </c>
      <c r="B201" s="18" t="str">
        <f aca="false" t="array" ref="B201:B201">IF(A201="","",IFERROR(INDEX('CLM &amp; IM Mapping'!$B$2:$B$270,MATCH(TRIM(A201),'CLM &amp; IM Mapping'!$A$2:$A$270,0)),"Not Mapped"))</f>
        <v>Silambarasan E</v>
      </c>
      <c r="C201" s="18" t="str">
        <f aca="false" t="array" ref="C201:C201">IF(A201="","",IFERROR(INDEX('CLM &amp; IM Mapping'!$C$2:$C$270,MATCH(TRIM(A201),'CLM &amp; IM Mapping'!$A$2:$A$270,0)),"Not Mapped"))</f>
        <v>Arivind S</v>
      </c>
      <c r="D201" s="18" t="s">
        <v>27</v>
      </c>
      <c r="E201" s="18" t="s">
        <v>314</v>
      </c>
      <c r="F201" s="18" t="s">
        <v>22</v>
      </c>
      <c r="G201" s="11" t="n">
        <v>5057</v>
      </c>
      <c r="H201" s="19" t="n">
        <v>0.7</v>
      </c>
      <c r="I201" s="20" t="n">
        <v>0.8</v>
      </c>
      <c r="J201" s="20" t="n">
        <v>0.86</v>
      </c>
      <c r="K201" s="20" t="n">
        <v>0.95</v>
      </c>
      <c r="L201" s="20" t="n">
        <v>0.86</v>
      </c>
      <c r="M201" s="12" t="n">
        <v>4</v>
      </c>
      <c r="N201" s="11"/>
      <c r="O201" s="1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22"/>
      <c r="AA201" s="22"/>
      <c r="AB201" s="22"/>
      <c r="AC201" s="22"/>
      <c r="AD201" s="7"/>
      <c r="AE201" s="7"/>
      <c r="AF201" s="7"/>
      <c r="AG201" s="7"/>
      <c r="AH201" s="7"/>
      <c r="AI201" s="7"/>
      <c r="AJ201" s="7"/>
      <c r="AK201" s="7"/>
      <c r="AL201" s="7"/>
    </row>
    <row r="202" customFormat="false" ht="15.75" hidden="false" customHeight="true" outlineLevel="0" collapsed="false">
      <c r="A202" s="18" t="s">
        <v>261</v>
      </c>
      <c r="B202" s="18" t="str">
        <f aca="false" t="array" ref="B202:B202">IF(A202="","",IFERROR(INDEX('CLM &amp; IM Mapping'!$B$2:$B$270,MATCH(TRIM(A202),'CLM &amp; IM Mapping'!$A$2:$A$270,0)),"Not Mapped"))</f>
        <v>John Britto</v>
      </c>
      <c r="C202" s="18" t="str">
        <f aca="false" t="array" ref="C202:C202">IF(A202="","",IFERROR(INDEX('CLM &amp; IM Mapping'!$C$2:$C$270,MATCH(TRIM(A202),'CLM &amp; IM Mapping'!$A$2:$A$270,0)),"Not Mapped"))</f>
        <v>Aravind S</v>
      </c>
      <c r="D202" s="18" t="s">
        <v>27</v>
      </c>
      <c r="E202" s="18" t="s">
        <v>314</v>
      </c>
      <c r="F202" s="18" t="s">
        <v>145</v>
      </c>
      <c r="G202" s="11" t="n">
        <v>5043</v>
      </c>
      <c r="H202" s="19" t="n">
        <v>0.7</v>
      </c>
      <c r="I202" s="20" t="n">
        <v>0.8</v>
      </c>
      <c r="J202" s="20" t="n">
        <v>0.84</v>
      </c>
      <c r="K202" s="20" t="n">
        <v>0.96</v>
      </c>
      <c r="L202" s="20" t="n">
        <v>0.84</v>
      </c>
      <c r="M202" s="12" t="n">
        <v>2</v>
      </c>
      <c r="N202" s="11"/>
      <c r="O202" s="1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22"/>
      <c r="AA202" s="22"/>
      <c r="AB202" s="22"/>
      <c r="AC202" s="22"/>
      <c r="AD202" s="7"/>
      <c r="AE202" s="7"/>
      <c r="AF202" s="7"/>
      <c r="AG202" s="7"/>
      <c r="AH202" s="7"/>
      <c r="AI202" s="7"/>
      <c r="AJ202" s="7"/>
      <c r="AK202" s="7"/>
      <c r="AL202" s="7"/>
    </row>
    <row r="203" customFormat="false" ht="15.75" hidden="false" customHeight="true" outlineLevel="0" collapsed="false">
      <c r="A203" s="18" t="s">
        <v>156</v>
      </c>
      <c r="B203" s="18" t="str">
        <f aca="false" t="array" ref="B203:B203">IF(A203="","",IFERROR(INDEX('CLM &amp; IM Mapping'!$B$2:$B$270,MATCH(TRIM(A203),'CLM &amp; IM Mapping'!$A$2:$A$270,0)),"Not Mapped"))</f>
        <v>Ashwath S</v>
      </c>
      <c r="C203" s="18" t="str">
        <f aca="false" t="array" ref="C203:C203">IF(A203="","",IFERROR(INDEX('CLM &amp; IM Mapping'!$C$2:$C$270,MATCH(TRIM(A203),'CLM &amp; IM Mapping'!$A$2:$A$270,0)),"Not Mapped"))</f>
        <v>Kantha Kumar</v>
      </c>
      <c r="D203" s="18" t="s">
        <v>27</v>
      </c>
      <c r="E203" s="18" t="s">
        <v>314</v>
      </c>
      <c r="F203" s="18" t="s">
        <v>22</v>
      </c>
      <c r="G203" s="11" t="n">
        <v>7207</v>
      </c>
      <c r="H203" s="19" t="n">
        <v>0.7</v>
      </c>
      <c r="I203" s="20" t="n">
        <v>0.82</v>
      </c>
      <c r="J203" s="20" t="n">
        <v>0.95</v>
      </c>
      <c r="K203" s="20" t="n">
        <v>0.99</v>
      </c>
      <c r="L203" s="20" t="n">
        <v>0.95</v>
      </c>
      <c r="M203" s="12" t="n">
        <v>5</v>
      </c>
      <c r="N203" s="11"/>
      <c r="O203" s="1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22"/>
      <c r="AA203" s="22"/>
      <c r="AB203" s="22"/>
      <c r="AC203" s="22"/>
      <c r="AD203" s="7"/>
      <c r="AE203" s="7"/>
      <c r="AF203" s="7"/>
      <c r="AG203" s="7"/>
      <c r="AH203" s="7"/>
      <c r="AI203" s="7"/>
      <c r="AJ203" s="7"/>
      <c r="AK203" s="7"/>
      <c r="AL203" s="7"/>
    </row>
    <row r="204" customFormat="false" ht="15.75" hidden="false" customHeight="true" outlineLevel="0" collapsed="false">
      <c r="A204" s="18" t="s">
        <v>61</v>
      </c>
      <c r="B204" s="18" t="str">
        <f aca="false" t="array" ref="B204:B204">IF(A204="","",IFERROR(INDEX('CLM &amp; IM Mapping'!$B$2:$B$270,MATCH(TRIM(A204),'CLM &amp; IM Mapping'!$A$2:$A$270,0)),"Not Mapped"))</f>
        <v>Balaji G</v>
      </c>
      <c r="C204" s="18" t="str">
        <f aca="false" t="array" ref="C204:C204">IF(A204="","",IFERROR(INDEX('CLM &amp; IM Mapping'!$C$2:$C$270,MATCH(TRIM(A204),'CLM &amp; IM Mapping'!$A$2:$A$270,0)),"Not Mapped"))</f>
        <v>Mohammed Akbar</v>
      </c>
      <c r="D204" s="18" t="s">
        <v>27</v>
      </c>
      <c r="E204" s="18" t="s">
        <v>314</v>
      </c>
      <c r="F204" s="18" t="s">
        <v>22</v>
      </c>
      <c r="G204" s="11" t="n">
        <v>6975</v>
      </c>
      <c r="H204" s="19" t="n">
        <v>0.7</v>
      </c>
      <c r="I204" s="20" t="n">
        <v>0.82</v>
      </c>
      <c r="J204" s="20" t="n">
        <v>0.87</v>
      </c>
      <c r="K204" s="20" t="n">
        <v>0.97</v>
      </c>
      <c r="L204" s="20" t="n">
        <v>0.87</v>
      </c>
      <c r="M204" s="12" t="n">
        <v>10</v>
      </c>
      <c r="N204" s="11"/>
      <c r="O204" s="1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22"/>
      <c r="AA204" s="22"/>
      <c r="AB204" s="22"/>
      <c r="AC204" s="22"/>
      <c r="AD204" s="7"/>
      <c r="AE204" s="7"/>
      <c r="AF204" s="7"/>
      <c r="AG204" s="7"/>
      <c r="AH204" s="7"/>
      <c r="AI204" s="7"/>
      <c r="AJ204" s="7"/>
      <c r="AK204" s="7"/>
      <c r="AL204" s="7"/>
    </row>
    <row r="205" customFormat="false" ht="15.75" hidden="false" customHeight="true" outlineLevel="0" collapsed="false">
      <c r="A205" s="18" t="s">
        <v>135</v>
      </c>
      <c r="B205" s="18" t="str">
        <f aca="false" t="array" ref="B205:B205">IF(A205="","",IFERROR(INDEX('CLM &amp; IM Mapping'!$B$2:$B$270,MATCH(TRIM(A205),'CLM &amp; IM Mapping'!$A$2:$A$270,0)),"Not Mapped"))</f>
        <v>Sundaresh S</v>
      </c>
      <c r="C205" s="18" t="str">
        <f aca="false" t="array" ref="C205:C205">IF(A205="","",IFERROR(INDEX('CLM &amp; IM Mapping'!$C$2:$C$270,MATCH(TRIM(A205),'CLM &amp; IM Mapping'!$A$2:$A$270,0)),"Not Mapped"))</f>
        <v>Un Mapped</v>
      </c>
      <c r="D205" s="18" t="s">
        <v>27</v>
      </c>
      <c r="E205" s="18" t="s">
        <v>316</v>
      </c>
      <c r="F205" s="18" t="s">
        <v>22</v>
      </c>
      <c r="G205" s="11" t="n">
        <v>6302</v>
      </c>
      <c r="H205" s="19" t="n">
        <v>0.7</v>
      </c>
      <c r="I205" s="20" t="n">
        <v>0.82</v>
      </c>
      <c r="J205" s="20" t="n">
        <v>0.92</v>
      </c>
      <c r="K205" s="20" t="n">
        <v>0.98</v>
      </c>
      <c r="L205" s="20" t="n">
        <v>0.92</v>
      </c>
      <c r="M205" s="12" t="n">
        <v>4</v>
      </c>
      <c r="N205" s="11"/>
      <c r="O205" s="1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22"/>
      <c r="AA205" s="22"/>
      <c r="AB205" s="22"/>
      <c r="AC205" s="22"/>
      <c r="AD205" s="7"/>
      <c r="AE205" s="7"/>
      <c r="AF205" s="7"/>
      <c r="AG205" s="7"/>
      <c r="AH205" s="7"/>
      <c r="AI205" s="7"/>
      <c r="AJ205" s="7"/>
      <c r="AK205" s="7"/>
      <c r="AL205" s="7"/>
    </row>
    <row r="206" customFormat="false" ht="15.75" hidden="false" customHeight="true" outlineLevel="0" collapsed="false">
      <c r="A206" s="18" t="s">
        <v>219</v>
      </c>
      <c r="B206" s="18" t="str">
        <f aca="false" t="array" ref="B206:B206">IF(A206="","",IFERROR(INDEX('CLM &amp; IM Mapping'!$B$2:$B$270,MATCH(TRIM(A206),'CLM &amp; IM Mapping'!$A$2:$A$270,0)),"Not Mapped"))</f>
        <v>Vishnu V</v>
      </c>
      <c r="C206" s="18" t="str">
        <f aca="false" t="array" ref="C206:C206">IF(A206="","",IFERROR(INDEX('CLM &amp; IM Mapping'!$C$2:$C$270,MATCH(TRIM(A206),'CLM &amp; IM Mapping'!$A$2:$A$270,0)),"Not Mapped"))</f>
        <v>Arivind S</v>
      </c>
      <c r="D206" s="18" t="s">
        <v>27</v>
      </c>
      <c r="E206" s="18" t="s">
        <v>314</v>
      </c>
      <c r="F206" s="18" t="s">
        <v>104</v>
      </c>
      <c r="G206" s="11" t="n">
        <v>5534</v>
      </c>
      <c r="H206" s="19" t="n">
        <v>0.7</v>
      </c>
      <c r="I206" s="20" t="n">
        <v>0.82</v>
      </c>
      <c r="J206" s="20" t="n">
        <v>0.89</v>
      </c>
      <c r="K206" s="20" t="n">
        <v>0.97</v>
      </c>
      <c r="L206" s="20" t="n">
        <v>0.89</v>
      </c>
      <c r="M206" s="12" t="n">
        <v>2</v>
      </c>
      <c r="N206" s="11"/>
      <c r="O206" s="1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22"/>
      <c r="AA206" s="22"/>
      <c r="AB206" s="22"/>
      <c r="AC206" s="22"/>
      <c r="AD206" s="7"/>
      <c r="AE206" s="7"/>
      <c r="AF206" s="7"/>
      <c r="AG206" s="7"/>
      <c r="AH206" s="7"/>
      <c r="AI206" s="7"/>
      <c r="AJ206" s="7"/>
      <c r="AK206" s="7"/>
      <c r="AL206" s="7"/>
    </row>
    <row r="207" customFormat="false" ht="15.75" hidden="false" customHeight="true" outlineLevel="0" collapsed="false">
      <c r="A207" s="18" t="s">
        <v>288</v>
      </c>
      <c r="B207" s="18" t="str">
        <f aca="false" t="array" ref="B207:B207">IF(A207="","",IFERROR(INDEX('CLM &amp; IM Mapping'!$B$2:$B$270,MATCH(TRIM(A207),'CLM &amp; IM Mapping'!$A$2:$A$270,0)),"Not Mapped"))</f>
        <v>Sundaresh S</v>
      </c>
      <c r="C207" s="18" t="str">
        <f aca="false" t="array" ref="C207:C207">IF(A207="","",IFERROR(INDEX('CLM &amp; IM Mapping'!$C$2:$C$270,MATCH(TRIM(A207),'CLM &amp; IM Mapping'!$A$2:$A$270,0)),"Not Mapped"))</f>
        <v>Un Mapped</v>
      </c>
      <c r="D207" s="18" t="s">
        <v>27</v>
      </c>
      <c r="E207" s="18" t="s">
        <v>314</v>
      </c>
      <c r="F207" s="18" t="s">
        <v>22</v>
      </c>
      <c r="G207" s="11" t="n">
        <v>7335</v>
      </c>
      <c r="H207" s="19" t="n">
        <v>0.7</v>
      </c>
      <c r="I207" s="20" t="n">
        <v>0.83</v>
      </c>
      <c r="J207" s="20" t="n">
        <v>0.94</v>
      </c>
      <c r="K207" s="20" t="n">
        <v>0.97</v>
      </c>
      <c r="L207" s="18"/>
      <c r="M207" s="12" t="n">
        <v>2</v>
      </c>
      <c r="N207" s="11"/>
      <c r="O207" s="1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22"/>
      <c r="AA207" s="22"/>
      <c r="AB207" s="22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customFormat="false" ht="15.75" hidden="false" customHeight="true" outlineLevel="0" collapsed="false">
      <c r="A208" s="18" t="s">
        <v>283</v>
      </c>
      <c r="B208" s="18" t="str">
        <f aca="false" t="array" ref="B208:B208">IF(A208="","",IFERROR(INDEX('CLM &amp; IM Mapping'!$B$2:$B$270,MATCH(TRIM(A208),'CLM &amp; IM Mapping'!$A$2:$A$270,0)),"Not Mapped"))</f>
        <v>Ravishankar gowda</v>
      </c>
      <c r="C208" s="18" t="str">
        <f aca="false" t="array" ref="C208:C208">IF(A208="","",IFERROR(INDEX('CLM &amp; IM Mapping'!$C$2:$C$270,MATCH(TRIM(A208),'CLM &amp; IM Mapping'!$A$2:$A$270,0)),"Not Mapped"))</f>
        <v>Kishor K</v>
      </c>
      <c r="D208" s="18" t="s">
        <v>27</v>
      </c>
      <c r="E208" s="18" t="s">
        <v>314</v>
      </c>
      <c r="F208" s="18" t="s">
        <v>22</v>
      </c>
      <c r="G208" s="11" t="n">
        <v>6734</v>
      </c>
      <c r="H208" s="19" t="n">
        <v>0.7</v>
      </c>
      <c r="I208" s="20" t="n">
        <v>0.83</v>
      </c>
      <c r="J208" s="20" t="n">
        <v>0.97</v>
      </c>
      <c r="K208" s="20" t="n">
        <v>0.99</v>
      </c>
      <c r="L208" s="20" t="n">
        <v>0.97</v>
      </c>
      <c r="M208" s="12" t="n">
        <v>4</v>
      </c>
      <c r="N208" s="11"/>
      <c r="O208" s="1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22"/>
      <c r="AA208" s="22"/>
      <c r="AB208" s="22"/>
      <c r="AC208" s="22"/>
      <c r="AD208" s="7"/>
      <c r="AE208" s="7"/>
      <c r="AF208" s="7"/>
      <c r="AG208" s="7"/>
      <c r="AH208" s="7"/>
      <c r="AI208" s="7"/>
      <c r="AJ208" s="7"/>
      <c r="AK208" s="7"/>
      <c r="AL208" s="7"/>
    </row>
    <row r="209" customFormat="false" ht="15.75" hidden="false" customHeight="true" outlineLevel="0" collapsed="false">
      <c r="A209" s="18" t="s">
        <v>215</v>
      </c>
      <c r="B209" s="18" t="str">
        <f aca="false" t="array" ref="B209:B209">IF(A209="","",IFERROR(INDEX('CLM &amp; IM Mapping'!$B$2:$B$270,MATCH(TRIM(A209),'CLM &amp; IM Mapping'!$A$2:$A$270,0)),"Not Mapped"))</f>
        <v>Akshay P</v>
      </c>
      <c r="C209" s="18" t="str">
        <f aca="false" t="array" ref="C209:C209">IF(A209="","",IFERROR(INDEX('CLM &amp; IM Mapping'!$C$2:$C$270,MATCH(TRIM(A209),'CLM &amp; IM Mapping'!$A$2:$A$270,0)),"Not Mapped"))</f>
        <v>Srittam Dhal</v>
      </c>
      <c r="D209" s="18" t="s">
        <v>27</v>
      </c>
      <c r="E209" s="18" t="s">
        <v>316</v>
      </c>
      <c r="F209" s="18" t="s">
        <v>22</v>
      </c>
      <c r="G209" s="11" t="n">
        <v>5754</v>
      </c>
      <c r="H209" s="19" t="n">
        <v>0.7</v>
      </c>
      <c r="I209" s="20" t="n">
        <v>0.83</v>
      </c>
      <c r="J209" s="20" t="n">
        <v>0.94</v>
      </c>
      <c r="K209" s="20" t="n">
        <v>0.99</v>
      </c>
      <c r="L209" s="20" t="n">
        <v>0.94</v>
      </c>
      <c r="M209" s="12" t="n">
        <v>3</v>
      </c>
      <c r="N209" s="11"/>
      <c r="O209" s="1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22"/>
      <c r="AA209" s="22"/>
      <c r="AB209" s="22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customFormat="false" ht="15.75" hidden="false" customHeight="true" outlineLevel="0" collapsed="false">
      <c r="A210" s="18" t="s">
        <v>133</v>
      </c>
      <c r="B210" s="18" t="str">
        <f aca="false" t="array" ref="B210:B210">IF(A210="","",IFERROR(INDEX('CLM &amp; IM Mapping'!$B$2:$B$270,MATCH(TRIM(A210),'CLM &amp; IM Mapping'!$A$2:$A$270,0)),"Not Mapped"))</f>
        <v>Balaji G</v>
      </c>
      <c r="C210" s="18" t="str">
        <f aca="false" t="array" ref="C210:C210">IF(A210="","",IFERROR(INDEX('CLM &amp; IM Mapping'!$C$2:$C$270,MATCH(TRIM(A210),'CLM &amp; IM Mapping'!$A$2:$A$270,0)),"Not Mapped"))</f>
        <v>Mohammed Akbar</v>
      </c>
      <c r="D210" s="18" t="s">
        <v>27</v>
      </c>
      <c r="E210" s="18" t="s">
        <v>314</v>
      </c>
      <c r="F210" s="18" t="s">
        <v>22</v>
      </c>
      <c r="G210" s="11" t="n">
        <v>6409</v>
      </c>
      <c r="H210" s="19" t="n">
        <v>0.7</v>
      </c>
      <c r="I210" s="20" t="n">
        <v>0.83</v>
      </c>
      <c r="J210" s="20" t="n">
        <v>0.93</v>
      </c>
      <c r="K210" s="20" t="n">
        <v>0.97</v>
      </c>
      <c r="L210" s="20" t="n">
        <v>0.93</v>
      </c>
      <c r="M210" s="12" t="n">
        <v>4</v>
      </c>
      <c r="N210" s="11"/>
      <c r="O210" s="1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22"/>
      <c r="AA210" s="22"/>
      <c r="AB210" s="22"/>
      <c r="AC210" s="22"/>
      <c r="AD210" s="7"/>
      <c r="AE210" s="7"/>
      <c r="AF210" s="7"/>
      <c r="AG210" s="7"/>
      <c r="AH210" s="7"/>
      <c r="AI210" s="7"/>
      <c r="AJ210" s="7"/>
      <c r="AK210" s="7"/>
      <c r="AL210" s="7"/>
    </row>
    <row r="211" customFormat="false" ht="15.75" hidden="false" customHeight="true" outlineLevel="0" collapsed="false">
      <c r="A211" s="18" t="s">
        <v>118</v>
      </c>
      <c r="B211" s="18" t="str">
        <f aca="false" t="array" ref="B211:B211">IF(A211="","",IFERROR(INDEX('CLM &amp; IM Mapping'!$B$2:$B$270,MATCH(TRIM(A211),'CLM &amp; IM Mapping'!$A$2:$A$270,0)),"Not Mapped"))</f>
        <v>Akshay P</v>
      </c>
      <c r="C211" s="18" t="str">
        <f aca="false" t="array" ref="C211:C211">IF(A211="","",IFERROR(INDEX('CLM &amp; IM Mapping'!$C$2:$C$270,MATCH(TRIM(A211),'CLM &amp; IM Mapping'!$A$2:$A$270,0)),"Not Mapped"))</f>
        <v>Srittam Dhal</v>
      </c>
      <c r="D211" s="18" t="s">
        <v>27</v>
      </c>
      <c r="E211" s="18" t="s">
        <v>316</v>
      </c>
      <c r="F211" s="18" t="s">
        <v>22</v>
      </c>
      <c r="G211" s="11" t="n">
        <v>4579</v>
      </c>
      <c r="H211" s="19" t="n">
        <v>0.7</v>
      </c>
      <c r="I211" s="20" t="n">
        <v>0.83</v>
      </c>
      <c r="J211" s="20" t="n">
        <v>0.78</v>
      </c>
      <c r="K211" s="20" t="n">
        <v>0.94</v>
      </c>
      <c r="L211" s="20" t="n">
        <v>0.78</v>
      </c>
      <c r="M211" s="12" t="n">
        <v>3</v>
      </c>
      <c r="N211" s="11"/>
      <c r="O211" s="1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22"/>
      <c r="AA211" s="22"/>
      <c r="AB211" s="22"/>
      <c r="AC211" s="22"/>
      <c r="AD211" s="7"/>
      <c r="AE211" s="7"/>
      <c r="AF211" s="7"/>
      <c r="AG211" s="7"/>
      <c r="AH211" s="7"/>
      <c r="AI211" s="7"/>
      <c r="AJ211" s="7"/>
      <c r="AK211" s="7"/>
      <c r="AL211" s="7"/>
    </row>
    <row r="212" customFormat="false" ht="15.75" hidden="false" customHeight="true" outlineLevel="0" collapsed="false">
      <c r="A212" s="18" t="s">
        <v>159</v>
      </c>
      <c r="B212" s="18" t="str">
        <f aca="false" t="array" ref="B212:B212">IF(A212="","",IFERROR(INDEX('CLM &amp; IM Mapping'!$B$2:$B$270,MATCH(TRIM(A212),'CLM &amp; IM Mapping'!$A$2:$A$270,0)),"Not Mapped"))</f>
        <v>Santhosha M</v>
      </c>
      <c r="C212" s="18" t="str">
        <f aca="false" t="array" ref="C212:C212">IF(A212="","",IFERROR(INDEX('CLM &amp; IM Mapping'!$C$2:$C$270,MATCH(TRIM(A212),'CLM &amp; IM Mapping'!$A$2:$A$270,0)),"Not Mapped"))</f>
        <v>Aravind S</v>
      </c>
      <c r="D212" s="18" t="s">
        <v>27</v>
      </c>
      <c r="E212" s="18" t="s">
        <v>314</v>
      </c>
      <c r="F212" s="18" t="s">
        <v>130</v>
      </c>
      <c r="G212" s="11" t="n">
        <v>7140</v>
      </c>
      <c r="H212" s="19" t="n">
        <v>0.7</v>
      </c>
      <c r="I212" s="20" t="n">
        <v>0.83</v>
      </c>
      <c r="J212" s="20" t="n">
        <v>0.94</v>
      </c>
      <c r="K212" s="20" t="n">
        <v>0.98</v>
      </c>
      <c r="L212" s="20" t="n">
        <v>0.94</v>
      </c>
      <c r="M212" s="12" t="n">
        <v>2</v>
      </c>
      <c r="N212" s="11"/>
      <c r="O212" s="1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22"/>
      <c r="AA212" s="22"/>
      <c r="AB212" s="22"/>
      <c r="AC212" s="22"/>
      <c r="AD212" s="7"/>
      <c r="AE212" s="7"/>
      <c r="AF212" s="7"/>
      <c r="AG212" s="7"/>
      <c r="AH212" s="7"/>
      <c r="AI212" s="7"/>
      <c r="AJ212" s="7"/>
      <c r="AK212" s="7"/>
      <c r="AL212" s="7"/>
    </row>
    <row r="213" customFormat="false" ht="15.75" hidden="false" customHeight="true" outlineLevel="0" collapsed="false">
      <c r="A213" s="18" t="s">
        <v>243</v>
      </c>
      <c r="B213" s="18" t="str">
        <f aca="false" t="array" ref="B213:B213">IF(A213="","",IFERROR(INDEX('CLM &amp; IM Mapping'!$B$2:$B$270,MATCH(TRIM(A213),'CLM &amp; IM Mapping'!$A$2:$A$270,0)),"Not Mapped"))</f>
        <v>Manjunatha V</v>
      </c>
      <c r="C213" s="18" t="str">
        <f aca="false" t="array" ref="C213:C213">IF(A213="","",IFERROR(INDEX('CLM &amp; IM Mapping'!$C$2:$C$270,MATCH(TRIM(A213),'CLM &amp; IM Mapping'!$A$2:$A$270,0)),"Not Mapped"))</f>
        <v>Un Mapped</v>
      </c>
      <c r="D213" s="18" t="s">
        <v>27</v>
      </c>
      <c r="E213" s="18" t="s">
        <v>314</v>
      </c>
      <c r="F213" s="18" t="s">
        <v>22</v>
      </c>
      <c r="G213" s="11" t="n">
        <v>6969</v>
      </c>
      <c r="H213" s="19" t="n">
        <v>0.7</v>
      </c>
      <c r="I213" s="20" t="n">
        <v>0.84</v>
      </c>
      <c r="J213" s="20" t="n">
        <v>0.94</v>
      </c>
      <c r="K213" s="20" t="n">
        <v>0.98</v>
      </c>
      <c r="L213" s="20" t="n">
        <v>0.94</v>
      </c>
      <c r="M213" s="12" t="n">
        <v>5</v>
      </c>
      <c r="N213" s="11"/>
      <c r="O213" s="1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22"/>
      <c r="AA213" s="22"/>
      <c r="AB213" s="22"/>
      <c r="AC213" s="22"/>
      <c r="AD213" s="7"/>
      <c r="AE213" s="7"/>
      <c r="AF213" s="7"/>
      <c r="AG213" s="7"/>
      <c r="AH213" s="7"/>
      <c r="AI213" s="7"/>
      <c r="AJ213" s="7"/>
      <c r="AK213" s="7"/>
      <c r="AL213" s="7"/>
    </row>
    <row r="214" customFormat="false" ht="15.75" hidden="false" customHeight="true" outlineLevel="0" collapsed="false">
      <c r="A214" s="18" t="s">
        <v>230</v>
      </c>
      <c r="B214" s="18" t="str">
        <f aca="false" t="array" ref="B214:B214">IF(A214="","",IFERROR(INDEX('CLM &amp; IM Mapping'!$B$2:$B$270,MATCH(TRIM(A214),'CLM &amp; IM Mapping'!$A$2:$A$270,0)),"Not Mapped"))</f>
        <v>Manjunatha V</v>
      </c>
      <c r="C214" s="18" t="str">
        <f aca="false" t="array" ref="C214:C214">IF(A214="","",IFERROR(INDEX('CLM &amp; IM Mapping'!$C$2:$C$270,MATCH(TRIM(A214),'CLM &amp; IM Mapping'!$A$2:$A$270,0)),"Not Mapped"))</f>
        <v>Un Mapped</v>
      </c>
      <c r="D214" s="18" t="s">
        <v>27</v>
      </c>
      <c r="E214" s="18" t="s">
        <v>316</v>
      </c>
      <c r="F214" s="18" t="s">
        <v>22</v>
      </c>
      <c r="G214" s="11" t="n">
        <v>5669</v>
      </c>
      <c r="H214" s="19" t="n">
        <v>0.7</v>
      </c>
      <c r="I214" s="20" t="n">
        <v>0.85</v>
      </c>
      <c r="J214" s="20" t="n">
        <v>0.93</v>
      </c>
      <c r="K214" s="20" t="n">
        <v>0.99</v>
      </c>
      <c r="L214" s="20" t="n">
        <v>0.93</v>
      </c>
      <c r="M214" s="12" t="n">
        <v>2</v>
      </c>
      <c r="N214" s="11"/>
      <c r="O214" s="1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22"/>
      <c r="AA214" s="22"/>
      <c r="AB214" s="22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customFormat="false" ht="15.75" hidden="false" customHeight="true" outlineLevel="0" collapsed="false">
      <c r="A215" s="18" t="s">
        <v>137</v>
      </c>
      <c r="B215" s="18" t="str">
        <f aca="false" t="array" ref="B215:B215">IF(A215="","",IFERROR(INDEX('CLM &amp; IM Mapping'!$B$2:$B$270,MATCH(TRIM(A215),'CLM &amp; IM Mapping'!$A$2:$A$270,0)),"Not Mapped"))</f>
        <v>Akshay P</v>
      </c>
      <c r="C215" s="18" t="str">
        <f aca="false" t="array" ref="C215:C215">IF(A215="","",IFERROR(INDEX('CLM &amp; IM Mapping'!$C$2:$C$270,MATCH(TRIM(A215),'CLM &amp; IM Mapping'!$A$2:$A$270,0)),"Not Mapped"))</f>
        <v>Srittam Dhal</v>
      </c>
      <c r="D215" s="18" t="s">
        <v>27</v>
      </c>
      <c r="E215" s="18" t="s">
        <v>314</v>
      </c>
      <c r="F215" s="18" t="s">
        <v>22</v>
      </c>
      <c r="G215" s="11" t="n">
        <v>4636</v>
      </c>
      <c r="H215" s="19" t="n">
        <v>0.7</v>
      </c>
      <c r="I215" s="20" t="n">
        <v>0.86</v>
      </c>
      <c r="J215" s="20" t="n">
        <v>0.79</v>
      </c>
      <c r="K215" s="20" t="n">
        <v>1</v>
      </c>
      <c r="L215" s="20" t="n">
        <v>0.79</v>
      </c>
      <c r="M215" s="12" t="n">
        <v>3</v>
      </c>
      <c r="N215" s="11"/>
      <c r="O215" s="1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22"/>
      <c r="AA215" s="22"/>
      <c r="AB215" s="22"/>
      <c r="AC215" s="22"/>
      <c r="AD215" s="7"/>
      <c r="AE215" s="7"/>
      <c r="AF215" s="7"/>
      <c r="AG215" s="7"/>
      <c r="AH215" s="7"/>
      <c r="AI215" s="7"/>
      <c r="AJ215" s="7"/>
      <c r="AK215" s="7"/>
      <c r="AL215" s="7"/>
    </row>
    <row r="216" customFormat="false" ht="15.75" hidden="false" customHeight="true" outlineLevel="0" collapsed="false">
      <c r="A216" s="18" t="s">
        <v>78</v>
      </c>
      <c r="B216" s="18" t="str">
        <f aca="false" t="array" ref="B216:B216">IF(A216="","",IFERROR(INDEX('CLM &amp; IM Mapping'!$B$2:$B$270,MATCH(TRIM(A216),'CLM &amp; IM Mapping'!$A$2:$A$270,0)),"Not Mapped"))</f>
        <v>Vijay M</v>
      </c>
      <c r="C216" s="18" t="str">
        <f aca="false" t="array" ref="C216:C216">IF(A216="","",IFERROR(INDEX('CLM &amp; IM Mapping'!$C$2:$C$270,MATCH(TRIM(A216),'CLM &amp; IM Mapping'!$A$2:$A$270,0)),"Not Mapped"))</f>
        <v>Kantha Kumar</v>
      </c>
      <c r="D216" s="18" t="s">
        <v>27</v>
      </c>
      <c r="E216" s="18" t="s">
        <v>316</v>
      </c>
      <c r="F216" s="18" t="s">
        <v>22</v>
      </c>
      <c r="G216" s="11" t="n">
        <v>6121</v>
      </c>
      <c r="H216" s="19" t="n">
        <v>0.7</v>
      </c>
      <c r="I216" s="20" t="n">
        <v>0.86</v>
      </c>
      <c r="J216" s="20" t="n">
        <v>0.93</v>
      </c>
      <c r="K216" s="20" t="n">
        <v>0.97</v>
      </c>
      <c r="L216" s="20" t="n">
        <v>0.93</v>
      </c>
      <c r="M216" s="12" t="n">
        <v>4</v>
      </c>
      <c r="N216" s="11"/>
      <c r="O216" s="1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22"/>
      <c r="AA216" s="22"/>
      <c r="AB216" s="22"/>
      <c r="AC216" s="22"/>
      <c r="AD216" s="7"/>
      <c r="AE216" s="7"/>
      <c r="AF216" s="7"/>
      <c r="AG216" s="7"/>
      <c r="AH216" s="7"/>
      <c r="AI216" s="7"/>
      <c r="AJ216" s="7"/>
      <c r="AK216" s="7"/>
      <c r="AL216" s="7"/>
    </row>
    <row r="217" customFormat="false" ht="15.75" hidden="false" customHeight="true" outlineLevel="0" collapsed="false">
      <c r="A217" s="18" t="s">
        <v>151</v>
      </c>
      <c r="B217" s="18" t="str">
        <f aca="false" t="array" ref="B217:B217">IF(A217="","",IFERROR(INDEX('CLM &amp; IM Mapping'!$B$2:$B$270,MATCH(TRIM(A217),'CLM &amp; IM Mapping'!$A$2:$A$270,0)),"Not Mapped"))</f>
        <v>Manoj Kj</v>
      </c>
      <c r="C217" s="18" t="str">
        <f aca="false" t="array" ref="C217:C217">IF(A217="","",IFERROR(INDEX('CLM &amp; IM Mapping'!$C$2:$C$270,MATCH(TRIM(A217),'CLM &amp; IM Mapping'!$A$2:$A$270,0)),"Not Mapped"))</f>
        <v>Srittam Dhal</v>
      </c>
      <c r="D217" s="18" t="s">
        <v>27</v>
      </c>
      <c r="E217" s="18" t="s">
        <v>316</v>
      </c>
      <c r="F217" s="18" t="s">
        <v>22</v>
      </c>
      <c r="G217" s="11" t="n">
        <v>4962</v>
      </c>
      <c r="H217" s="19" t="n">
        <v>0.7</v>
      </c>
      <c r="I217" s="20" t="n">
        <v>0.86</v>
      </c>
      <c r="J217" s="20" t="n">
        <v>0.89</v>
      </c>
      <c r="K217" s="20" t="n">
        <v>0.97</v>
      </c>
      <c r="L217" s="20" t="n">
        <v>0.89</v>
      </c>
      <c r="M217" s="12" t="n">
        <v>6</v>
      </c>
      <c r="N217" s="11"/>
      <c r="O217" s="1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22"/>
      <c r="AA217" s="22"/>
      <c r="AB217" s="22"/>
      <c r="AC217" s="22"/>
      <c r="AD217" s="7"/>
      <c r="AE217" s="7"/>
      <c r="AF217" s="7"/>
      <c r="AG217" s="7"/>
      <c r="AH217" s="7"/>
      <c r="AI217" s="7"/>
      <c r="AJ217" s="7"/>
      <c r="AK217" s="7"/>
      <c r="AL217" s="7"/>
    </row>
    <row r="218" customFormat="false" ht="15.75" hidden="false" customHeight="true" outlineLevel="0" collapsed="false">
      <c r="A218" s="18" t="s">
        <v>163</v>
      </c>
      <c r="B218" s="18" t="str">
        <f aca="false" t="array" ref="B218:B218">IF(A218="","",IFERROR(INDEX('CLM &amp; IM Mapping'!$B$2:$B$270,MATCH(TRIM(A218),'CLM &amp; IM Mapping'!$A$2:$A$270,0)),"Not Mapped"))</f>
        <v>Basil Scariya</v>
      </c>
      <c r="C218" s="18" t="str">
        <f aca="false" t="array" ref="C218:C218">IF(A218="","",IFERROR(INDEX('CLM &amp; IM Mapping'!$C$2:$C$270,MATCH(TRIM(A218),'CLM &amp; IM Mapping'!$A$2:$A$270,0)),"Not Mapped"))</f>
        <v>Prakash BS</v>
      </c>
      <c r="D218" s="18" t="s">
        <v>27</v>
      </c>
      <c r="E218" s="18" t="s">
        <v>314</v>
      </c>
      <c r="F218" s="18" t="s">
        <v>22</v>
      </c>
      <c r="G218" s="11" t="n">
        <v>5290</v>
      </c>
      <c r="H218" s="19" t="n">
        <v>0.7</v>
      </c>
      <c r="I218" s="20" t="n">
        <v>0.86</v>
      </c>
      <c r="J218" s="20" t="n">
        <v>0.9</v>
      </c>
      <c r="K218" s="20" t="n">
        <v>0.97</v>
      </c>
      <c r="L218" s="20" t="n">
        <v>0.9</v>
      </c>
      <c r="M218" s="12" t="n">
        <v>4</v>
      </c>
      <c r="N218" s="11"/>
      <c r="O218" s="1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22"/>
      <c r="AA218" s="22"/>
      <c r="AB218" s="22"/>
      <c r="AC218" s="22"/>
      <c r="AD218" s="7"/>
      <c r="AE218" s="7"/>
      <c r="AF218" s="7"/>
      <c r="AG218" s="7"/>
      <c r="AH218" s="7"/>
      <c r="AI218" s="7"/>
      <c r="AJ218" s="7"/>
      <c r="AK218" s="7"/>
      <c r="AL218" s="7"/>
    </row>
    <row r="219" customFormat="false" ht="15.75" hidden="false" customHeight="true" outlineLevel="0" collapsed="false">
      <c r="A219" s="18" t="s">
        <v>154</v>
      </c>
      <c r="B219" s="18" t="str">
        <f aca="false" t="array" ref="B219:B219">IF(A219="","",IFERROR(INDEX('CLM &amp; IM Mapping'!$B$2:$B$270,MATCH(TRIM(A219),'CLM &amp; IM Mapping'!$A$2:$A$270,0)),"Not Mapped"))</f>
        <v>Akshay P</v>
      </c>
      <c r="C219" s="18" t="str">
        <f aca="false" t="array" ref="C219:C219">IF(A219="","",IFERROR(INDEX('CLM &amp; IM Mapping'!$C$2:$C$270,MATCH(TRIM(A219),'CLM &amp; IM Mapping'!$A$2:$A$270,0)),"Not Mapped"))</f>
        <v>Srittam Dhal</v>
      </c>
      <c r="D219" s="18" t="s">
        <v>27</v>
      </c>
      <c r="E219" s="18" t="s">
        <v>314</v>
      </c>
      <c r="F219" s="18" t="s">
        <v>22</v>
      </c>
      <c r="G219" s="11" t="n">
        <v>5293</v>
      </c>
      <c r="H219" s="19" t="n">
        <v>0.7</v>
      </c>
      <c r="I219" s="20" t="n">
        <v>0.87</v>
      </c>
      <c r="J219" s="20" t="n">
        <v>0.88</v>
      </c>
      <c r="K219" s="20" t="n">
        <v>0.95</v>
      </c>
      <c r="L219" s="20" t="n">
        <v>0.88</v>
      </c>
      <c r="M219" s="12" t="n">
        <v>4</v>
      </c>
      <c r="N219" s="11"/>
      <c r="O219" s="1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22"/>
      <c r="AA219" s="22"/>
      <c r="AB219" s="22"/>
      <c r="AC219" s="22"/>
      <c r="AD219" s="7"/>
      <c r="AE219" s="7"/>
      <c r="AF219" s="7"/>
      <c r="AG219" s="7"/>
      <c r="AH219" s="7"/>
      <c r="AI219" s="7"/>
      <c r="AJ219" s="7"/>
      <c r="AK219" s="7"/>
      <c r="AL219" s="7"/>
    </row>
    <row r="220" customFormat="false" ht="15.75" hidden="false" customHeight="true" outlineLevel="0" collapsed="false">
      <c r="A220" s="18" t="s">
        <v>297</v>
      </c>
      <c r="B220" s="18" t="str">
        <f aca="false" t="array" ref="B220:B220">IF(A220="","",IFERROR(INDEX('CLM &amp; IM Mapping'!$B$2:$B$270,MATCH(TRIM(A220),'CLM &amp; IM Mapping'!$A$2:$A$270,0)),"Not Mapped"))</f>
        <v>Suhas N</v>
      </c>
      <c r="C220" s="18" t="str">
        <f aca="false" t="array" ref="C220:C220">IF(A220="","",IFERROR(INDEX('CLM &amp; IM Mapping'!$C$2:$C$270,MATCH(TRIM(A220),'CLM &amp; IM Mapping'!$A$2:$A$270,0)),"Not Mapped"))</f>
        <v>Aravind S</v>
      </c>
      <c r="D220" s="18" t="s">
        <v>27</v>
      </c>
      <c r="E220" s="18" t="s">
        <v>316</v>
      </c>
      <c r="F220" s="18" t="s">
        <v>22</v>
      </c>
      <c r="G220" s="11" t="n">
        <v>6999</v>
      </c>
      <c r="H220" s="19" t="n">
        <v>0.7</v>
      </c>
      <c r="I220" s="20" t="n">
        <v>0.88</v>
      </c>
      <c r="J220" s="20" t="n">
        <v>0.87</v>
      </c>
      <c r="K220" s="20" t="n">
        <v>0.95</v>
      </c>
      <c r="L220" s="20" t="n">
        <v>0.87</v>
      </c>
      <c r="M220" s="12" t="n">
        <v>3</v>
      </c>
      <c r="N220" s="11"/>
      <c r="O220" s="1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22"/>
      <c r="AA220" s="22"/>
      <c r="AB220" s="22"/>
      <c r="AC220" s="22"/>
      <c r="AD220" s="7"/>
      <c r="AE220" s="7"/>
      <c r="AF220" s="7"/>
      <c r="AG220" s="7"/>
      <c r="AH220" s="7"/>
      <c r="AI220" s="7"/>
      <c r="AJ220" s="7"/>
      <c r="AK220" s="7"/>
      <c r="AL220" s="7"/>
    </row>
    <row r="221" customFormat="false" ht="15.75" hidden="false" customHeight="true" outlineLevel="0" collapsed="false">
      <c r="A221" s="18" t="s">
        <v>276</v>
      </c>
      <c r="B221" s="18" t="str">
        <f aca="false" t="array" ref="B221:B221">IF(A221="","",IFERROR(INDEX('CLM &amp; IM Mapping'!$B$2:$B$270,MATCH(TRIM(A221),'CLM &amp; IM Mapping'!$A$2:$A$270,0)),"Not Mapped"))</f>
        <v>Narasimhamurthy R</v>
      </c>
      <c r="C221" s="18" t="str">
        <f aca="false" t="array" ref="C221:C221">IF(A221="","",IFERROR(INDEX('CLM &amp; IM Mapping'!$C$2:$C$270,MATCH(TRIM(A221),'CLM &amp; IM Mapping'!$A$2:$A$270,0)),"Not Mapped"))</f>
        <v>Kishor K</v>
      </c>
      <c r="D221" s="18" t="s">
        <v>27</v>
      </c>
      <c r="E221" s="18" t="s">
        <v>314</v>
      </c>
      <c r="F221" s="18" t="s">
        <v>22</v>
      </c>
      <c r="G221" s="11" t="n">
        <v>5589</v>
      </c>
      <c r="H221" s="19" t="n">
        <v>0.7</v>
      </c>
      <c r="I221" s="20" t="n">
        <v>0.88</v>
      </c>
      <c r="J221" s="20" t="n">
        <v>0.91</v>
      </c>
      <c r="K221" s="20" t="n">
        <v>0.97</v>
      </c>
      <c r="L221" s="20" t="n">
        <v>0.91</v>
      </c>
      <c r="M221" s="12" t="n">
        <v>3</v>
      </c>
      <c r="N221" s="11"/>
      <c r="O221" s="1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22"/>
      <c r="AA221" s="22"/>
      <c r="AB221" s="22"/>
      <c r="AC221" s="22"/>
      <c r="AD221" s="7"/>
      <c r="AE221" s="7"/>
      <c r="AF221" s="7"/>
      <c r="AG221" s="7"/>
      <c r="AH221" s="7"/>
      <c r="AI221" s="7"/>
      <c r="AJ221" s="7"/>
      <c r="AK221" s="7"/>
      <c r="AL221" s="7"/>
    </row>
    <row r="222" customFormat="false" ht="15.75" hidden="false" customHeight="true" outlineLevel="0" collapsed="false">
      <c r="A222" s="18" t="s">
        <v>31</v>
      </c>
      <c r="B222" s="18" t="str">
        <f aca="false" t="array" ref="B222:B222">IF(A222="","",IFERROR(INDEX('CLM &amp; IM Mapping'!$B$2:$B$270,MATCH(TRIM(A222),'CLM &amp; IM Mapping'!$A$2:$A$270,0)),"Not Mapped"))</f>
        <v>Rizwan Ahmed</v>
      </c>
      <c r="C222" s="18" t="str">
        <f aca="false" t="array" ref="C222:C222">IF(A222="","",IFERROR(INDEX('CLM &amp; IM Mapping'!$C$2:$C$270,MATCH(TRIM(A222),'CLM &amp; IM Mapping'!$A$2:$A$270,0)),"Not Mapped"))</f>
        <v>Un Mapped</v>
      </c>
      <c r="D222" s="18" t="s">
        <v>27</v>
      </c>
      <c r="E222" s="18" t="s">
        <v>314</v>
      </c>
      <c r="F222" s="18" t="s">
        <v>22</v>
      </c>
      <c r="G222" s="11" t="n">
        <v>5862</v>
      </c>
      <c r="H222" s="19" t="n">
        <v>0.7</v>
      </c>
      <c r="I222" s="20" t="n">
        <v>0.88</v>
      </c>
      <c r="J222" s="20" t="n">
        <v>0.86</v>
      </c>
      <c r="K222" s="20" t="n">
        <v>0.95</v>
      </c>
      <c r="L222" s="20" t="n">
        <v>0.86</v>
      </c>
      <c r="M222" s="12" t="n">
        <v>3</v>
      </c>
      <c r="N222" s="11"/>
      <c r="O222" s="1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22"/>
      <c r="AA222" s="22"/>
      <c r="AB222" s="22"/>
      <c r="AC222" s="22"/>
      <c r="AD222" s="7"/>
      <c r="AE222" s="7"/>
      <c r="AF222" s="7"/>
      <c r="AG222" s="7"/>
      <c r="AH222" s="7"/>
      <c r="AI222" s="7"/>
      <c r="AJ222" s="7"/>
      <c r="AK222" s="7"/>
      <c r="AL222" s="7"/>
    </row>
    <row r="223" customFormat="false" ht="15.75" hidden="false" customHeight="true" outlineLevel="0" collapsed="false">
      <c r="A223" s="18" t="s">
        <v>149</v>
      </c>
      <c r="B223" s="18" t="str">
        <f aca="false" t="array" ref="B223:B223">IF(A223="","",IFERROR(INDEX('CLM &amp; IM Mapping'!$B$2:$B$270,MATCH(TRIM(A223),'CLM &amp; IM Mapping'!$A$2:$A$270,0)),"Not Mapped"))</f>
        <v>Ashwath S</v>
      </c>
      <c r="C223" s="18" t="str">
        <f aca="false" t="array" ref="C223:C223">IF(A223="","",IFERROR(INDEX('CLM &amp; IM Mapping'!$C$2:$C$270,MATCH(TRIM(A223),'CLM &amp; IM Mapping'!$A$2:$A$270,0)),"Not Mapped"))</f>
        <v>Kantha Kumar</v>
      </c>
      <c r="D223" s="18" t="s">
        <v>27</v>
      </c>
      <c r="E223" s="18" t="s">
        <v>314</v>
      </c>
      <c r="F223" s="18" t="s">
        <v>22</v>
      </c>
      <c r="G223" s="11" t="n">
        <v>5663</v>
      </c>
      <c r="H223" s="19" t="n">
        <v>0.7</v>
      </c>
      <c r="I223" s="20" t="n">
        <v>0.88</v>
      </c>
      <c r="J223" s="20" t="n">
        <v>0.9</v>
      </c>
      <c r="K223" s="20" t="n">
        <v>0.97</v>
      </c>
      <c r="L223" s="20" t="n">
        <v>0.9</v>
      </c>
      <c r="M223" s="12" t="n">
        <v>4</v>
      </c>
      <c r="N223" s="11"/>
      <c r="O223" s="1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22"/>
      <c r="AA223" s="22"/>
      <c r="AB223" s="22"/>
      <c r="AC223" s="22"/>
      <c r="AD223" s="7"/>
      <c r="AE223" s="7"/>
      <c r="AF223" s="7"/>
      <c r="AG223" s="7"/>
      <c r="AH223" s="7"/>
      <c r="AI223" s="7"/>
      <c r="AJ223" s="7"/>
      <c r="AK223" s="7"/>
      <c r="AL223" s="7"/>
    </row>
    <row r="224" customFormat="false" ht="15.75" hidden="false" customHeight="true" outlineLevel="0" collapsed="false">
      <c r="A224" s="18" t="s">
        <v>245</v>
      </c>
      <c r="B224" s="18" t="str">
        <f aca="false" t="array" ref="B224:B224">IF(A224="","",IFERROR(INDEX('CLM &amp; IM Mapping'!$B$2:$B$270,MATCH(TRIM(A224),'CLM &amp; IM Mapping'!$A$2:$A$270,0)),"Not Mapped"))</f>
        <v>Ashwath S</v>
      </c>
      <c r="C224" s="18" t="str">
        <f aca="false" t="array" ref="C224:C224">IF(A224="","",IFERROR(INDEX('CLM &amp; IM Mapping'!$C$2:$C$270,MATCH(TRIM(A224),'CLM &amp; IM Mapping'!$A$2:$A$270,0)),"Not Mapped"))</f>
        <v>Kantha Kumar</v>
      </c>
      <c r="D224" s="18" t="s">
        <v>27</v>
      </c>
      <c r="E224" s="18" t="s">
        <v>314</v>
      </c>
      <c r="F224" s="18" t="s">
        <v>22</v>
      </c>
      <c r="G224" s="11" t="n">
        <v>5788</v>
      </c>
      <c r="H224" s="19" t="n">
        <v>0.7</v>
      </c>
      <c r="I224" s="20" t="n">
        <v>0.88</v>
      </c>
      <c r="J224" s="20" t="n">
        <v>0.94</v>
      </c>
      <c r="K224" s="20" t="n">
        <v>0.99</v>
      </c>
      <c r="L224" s="20" t="n">
        <v>0.94</v>
      </c>
      <c r="M224" s="12" t="n">
        <v>6</v>
      </c>
      <c r="N224" s="11"/>
      <c r="O224" s="1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22"/>
      <c r="AA224" s="22"/>
      <c r="AB224" s="22"/>
      <c r="AC224" s="22"/>
      <c r="AD224" s="7"/>
      <c r="AE224" s="7"/>
      <c r="AF224" s="7"/>
      <c r="AG224" s="7"/>
      <c r="AH224" s="7"/>
      <c r="AI224" s="7"/>
      <c r="AJ224" s="7"/>
      <c r="AK224" s="7"/>
      <c r="AL224" s="7"/>
    </row>
    <row r="225" customFormat="false" ht="15.75" hidden="false" customHeight="true" outlineLevel="0" collapsed="false">
      <c r="A225" s="18" t="s">
        <v>157</v>
      </c>
      <c r="B225" s="18" t="str">
        <f aca="false" t="array" ref="B225:B225">IF(A225="","",IFERROR(INDEX('CLM &amp; IM Mapping'!$B$2:$B$270,MATCH(TRIM(A225),'CLM &amp; IM Mapping'!$A$2:$A$270,0)),"Not Mapped"))</f>
        <v>Ashwath S</v>
      </c>
      <c r="C225" s="18" t="str">
        <f aca="false" t="array" ref="C225:C225">IF(A225="","",IFERROR(INDEX('CLM &amp; IM Mapping'!$C$2:$C$270,MATCH(TRIM(A225),'CLM &amp; IM Mapping'!$A$2:$A$270,0)),"Not Mapped"))</f>
        <v>Kantha Kumar</v>
      </c>
      <c r="D225" s="18" t="s">
        <v>27</v>
      </c>
      <c r="E225" s="18" t="s">
        <v>316</v>
      </c>
      <c r="F225" s="18" t="s">
        <v>22</v>
      </c>
      <c r="G225" s="11" t="n">
        <v>4660</v>
      </c>
      <c r="H225" s="19" t="n">
        <v>0.7</v>
      </c>
      <c r="I225" s="20" t="n">
        <v>0.9</v>
      </c>
      <c r="J225" s="20" t="n">
        <v>0.88</v>
      </c>
      <c r="K225" s="20" t="n">
        <v>0.98</v>
      </c>
      <c r="L225" s="20" t="n">
        <v>0.88</v>
      </c>
      <c r="M225" s="12" t="n">
        <v>5</v>
      </c>
      <c r="N225" s="11"/>
      <c r="O225" s="1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22"/>
      <c r="AA225" s="22"/>
      <c r="AB225" s="22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customFormat="false" ht="15.75" hidden="false" customHeight="true" outlineLevel="0" collapsed="false">
      <c r="A226" s="18" t="s">
        <v>253</v>
      </c>
      <c r="B226" s="18" t="str">
        <f aca="false" t="array" ref="B226:B226">IF(A226="","",IFERROR(INDEX('CLM &amp; IM Mapping'!$B$2:$B$270,MATCH(TRIM(A226),'CLM &amp; IM Mapping'!$A$2:$A$270,0)),"Not Mapped"))</f>
        <v>Ashwath S</v>
      </c>
      <c r="C226" s="18" t="str">
        <f aca="false" t="array" ref="C226:C226">IF(A226="","",IFERROR(INDEX('CLM &amp; IM Mapping'!$C$2:$C$270,MATCH(TRIM(A226),'CLM &amp; IM Mapping'!$A$2:$A$270,0)),"Not Mapped"))</f>
        <v>Kantha Kumar</v>
      </c>
      <c r="D226" s="18" t="s">
        <v>27</v>
      </c>
      <c r="E226" s="18" t="s">
        <v>314</v>
      </c>
      <c r="F226" s="18" t="s">
        <v>22</v>
      </c>
      <c r="G226" s="11" t="n">
        <v>6917</v>
      </c>
      <c r="H226" s="19" t="n">
        <v>0.7</v>
      </c>
      <c r="I226" s="20" t="n">
        <v>0.9</v>
      </c>
      <c r="J226" s="20" t="n">
        <v>0.94</v>
      </c>
      <c r="K226" s="20" t="n">
        <v>0.99</v>
      </c>
      <c r="L226" s="20" t="n">
        <v>0.94</v>
      </c>
      <c r="M226" s="12" t="n">
        <v>5</v>
      </c>
      <c r="N226" s="11"/>
      <c r="O226" s="1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22"/>
      <c r="AA226" s="22"/>
      <c r="AB226" s="22"/>
      <c r="AC226" s="22"/>
      <c r="AD226" s="7"/>
      <c r="AE226" s="7"/>
      <c r="AF226" s="7"/>
      <c r="AG226" s="7"/>
      <c r="AH226" s="7"/>
      <c r="AI226" s="7"/>
      <c r="AJ226" s="7"/>
      <c r="AK226" s="7"/>
      <c r="AL226" s="7"/>
    </row>
    <row r="227" customFormat="false" ht="15.75" hidden="false" customHeight="true" outlineLevel="0" collapsed="false">
      <c r="A227" s="18" t="s">
        <v>286</v>
      </c>
      <c r="B227" s="18" t="str">
        <f aca="false" t="array" ref="B227:B227">IF(A227="","",IFERROR(INDEX('CLM &amp; IM Mapping'!$B$2:$B$270,MATCH(TRIM(A227),'CLM &amp; IM Mapping'!$A$2:$A$270,0)),"Not Mapped"))</f>
        <v>Manoj Kj</v>
      </c>
      <c r="C227" s="18" t="str">
        <f aca="false" t="array" ref="C227:C227">IF(A227="","",IFERROR(INDEX('CLM &amp; IM Mapping'!$C$2:$C$270,MATCH(TRIM(A227),'CLM &amp; IM Mapping'!$A$2:$A$270,0)),"Not Mapped"))</f>
        <v>Srittam Dhal</v>
      </c>
      <c r="D227" s="18" t="s">
        <v>27</v>
      </c>
      <c r="E227" s="18" t="s">
        <v>314</v>
      </c>
      <c r="F227" s="18" t="s">
        <v>22</v>
      </c>
      <c r="G227" s="11" t="n">
        <v>4812</v>
      </c>
      <c r="H227" s="19" t="n">
        <v>0.7</v>
      </c>
      <c r="I227" s="20" t="n">
        <v>0.9</v>
      </c>
      <c r="J227" s="20" t="n">
        <v>0.96</v>
      </c>
      <c r="K227" s="20" t="n">
        <v>0.99</v>
      </c>
      <c r="L227" s="20" t="n">
        <v>0.96</v>
      </c>
      <c r="M227" s="12" t="n">
        <v>3</v>
      </c>
      <c r="N227" s="11"/>
      <c r="O227" s="1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22"/>
      <c r="AA227" s="22"/>
      <c r="AB227" s="22"/>
      <c r="AC227" s="22"/>
      <c r="AD227" s="7"/>
      <c r="AE227" s="7"/>
      <c r="AF227" s="7"/>
      <c r="AG227" s="7"/>
      <c r="AH227" s="7"/>
      <c r="AI227" s="7"/>
      <c r="AJ227" s="7"/>
      <c r="AK227" s="7"/>
      <c r="AL227" s="7"/>
    </row>
    <row r="228" customFormat="false" ht="15.75" hidden="false" customHeight="true" outlineLevel="0" collapsed="false">
      <c r="A228" s="18" t="s">
        <v>268</v>
      </c>
      <c r="B228" s="18" t="str">
        <f aca="false" t="array" ref="B228:B228">IF(A228="","",IFERROR(INDEX('CLM &amp; IM Mapping'!$B$2:$B$270,MATCH(TRIM(A228),'CLM &amp; IM Mapping'!$A$2:$A$270,0)),"Not Mapped"))</f>
        <v>Balaji G</v>
      </c>
      <c r="C228" s="18" t="str">
        <f aca="false" t="array" ref="C228:C228">IF(A228="","",IFERROR(INDEX('CLM &amp; IM Mapping'!$C$2:$C$270,MATCH(TRIM(A228),'CLM &amp; IM Mapping'!$A$2:$A$270,0)),"Not Mapped"))</f>
        <v>Mohammed Akbar</v>
      </c>
      <c r="D228" s="18" t="s">
        <v>27</v>
      </c>
      <c r="E228" s="18" t="s">
        <v>316</v>
      </c>
      <c r="F228" s="18" t="s">
        <v>22</v>
      </c>
      <c r="G228" s="11" t="n">
        <v>6557</v>
      </c>
      <c r="H228" s="19" t="n">
        <v>0.7</v>
      </c>
      <c r="I228" s="20" t="n">
        <v>0.91</v>
      </c>
      <c r="J228" s="20" t="n">
        <v>0.88</v>
      </c>
      <c r="K228" s="20" t="n">
        <v>0.97</v>
      </c>
      <c r="L228" s="20" t="n">
        <v>0.88</v>
      </c>
      <c r="M228" s="12" t="n">
        <v>4</v>
      </c>
      <c r="N228" s="11"/>
      <c r="O228" s="1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22"/>
      <c r="AA228" s="22"/>
      <c r="AB228" s="22"/>
      <c r="AC228" s="22"/>
      <c r="AD228" s="7"/>
      <c r="AE228" s="7"/>
      <c r="AF228" s="7"/>
      <c r="AG228" s="7"/>
      <c r="AH228" s="7"/>
      <c r="AI228" s="7"/>
      <c r="AJ228" s="7"/>
      <c r="AK228" s="7"/>
      <c r="AL228" s="7"/>
    </row>
    <row r="229" customFormat="false" ht="15.75" hidden="false" customHeight="true" outlineLevel="0" collapsed="false">
      <c r="A229" s="18" t="s">
        <v>247</v>
      </c>
      <c r="B229" s="18" t="str">
        <f aca="false" t="array" ref="B229:B229">IF(A229="","",IFERROR(INDEX('CLM &amp; IM Mapping'!$B$2:$B$270,MATCH(TRIM(A229),'CLM &amp; IM Mapping'!$A$2:$A$270,0)),"Not Mapped"))</f>
        <v>Balaji G</v>
      </c>
      <c r="C229" s="18" t="str">
        <f aca="false" t="array" ref="C229:C229">IF(A229="","",IFERROR(INDEX('CLM &amp; IM Mapping'!$C$2:$C$270,MATCH(TRIM(A229),'CLM &amp; IM Mapping'!$A$2:$A$270,0)),"Not Mapped"))</f>
        <v>Mohammed Akbar</v>
      </c>
      <c r="D229" s="18" t="s">
        <v>27</v>
      </c>
      <c r="E229" s="18" t="s">
        <v>316</v>
      </c>
      <c r="F229" s="18" t="s">
        <v>22</v>
      </c>
      <c r="G229" s="11" t="n">
        <v>4658</v>
      </c>
      <c r="H229" s="19" t="n">
        <v>0.7</v>
      </c>
      <c r="I229" s="20" t="n">
        <v>0.92</v>
      </c>
      <c r="J229" s="20" t="n">
        <v>0.88</v>
      </c>
      <c r="K229" s="20" t="n">
        <v>0.97</v>
      </c>
      <c r="L229" s="20" t="n">
        <v>0.88</v>
      </c>
      <c r="M229" s="12" t="n">
        <v>2</v>
      </c>
      <c r="N229" s="11"/>
      <c r="O229" s="1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22"/>
      <c r="AA229" s="22"/>
      <c r="AB229" s="22"/>
      <c r="AC229" s="22"/>
      <c r="AD229" s="7"/>
      <c r="AE229" s="7"/>
      <c r="AF229" s="7"/>
      <c r="AG229" s="7"/>
      <c r="AH229" s="7"/>
      <c r="AI229" s="7"/>
      <c r="AJ229" s="7"/>
      <c r="AK229" s="7"/>
      <c r="AL229" s="7"/>
    </row>
    <row r="230" customFormat="false" ht="15.75" hidden="false" customHeight="true" outlineLevel="0" collapsed="false">
      <c r="A230" s="18" t="s">
        <v>289</v>
      </c>
      <c r="B230" s="18" t="str">
        <f aca="false" t="array" ref="B230:B230">IF(A230="","",IFERROR(INDEX('CLM &amp; IM Mapping'!$B$2:$B$270,MATCH(TRIM(A230),'CLM &amp; IM Mapping'!$A$2:$A$270,0)),"Not Mapped"))</f>
        <v>Manoj Kj</v>
      </c>
      <c r="C230" s="18" t="str">
        <f aca="false" t="array" ref="C230:C230">IF(A230="","",IFERROR(INDEX('CLM &amp; IM Mapping'!$C$2:$C$270,MATCH(TRIM(A230),'CLM &amp; IM Mapping'!$A$2:$A$270,0)),"Not Mapped"))</f>
        <v>Srittam Dhal</v>
      </c>
      <c r="D230" s="18" t="s">
        <v>27</v>
      </c>
      <c r="E230" s="18" t="s">
        <v>316</v>
      </c>
      <c r="F230" s="18" t="s">
        <v>22</v>
      </c>
      <c r="G230" s="11" t="n">
        <v>8560</v>
      </c>
      <c r="H230" s="19" t="n">
        <v>0.7</v>
      </c>
      <c r="I230" s="20" t="n">
        <v>0.93</v>
      </c>
      <c r="J230" s="20" t="n">
        <v>0.94</v>
      </c>
      <c r="K230" s="20" t="n">
        <v>0.98</v>
      </c>
      <c r="L230" s="18"/>
      <c r="M230" s="12" t="n">
        <v>7</v>
      </c>
      <c r="N230" s="11"/>
      <c r="O230" s="1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22"/>
      <c r="AA230" s="22"/>
      <c r="AB230" s="22"/>
      <c r="AC230" s="22"/>
      <c r="AD230" s="7"/>
      <c r="AE230" s="7"/>
      <c r="AF230" s="7"/>
      <c r="AG230" s="7"/>
      <c r="AH230" s="7"/>
      <c r="AI230" s="7"/>
      <c r="AJ230" s="7"/>
      <c r="AK230" s="7"/>
      <c r="AL230" s="7"/>
    </row>
    <row r="231" customFormat="false" ht="15.75" hidden="false" customHeight="true" outlineLevel="0" collapsed="false">
      <c r="A231" s="18" t="s">
        <v>296</v>
      </c>
      <c r="B231" s="18" t="str">
        <f aca="false" t="array" ref="B231:B231">IF(A231="","",IFERROR(INDEX('CLM &amp; IM Mapping'!$B$2:$B$270,MATCH(TRIM(A231),'CLM &amp; IM Mapping'!$A$2:$A$270,0)),"Not Mapped"))</f>
        <v>Sundaresh S</v>
      </c>
      <c r="C231" s="18" t="str">
        <f aca="false" t="array" ref="C231:C231">IF(A231="","",IFERROR(INDEX('CLM &amp; IM Mapping'!$C$2:$C$270,MATCH(TRIM(A231),'CLM &amp; IM Mapping'!$A$2:$A$270,0)),"Not Mapped"))</f>
        <v>Un Mapped</v>
      </c>
      <c r="D231" s="18" t="s">
        <v>27</v>
      </c>
      <c r="E231" s="18" t="s">
        <v>314</v>
      </c>
      <c r="F231" s="18" t="s">
        <v>22</v>
      </c>
      <c r="G231" s="11" t="n">
        <v>5167</v>
      </c>
      <c r="H231" s="19" t="n">
        <v>0.7</v>
      </c>
      <c r="I231" s="20" t="n">
        <v>0.93</v>
      </c>
      <c r="J231" s="20" t="n">
        <v>0.87</v>
      </c>
      <c r="K231" s="20" t="n">
        <v>0.97</v>
      </c>
      <c r="L231" s="20" t="n">
        <v>0.87</v>
      </c>
      <c r="M231" s="12" t="n">
        <v>3</v>
      </c>
      <c r="N231" s="11"/>
      <c r="O231" s="1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22"/>
      <c r="AA231" s="22"/>
      <c r="AB231" s="22"/>
      <c r="AC231" s="22"/>
      <c r="AD231" s="7"/>
      <c r="AE231" s="7"/>
      <c r="AF231" s="7"/>
      <c r="AG231" s="7"/>
      <c r="AH231" s="7"/>
      <c r="AI231" s="7"/>
      <c r="AJ231" s="7"/>
      <c r="AK231" s="7"/>
      <c r="AL231" s="7"/>
    </row>
    <row r="232" customFormat="false" ht="15.75" hidden="false" customHeight="true" outlineLevel="0" collapsed="false">
      <c r="A232" s="18" t="s">
        <v>265</v>
      </c>
      <c r="B232" s="18" t="str">
        <f aca="false" t="array" ref="B232:B232">IF(A232="","",IFERROR(INDEX('CLM &amp; IM Mapping'!$B$2:$B$270,MATCH(TRIM(A232),'CLM &amp; IM Mapping'!$A$2:$A$270,0)),"Not Mapped"))</f>
        <v>Akshay P</v>
      </c>
      <c r="C232" s="18" t="str">
        <f aca="false" t="array" ref="C232:C232">IF(A232="","",IFERROR(INDEX('CLM &amp; IM Mapping'!$C$2:$C$270,MATCH(TRIM(A232),'CLM &amp; IM Mapping'!$A$2:$A$270,0)),"Not Mapped"))</f>
        <v>Srittam Dhal</v>
      </c>
      <c r="D232" s="18" t="s">
        <v>27</v>
      </c>
      <c r="E232" s="18" t="s">
        <v>314</v>
      </c>
      <c r="F232" s="18" t="s">
        <v>22</v>
      </c>
      <c r="G232" s="11" t="n">
        <v>6102</v>
      </c>
      <c r="H232" s="19" t="n">
        <v>0.7</v>
      </c>
      <c r="I232" s="20" t="n">
        <v>0.93</v>
      </c>
      <c r="J232" s="20" t="n">
        <v>0.95</v>
      </c>
      <c r="K232" s="20" t="n">
        <v>0.99</v>
      </c>
      <c r="L232" s="20" t="n">
        <v>0.95</v>
      </c>
      <c r="M232" s="12" t="n">
        <v>4</v>
      </c>
      <c r="N232" s="11"/>
      <c r="O232" s="1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22"/>
      <c r="AA232" s="22"/>
      <c r="AB232" s="22"/>
      <c r="AC232" s="22"/>
      <c r="AD232" s="7"/>
      <c r="AE232" s="7"/>
      <c r="AF232" s="7"/>
      <c r="AG232" s="7"/>
      <c r="AH232" s="7"/>
      <c r="AI232" s="7"/>
      <c r="AJ232" s="7"/>
      <c r="AK232" s="7"/>
      <c r="AL232" s="7"/>
    </row>
    <row r="233" customFormat="false" ht="15.75" hidden="false" customHeight="true" outlineLevel="0" collapsed="false">
      <c r="A233" s="18" t="s">
        <v>194</v>
      </c>
      <c r="B233" s="18" t="str">
        <f aca="false" t="array" ref="B233:B233">IF(A233="","",IFERROR(INDEX('CLM &amp; IM Mapping'!$B$2:$B$270,MATCH(TRIM(A233),'CLM &amp; IM Mapping'!$A$2:$A$270,0)),"Not Mapped"))</f>
        <v>Balaji G</v>
      </c>
      <c r="C233" s="18" t="str">
        <f aca="false" t="array" ref="C233:C233">IF(A233="","",IFERROR(INDEX('CLM &amp; IM Mapping'!$C$2:$C$270,MATCH(TRIM(A233),'CLM &amp; IM Mapping'!$A$2:$A$270,0)),"Not Mapped"))</f>
        <v>Mohammed Akbar</v>
      </c>
      <c r="D233" s="18" t="s">
        <v>27</v>
      </c>
      <c r="E233" s="18" t="s">
        <v>316</v>
      </c>
      <c r="F233" s="18" t="s">
        <v>22</v>
      </c>
      <c r="G233" s="11" t="n">
        <v>5262</v>
      </c>
      <c r="H233" s="19" t="n">
        <v>0.7</v>
      </c>
      <c r="I233" s="20" t="n">
        <v>0.93</v>
      </c>
      <c r="J233" s="20" t="n">
        <v>0.96</v>
      </c>
      <c r="K233" s="20" t="n">
        <v>0.76</v>
      </c>
      <c r="L233" s="20" t="n">
        <v>0.96</v>
      </c>
      <c r="M233" s="12" t="n">
        <v>3</v>
      </c>
      <c r="N233" s="11"/>
      <c r="O233" s="1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22"/>
      <c r="AA233" s="22"/>
      <c r="AB233" s="22"/>
      <c r="AC233" s="22"/>
      <c r="AD233" s="7"/>
      <c r="AE233" s="7"/>
      <c r="AF233" s="7"/>
      <c r="AG233" s="7"/>
      <c r="AH233" s="7"/>
      <c r="AI233" s="7"/>
      <c r="AJ233" s="7"/>
      <c r="AK233" s="7"/>
      <c r="AL233" s="7"/>
    </row>
    <row r="234" customFormat="false" ht="15.75" hidden="false" customHeight="true" outlineLevel="0" collapsed="false">
      <c r="A234" s="18" t="s">
        <v>199</v>
      </c>
      <c r="B234" s="18" t="str">
        <f aca="false" t="array" ref="B234:B234">IF(A234="","",IFERROR(INDEX('CLM &amp; IM Mapping'!$B$2:$B$270,MATCH(TRIM(A234),'CLM &amp; IM Mapping'!$A$2:$A$270,0)),"Not Mapped"))</f>
        <v>Sundaresh S</v>
      </c>
      <c r="C234" s="18" t="str">
        <f aca="false" t="array" ref="C234:C234">IF(A234="","",IFERROR(INDEX('CLM &amp; IM Mapping'!$C$2:$C$270,MATCH(TRIM(A234),'CLM &amp; IM Mapping'!$A$2:$A$270,0)),"Not Mapped"))</f>
        <v>Un Mapped</v>
      </c>
      <c r="D234" s="18" t="s">
        <v>27</v>
      </c>
      <c r="E234" s="18" t="s">
        <v>314</v>
      </c>
      <c r="F234" s="18" t="s">
        <v>22</v>
      </c>
      <c r="G234" s="11" t="n">
        <v>5728</v>
      </c>
      <c r="H234" s="19" t="n">
        <v>0.7</v>
      </c>
      <c r="I234" s="20" t="n">
        <v>0.94</v>
      </c>
      <c r="J234" s="20" t="n">
        <v>0.88</v>
      </c>
      <c r="K234" s="20" t="n">
        <v>0.95</v>
      </c>
      <c r="L234" s="18"/>
      <c r="M234" s="12"/>
      <c r="N234" s="11"/>
      <c r="O234" s="1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22"/>
      <c r="AA234" s="22"/>
      <c r="AB234" s="22"/>
      <c r="AC234" s="22"/>
      <c r="AD234" s="7"/>
      <c r="AE234" s="7"/>
      <c r="AF234" s="7"/>
      <c r="AG234" s="7"/>
      <c r="AH234" s="7"/>
      <c r="AI234" s="7"/>
      <c r="AJ234" s="7"/>
      <c r="AK234" s="7"/>
      <c r="AL234" s="7"/>
    </row>
    <row r="235" customFormat="false" ht="15.75" hidden="false" customHeight="true" outlineLevel="0" collapsed="false">
      <c r="A235" s="18" t="s">
        <v>299</v>
      </c>
      <c r="B235" s="18" t="str">
        <f aca="false" t="array" ref="B235:B235">IF(A235="","",IFERROR(INDEX('CLM &amp; IM Mapping'!$B$2:$B$270,MATCH(TRIM(A235),'CLM &amp; IM Mapping'!$A$2:$A$270,0)),"Not Mapped"))</f>
        <v>Balaji G</v>
      </c>
      <c r="C235" s="18" t="str">
        <f aca="false" t="array" ref="C235:C235">IF(A235="","",IFERROR(INDEX('CLM &amp; IM Mapping'!$C$2:$C$270,MATCH(TRIM(A235),'CLM &amp; IM Mapping'!$A$2:$A$270,0)),"Not Mapped"))</f>
        <v>Mohammed Akbar</v>
      </c>
      <c r="D235" s="18" t="s">
        <v>27</v>
      </c>
      <c r="E235" s="18" t="s">
        <v>314</v>
      </c>
      <c r="F235" s="18" t="s">
        <v>22</v>
      </c>
      <c r="G235" s="11" t="n">
        <v>7445</v>
      </c>
      <c r="H235" s="19" t="n">
        <v>0.7</v>
      </c>
      <c r="I235" s="20" t="n">
        <v>0.95</v>
      </c>
      <c r="J235" s="20" t="n">
        <v>0.94</v>
      </c>
      <c r="K235" s="20" t="n">
        <v>0.97</v>
      </c>
      <c r="L235" s="18"/>
      <c r="M235" s="12" t="n">
        <v>1</v>
      </c>
      <c r="N235" s="11"/>
      <c r="O235" s="1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22"/>
      <c r="AA235" s="22"/>
      <c r="AB235" s="22"/>
      <c r="AC235" s="22"/>
      <c r="AD235" s="7"/>
      <c r="AE235" s="7"/>
      <c r="AF235" s="7"/>
      <c r="AG235" s="7"/>
      <c r="AH235" s="7"/>
      <c r="AI235" s="7"/>
      <c r="AJ235" s="7"/>
      <c r="AK235" s="7"/>
      <c r="AL235" s="7"/>
    </row>
    <row r="236" customFormat="false" ht="15.75" hidden="false" customHeight="true" outlineLevel="0" collapsed="false">
      <c r="A236" s="18" t="s">
        <v>141</v>
      </c>
      <c r="B236" s="18" t="str">
        <f aca="false" t="array" ref="B236:B236">IF(A236="","",IFERROR(INDEX('CLM &amp; IM Mapping'!$B$2:$B$270,MATCH(TRIM(A236),'CLM &amp; IM Mapping'!$A$2:$A$270,0)),"Not Mapped"))</f>
        <v>Manoj Kj</v>
      </c>
      <c r="C236" s="18" t="str">
        <f aca="false" t="array" ref="C236:C236">IF(A236="","",IFERROR(INDEX('CLM &amp; IM Mapping'!$C$2:$C$270,MATCH(TRIM(A236),'CLM &amp; IM Mapping'!$A$2:$A$270,0)),"Not Mapped"))</f>
        <v>Srittam Dhal</v>
      </c>
      <c r="D236" s="18" t="s">
        <v>27</v>
      </c>
      <c r="E236" s="18" t="s">
        <v>314</v>
      </c>
      <c r="F236" s="18" t="s">
        <v>22</v>
      </c>
      <c r="G236" s="11" t="n">
        <v>4048</v>
      </c>
      <c r="H236" s="19" t="n">
        <v>0.7</v>
      </c>
      <c r="I236" s="20" t="n">
        <v>0.95</v>
      </c>
      <c r="J236" s="20" t="n">
        <v>0.87</v>
      </c>
      <c r="K236" s="20" t="n">
        <v>0.96</v>
      </c>
      <c r="L236" s="20" t="n">
        <v>0.87</v>
      </c>
      <c r="M236" s="12" t="n">
        <v>7</v>
      </c>
      <c r="N236" s="11"/>
      <c r="O236" s="1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22"/>
      <c r="AA236" s="22"/>
      <c r="AB236" s="22"/>
      <c r="AC236" s="22"/>
      <c r="AD236" s="7"/>
      <c r="AE236" s="7"/>
      <c r="AF236" s="7"/>
      <c r="AG236" s="7"/>
      <c r="AH236" s="7"/>
      <c r="AI236" s="7"/>
      <c r="AJ236" s="7"/>
      <c r="AK236" s="7"/>
      <c r="AL236" s="7"/>
    </row>
    <row r="237" customFormat="false" ht="15.75" hidden="false" customHeight="true" outlineLevel="0" collapsed="false">
      <c r="A237" s="18" t="s">
        <v>239</v>
      </c>
      <c r="B237" s="18" t="str">
        <f aca="false" t="array" ref="B237:B237">IF(A237="","",IFERROR(INDEX('CLM &amp; IM Mapping'!$B$2:$B$270,MATCH(TRIM(A237),'CLM &amp; IM Mapping'!$A$2:$A$270,0)),"Not Mapped"))</f>
        <v>Manoj Kj</v>
      </c>
      <c r="C237" s="18" t="str">
        <f aca="false" t="array" ref="C237:C237">IF(A237="","",IFERROR(INDEX('CLM &amp; IM Mapping'!$C$2:$C$270,MATCH(TRIM(A237),'CLM &amp; IM Mapping'!$A$2:$A$270,0)),"Not Mapped"))</f>
        <v>Srittam Dhal</v>
      </c>
      <c r="D237" s="18" t="s">
        <v>27</v>
      </c>
      <c r="E237" s="18" t="s">
        <v>316</v>
      </c>
      <c r="F237" s="18" t="s">
        <v>22</v>
      </c>
      <c r="G237" s="11" t="n">
        <v>4531</v>
      </c>
      <c r="H237" s="19" t="n">
        <v>0.7</v>
      </c>
      <c r="I237" s="20" t="n">
        <v>0.95</v>
      </c>
      <c r="J237" s="20" t="n">
        <v>0.87</v>
      </c>
      <c r="K237" s="20" t="n">
        <v>0.98</v>
      </c>
      <c r="L237" s="20" t="n">
        <v>0.87</v>
      </c>
      <c r="M237" s="12" t="n">
        <v>6</v>
      </c>
      <c r="N237" s="11"/>
      <c r="O237" s="1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22"/>
      <c r="AA237" s="22"/>
      <c r="AB237" s="22"/>
      <c r="AC237" s="22"/>
      <c r="AD237" s="7"/>
      <c r="AE237" s="7"/>
      <c r="AF237" s="7"/>
      <c r="AG237" s="7"/>
      <c r="AH237" s="7"/>
      <c r="AI237" s="7"/>
      <c r="AJ237" s="7"/>
      <c r="AK237" s="7"/>
      <c r="AL237" s="7"/>
    </row>
    <row r="238" customFormat="false" ht="15.75" hidden="false" customHeight="true" outlineLevel="0" collapsed="false">
      <c r="A238" s="18" t="s">
        <v>251</v>
      </c>
      <c r="B238" s="18" t="str">
        <f aca="false" t="array" ref="B238:B238">IF(A238="","",IFERROR(INDEX('CLM &amp; IM Mapping'!$B$2:$B$270,MATCH(TRIM(A238),'CLM &amp; IM Mapping'!$A$2:$A$270,0)),"Not Mapped"))</f>
        <v>Vijay M</v>
      </c>
      <c r="C238" s="18" t="str">
        <f aca="false" t="array" ref="C238:C238">IF(A238="","",IFERROR(INDEX('CLM &amp; IM Mapping'!$C$2:$C$270,MATCH(TRIM(A238),'CLM &amp; IM Mapping'!$A$2:$A$270,0)),"Not Mapped"))</f>
        <v>Kantha Kumar</v>
      </c>
      <c r="D238" s="18" t="s">
        <v>27</v>
      </c>
      <c r="E238" s="18" t="s">
        <v>314</v>
      </c>
      <c r="F238" s="18" t="s">
        <v>22</v>
      </c>
      <c r="G238" s="11" t="n">
        <v>5762</v>
      </c>
      <c r="H238" s="19" t="n">
        <v>0.7</v>
      </c>
      <c r="I238" s="20" t="n">
        <v>0.95</v>
      </c>
      <c r="J238" s="20" t="n">
        <v>0.88</v>
      </c>
      <c r="K238" s="20" t="n">
        <v>0.95</v>
      </c>
      <c r="L238" s="20" t="n">
        <v>0.88</v>
      </c>
      <c r="M238" s="12" t="n">
        <v>4</v>
      </c>
      <c r="N238" s="11"/>
      <c r="O238" s="1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22"/>
      <c r="AA238" s="22"/>
      <c r="AB238" s="22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customFormat="false" ht="15.75" hidden="false" customHeight="true" outlineLevel="0" collapsed="false">
      <c r="A239" s="18" t="s">
        <v>249</v>
      </c>
      <c r="B239" s="18" t="str">
        <f aca="false" t="array" ref="B239:B239">IF(A239="","",IFERROR(INDEX('CLM &amp; IM Mapping'!$B$2:$B$270,MATCH(TRIM(A239),'CLM &amp; IM Mapping'!$A$2:$A$270,0)),"Not Mapped"))</f>
        <v>Saddam Hussain</v>
      </c>
      <c r="C239" s="18" t="str">
        <f aca="false" t="array" ref="C239:C239">IF(A239="","",IFERROR(INDEX('CLM &amp; IM Mapping'!$C$2:$C$270,MATCH(TRIM(A239),'CLM &amp; IM Mapping'!$A$2:$A$270,0)),"Not Mapped"))</f>
        <v>Un Mapped</v>
      </c>
      <c r="D239" s="18" t="s">
        <v>27</v>
      </c>
      <c r="E239" s="18" t="s">
        <v>314</v>
      </c>
      <c r="F239" s="18" t="s">
        <v>22</v>
      </c>
      <c r="G239" s="11" t="n">
        <v>6286</v>
      </c>
      <c r="H239" s="19" t="n">
        <v>0.7</v>
      </c>
      <c r="I239" s="20" t="n">
        <v>0.95</v>
      </c>
      <c r="J239" s="20" t="n">
        <v>0.97</v>
      </c>
      <c r="K239" s="20" t="n">
        <v>0.99</v>
      </c>
      <c r="L239" s="20" t="n">
        <v>0.97</v>
      </c>
      <c r="M239" s="12" t="n">
        <v>3</v>
      </c>
      <c r="N239" s="11"/>
      <c r="O239" s="1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22"/>
      <c r="AA239" s="22"/>
      <c r="AB239" s="22"/>
      <c r="AC239" s="22"/>
      <c r="AD239" s="7"/>
      <c r="AE239" s="7"/>
      <c r="AF239" s="7"/>
      <c r="AG239" s="7"/>
      <c r="AH239" s="7"/>
      <c r="AI239" s="7"/>
      <c r="AJ239" s="7"/>
      <c r="AK239" s="7"/>
      <c r="AL239" s="7"/>
    </row>
    <row r="240" customFormat="false" ht="15.75" hidden="false" customHeight="true" outlineLevel="0" collapsed="false">
      <c r="A240" s="18" t="s">
        <v>295</v>
      </c>
      <c r="B240" s="18" t="str">
        <f aca="false" t="array" ref="B240:B240">IF(A240="","",IFERROR(INDEX('CLM &amp; IM Mapping'!$B$2:$B$270,MATCH(TRIM(A240),'CLM &amp; IM Mapping'!$A$2:$A$270,0)),"Not Mapped"))</f>
        <v>Saddam Hussain</v>
      </c>
      <c r="C240" s="18" t="str">
        <f aca="false" t="array" ref="C240:C240">IF(A240="","",IFERROR(INDEX('CLM &amp; IM Mapping'!$C$2:$C$270,MATCH(TRIM(A240),'CLM &amp; IM Mapping'!$A$2:$A$270,0)),"Not Mapped"))</f>
        <v>Un Mapped</v>
      </c>
      <c r="D240" s="18" t="s">
        <v>27</v>
      </c>
      <c r="E240" s="18" t="s">
        <v>314</v>
      </c>
      <c r="F240" s="18" t="s">
        <v>22</v>
      </c>
      <c r="G240" s="11" t="n">
        <v>5194</v>
      </c>
      <c r="H240" s="19" t="n">
        <v>0.7</v>
      </c>
      <c r="I240" s="20" t="n">
        <v>0.96</v>
      </c>
      <c r="J240" s="20" t="n">
        <v>0.95</v>
      </c>
      <c r="K240" s="20" t="n">
        <v>0.99</v>
      </c>
      <c r="L240" s="20" t="n">
        <v>0.95</v>
      </c>
      <c r="M240" s="12" t="n">
        <v>3</v>
      </c>
      <c r="N240" s="11"/>
      <c r="O240" s="1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22"/>
      <c r="AA240" s="22"/>
      <c r="AB240" s="22"/>
      <c r="AC240" s="22"/>
      <c r="AD240" s="7"/>
      <c r="AE240" s="7"/>
      <c r="AF240" s="7"/>
      <c r="AG240" s="7"/>
      <c r="AH240" s="7"/>
      <c r="AI240" s="7"/>
      <c r="AJ240" s="7"/>
      <c r="AK240" s="7"/>
      <c r="AL240" s="7"/>
    </row>
    <row r="241" customFormat="false" ht="15.75" hidden="false" customHeight="true" outlineLevel="0" collapsed="false">
      <c r="A241" s="18" t="s">
        <v>131</v>
      </c>
      <c r="B241" s="18" t="str">
        <f aca="false" t="array" ref="B241:B241">IF(A241="","",IFERROR(INDEX('CLM &amp; IM Mapping'!$B$2:$B$270,MATCH(TRIM(A241),'CLM &amp; IM Mapping'!$A$2:$A$270,0)),"Not Mapped"))</f>
        <v>Santhosha M</v>
      </c>
      <c r="C241" s="18" t="str">
        <f aca="false" t="array" ref="C241:C241">IF(A241="","",IFERROR(INDEX('CLM &amp; IM Mapping'!$C$2:$C$270,MATCH(TRIM(A241),'CLM &amp; IM Mapping'!$A$2:$A$270,0)),"Not Mapped"))</f>
        <v>Aravind S</v>
      </c>
      <c r="D241" s="18" t="s">
        <v>27</v>
      </c>
      <c r="E241" s="18" t="s">
        <v>316</v>
      </c>
      <c r="F241" s="18" t="s">
        <v>130</v>
      </c>
      <c r="G241" s="11" t="n">
        <v>5519</v>
      </c>
      <c r="H241" s="19" t="n">
        <v>0.7</v>
      </c>
      <c r="I241" s="20" t="n">
        <v>0.96</v>
      </c>
      <c r="J241" s="20" t="n">
        <v>0.86</v>
      </c>
      <c r="K241" s="20" t="n">
        <v>0.96</v>
      </c>
      <c r="L241" s="20" t="n">
        <v>0.86</v>
      </c>
      <c r="M241" s="12" t="n">
        <v>2</v>
      </c>
      <c r="N241" s="11"/>
      <c r="O241" s="11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22"/>
      <c r="AA241" s="22"/>
      <c r="AB241" s="22"/>
      <c r="AC241" s="22"/>
      <c r="AD241" s="7"/>
      <c r="AE241" s="7"/>
      <c r="AF241" s="7"/>
      <c r="AG241" s="7"/>
      <c r="AH241" s="7"/>
      <c r="AI241" s="7"/>
      <c r="AJ241" s="7"/>
      <c r="AK241" s="7"/>
      <c r="AL241" s="7"/>
    </row>
    <row r="242" customFormat="false" ht="15.75" hidden="false" customHeight="true" outlineLevel="0" collapsed="false">
      <c r="A242" s="18" t="s">
        <v>294</v>
      </c>
      <c r="B242" s="18" t="str">
        <f aca="false" t="array" ref="B242:B242">IF(A242="","",IFERROR(INDEX('CLM &amp; IM Mapping'!$B$2:$B$270,MATCH(TRIM(A242),'CLM &amp; IM Mapping'!$A$2:$A$270,0)),"Not Mapped"))</f>
        <v>Balaji G</v>
      </c>
      <c r="C242" s="18" t="str">
        <f aca="false" t="array" ref="C242:C242">IF(A242="","",IFERROR(INDEX('CLM &amp; IM Mapping'!$C$2:$C$270,MATCH(TRIM(A242),'CLM &amp; IM Mapping'!$A$2:$A$270,0)),"Not Mapped"))</f>
        <v>Mohammed Akbar</v>
      </c>
      <c r="D242" s="18" t="s">
        <v>27</v>
      </c>
      <c r="E242" s="18" t="s">
        <v>314</v>
      </c>
      <c r="F242" s="18" t="s">
        <v>22</v>
      </c>
      <c r="G242" s="11" t="n">
        <v>2473</v>
      </c>
      <c r="H242" s="19" t="n">
        <v>0.7</v>
      </c>
      <c r="I242" s="20" t="n">
        <v>0.97</v>
      </c>
      <c r="J242" s="20" t="n">
        <v>0.83</v>
      </c>
      <c r="K242" s="20" t="n">
        <v>0.97</v>
      </c>
      <c r="L242" s="20" t="n">
        <v>0.83</v>
      </c>
      <c r="M242" s="12" t="n">
        <v>6</v>
      </c>
      <c r="N242" s="11"/>
      <c r="O242" s="1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22"/>
      <c r="AA242" s="22"/>
      <c r="AB242" s="22"/>
      <c r="AC242" s="22"/>
      <c r="AD242" s="7"/>
      <c r="AE242" s="7"/>
      <c r="AF242" s="7"/>
      <c r="AG242" s="7"/>
      <c r="AH242" s="7"/>
      <c r="AI242" s="7"/>
      <c r="AJ242" s="7"/>
      <c r="AK242" s="7"/>
      <c r="AL242" s="7"/>
    </row>
    <row r="243" customFormat="false" ht="15.75" hidden="false" customHeight="true" outlineLevel="0" collapsed="false">
      <c r="A243" s="18" t="s">
        <v>227</v>
      </c>
      <c r="B243" s="18" t="str">
        <f aca="false" t="array" ref="B243:B243">IF(A243="","",IFERROR(INDEX('CLM &amp; IM Mapping'!$B$2:$B$270,MATCH(TRIM(A243),'CLM &amp; IM Mapping'!$A$2:$A$270,0)),"Not Mapped"))</f>
        <v>Santhosha M</v>
      </c>
      <c r="C243" s="18" t="str">
        <f aca="false" t="array" ref="C243:C243">IF(A243="","",IFERROR(INDEX('CLM &amp; IM Mapping'!$C$2:$C$270,MATCH(TRIM(A243),'CLM &amp; IM Mapping'!$A$2:$A$270,0)),"Not Mapped"))</f>
        <v>Aravind S</v>
      </c>
      <c r="D243" s="18" t="s">
        <v>27</v>
      </c>
      <c r="E243" s="18" t="s">
        <v>316</v>
      </c>
      <c r="F243" s="18" t="s">
        <v>130</v>
      </c>
      <c r="G243" s="11" t="n">
        <v>7259</v>
      </c>
      <c r="H243" s="19" t="n">
        <v>0.7</v>
      </c>
      <c r="I243" s="20" t="n">
        <v>0.97</v>
      </c>
      <c r="J243" s="20" t="n">
        <v>0.96</v>
      </c>
      <c r="K243" s="20" t="n">
        <v>0.98</v>
      </c>
      <c r="L243" s="20" t="n">
        <v>0.96</v>
      </c>
      <c r="M243" s="12" t="n">
        <v>2</v>
      </c>
      <c r="N243" s="11"/>
      <c r="O243" s="11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22"/>
      <c r="AA243" s="22"/>
      <c r="AB243" s="22"/>
      <c r="AC243" s="22"/>
      <c r="AD243" s="7"/>
      <c r="AE243" s="7"/>
      <c r="AF243" s="7"/>
      <c r="AG243" s="7"/>
      <c r="AH243" s="7"/>
      <c r="AI243" s="7"/>
      <c r="AJ243" s="7"/>
      <c r="AK243" s="7"/>
      <c r="AL243" s="7"/>
    </row>
    <row r="244" customFormat="false" ht="15.75" hidden="false" customHeight="true" outlineLevel="0" collapsed="false">
      <c r="A244" s="18" t="s">
        <v>244</v>
      </c>
      <c r="B244" s="18" t="str">
        <f aca="false" t="array" ref="B244:B244">IF(A244="","",IFERROR(INDEX('CLM &amp; IM Mapping'!$B$2:$B$270,MATCH(TRIM(A244),'CLM &amp; IM Mapping'!$A$2:$A$270,0)),"Not Mapped"))</f>
        <v>Santhosha M</v>
      </c>
      <c r="C244" s="18" t="str">
        <f aca="false" t="array" ref="C244:C244">IF(A244="","",IFERROR(INDEX('CLM &amp; IM Mapping'!$C$2:$C$270,MATCH(TRIM(A244),'CLM &amp; IM Mapping'!$A$2:$A$270,0)),"Not Mapped"))</f>
        <v>Aravind S</v>
      </c>
      <c r="D244" s="18" t="s">
        <v>27</v>
      </c>
      <c r="E244" s="18" t="s">
        <v>314</v>
      </c>
      <c r="F244" s="18" t="s">
        <v>130</v>
      </c>
      <c r="G244" s="11" t="n">
        <v>4633</v>
      </c>
      <c r="H244" s="19" t="n">
        <v>0.7</v>
      </c>
      <c r="I244" s="20" t="n">
        <v>0.98</v>
      </c>
      <c r="J244" s="20" t="n">
        <v>0.95</v>
      </c>
      <c r="K244" s="20" t="n">
        <v>0.98</v>
      </c>
      <c r="L244" s="20" t="n">
        <v>0.95</v>
      </c>
      <c r="M244" s="12" t="n">
        <v>2</v>
      </c>
      <c r="N244" s="11"/>
      <c r="O244" s="11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22"/>
      <c r="AA244" s="22"/>
      <c r="AB244" s="22"/>
      <c r="AC244" s="22"/>
      <c r="AD244" s="7"/>
      <c r="AE244" s="7"/>
      <c r="AF244" s="7"/>
      <c r="AG244" s="7"/>
      <c r="AH244" s="7"/>
      <c r="AI244" s="7"/>
      <c r="AJ244" s="7"/>
      <c r="AK244" s="7"/>
      <c r="AL244" s="7"/>
    </row>
    <row r="245" customFormat="false" ht="15.75" hidden="false" customHeight="true" outlineLevel="0" collapsed="false">
      <c r="A245" s="18" t="s">
        <v>259</v>
      </c>
      <c r="B245" s="18" t="str">
        <f aca="false" t="array" ref="B245:B245">IF(A245="","",IFERROR(INDEX('CLM &amp; IM Mapping'!$B$2:$B$270,MATCH(TRIM(A245),'CLM &amp; IM Mapping'!$A$2:$A$270,0)),"Not Mapped"))</f>
        <v>Raghavendra Vernekar</v>
      </c>
      <c r="C245" s="18" t="str">
        <f aca="false" t="array" ref="C245:C245">IF(A245="","",IFERROR(INDEX('CLM &amp; IM Mapping'!$C$2:$C$270,MATCH(TRIM(A245),'CLM &amp; IM Mapping'!$A$2:$A$270,0)),"Not Mapped"))</f>
        <v>Prakash BS</v>
      </c>
      <c r="D245" s="18" t="s">
        <v>27</v>
      </c>
      <c r="E245" s="18" t="s">
        <v>316</v>
      </c>
      <c r="F245" s="18" t="s">
        <v>22</v>
      </c>
      <c r="G245" s="11" t="n">
        <v>4755</v>
      </c>
      <c r="H245" s="19" t="n">
        <v>0.7</v>
      </c>
      <c r="I245" s="20" t="n">
        <v>0.99</v>
      </c>
      <c r="J245" s="20" t="n">
        <v>0.94</v>
      </c>
      <c r="K245" s="20" t="n">
        <v>0.99</v>
      </c>
      <c r="L245" s="20" t="n">
        <v>0.94</v>
      </c>
      <c r="M245" s="12" t="n">
        <v>4</v>
      </c>
      <c r="N245" s="11"/>
      <c r="O245" s="11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22"/>
      <c r="AA245" s="22"/>
      <c r="AB245" s="22"/>
      <c r="AC245" s="22"/>
      <c r="AD245" s="7"/>
      <c r="AE245" s="7"/>
      <c r="AF245" s="7"/>
      <c r="AG245" s="7"/>
      <c r="AH245" s="7"/>
      <c r="AI245" s="7"/>
      <c r="AJ245" s="7"/>
      <c r="AK245" s="7"/>
      <c r="AL245" s="7"/>
    </row>
    <row r="246" customFormat="false" ht="15.75" hidden="false" customHeight="true" outlineLevel="0" collapsed="false">
      <c r="A246" s="18" t="s">
        <v>282</v>
      </c>
      <c r="B246" s="18" t="str">
        <f aca="false" t="array" ref="B246:B246">IF(A246="","",IFERROR(INDEX('CLM &amp; IM Mapping'!$B$2:$B$270,MATCH(TRIM(A246),'CLM &amp; IM Mapping'!$A$2:$A$270,0)),"Not Mapped"))</f>
        <v>Raghavendra Vernekar</v>
      </c>
      <c r="C246" s="18" t="str">
        <f aca="false" t="array" ref="C246:C246">IF(A246="","",IFERROR(INDEX('CLM &amp; IM Mapping'!$C$2:$C$270,MATCH(TRIM(A246),'CLM &amp; IM Mapping'!$A$2:$A$270,0)),"Not Mapped"))</f>
        <v>Prakash BS</v>
      </c>
      <c r="D246" s="18" t="s">
        <v>27</v>
      </c>
      <c r="E246" s="18" t="s">
        <v>314</v>
      </c>
      <c r="F246" s="18" t="s">
        <v>22</v>
      </c>
      <c r="G246" s="11" t="n">
        <v>5768</v>
      </c>
      <c r="H246" s="19" t="n">
        <v>0.7</v>
      </c>
      <c r="I246" s="20" t="n">
        <v>0.99</v>
      </c>
      <c r="J246" s="20" t="n">
        <v>0.95</v>
      </c>
      <c r="K246" s="20" t="n">
        <v>0.99</v>
      </c>
      <c r="L246" s="18"/>
      <c r="M246" s="12" t="n">
        <v>6</v>
      </c>
      <c r="N246" s="11"/>
      <c r="O246" s="11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22"/>
      <c r="AA246" s="22"/>
      <c r="AB246" s="22"/>
      <c r="AC246" s="22"/>
      <c r="AD246" s="7"/>
      <c r="AE246" s="7"/>
      <c r="AF246" s="7"/>
      <c r="AG246" s="7"/>
      <c r="AH246" s="7"/>
      <c r="AI246" s="7"/>
      <c r="AJ246" s="7"/>
      <c r="AK246" s="7"/>
      <c r="AL246" s="7"/>
    </row>
    <row r="247" customFormat="false" ht="15.75" hidden="false" customHeight="true" outlineLevel="0" collapsed="false">
      <c r="A247" s="18" t="s">
        <v>272</v>
      </c>
      <c r="B247" s="18" t="str">
        <f aca="false" t="array" ref="B247:B247">IF(A247="","",IFERROR(INDEX('CLM &amp; IM Mapping'!$B$2:$B$270,MATCH(TRIM(A247),'CLM &amp; IM Mapping'!$A$2:$A$270,0)),"Not Mapped"))</f>
        <v>Balaji G</v>
      </c>
      <c r="C247" s="18" t="str">
        <f aca="false" t="array" ref="C247:C247">IF(A247="","",IFERROR(INDEX('CLM &amp; IM Mapping'!$C$2:$C$270,MATCH(TRIM(A247),'CLM &amp; IM Mapping'!$A$2:$A$270,0)),"Not Mapped"))</f>
        <v>Mohammed Akbar</v>
      </c>
      <c r="D247" s="18" t="s">
        <v>27</v>
      </c>
      <c r="E247" s="18" t="s">
        <v>314</v>
      </c>
      <c r="F247" s="18" t="s">
        <v>22</v>
      </c>
      <c r="G247" s="11" t="n">
        <v>5005</v>
      </c>
      <c r="H247" s="19" t="n">
        <v>0.7</v>
      </c>
      <c r="I247" s="20" t="n">
        <v>0.99</v>
      </c>
      <c r="J247" s="20" t="n">
        <v>0.95</v>
      </c>
      <c r="K247" s="20" t="n">
        <v>0.99</v>
      </c>
      <c r="L247" s="18"/>
      <c r="M247" s="12" t="n">
        <v>3</v>
      </c>
      <c r="N247" s="11"/>
      <c r="O247" s="11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22"/>
      <c r="AA247" s="22"/>
      <c r="AB247" s="22"/>
      <c r="AC247" s="22"/>
      <c r="AD247" s="7"/>
      <c r="AE247" s="7"/>
      <c r="AF247" s="7"/>
      <c r="AG247" s="7"/>
      <c r="AH247" s="7"/>
      <c r="AI247" s="7"/>
      <c r="AJ247" s="7"/>
      <c r="AK247" s="7"/>
      <c r="AL247" s="7"/>
    </row>
    <row r="248" customFormat="false" ht="15.75" hidden="false" customHeight="true" outlineLevel="0" collapsed="false">
      <c r="A248" s="18" t="s">
        <v>292</v>
      </c>
      <c r="B248" s="18" t="str">
        <f aca="false" t="array" ref="B248:B248">IF(A248="","",IFERROR(INDEX('CLM &amp; IM Mapping'!$B$2:$B$270,MATCH(TRIM(A248),'CLM &amp; IM Mapping'!$A$2:$A$270,0)),"Not Mapped"))</f>
        <v>Mohaideen DH</v>
      </c>
      <c r="C248" s="18" t="str">
        <f aca="false" t="array" ref="C248:C248">IF(A248="","",IFERROR(INDEX('CLM &amp; IM Mapping'!$C$2:$C$270,MATCH(TRIM(A248),'CLM &amp; IM Mapping'!$A$2:$A$270,0)),"Not Mapped"))</f>
        <v>Mohammed Akbar</v>
      </c>
      <c r="D248" s="18" t="s">
        <v>27</v>
      </c>
      <c r="E248" s="18" t="s">
        <v>314</v>
      </c>
      <c r="F248" s="18" t="s">
        <v>22</v>
      </c>
      <c r="G248" s="11" t="n">
        <v>4463</v>
      </c>
      <c r="H248" s="19" t="n">
        <v>0.7</v>
      </c>
      <c r="I248" s="20" t="n">
        <v>1</v>
      </c>
      <c r="J248" s="20" t="n">
        <v>0.93</v>
      </c>
      <c r="K248" s="20" t="n">
        <v>0.99</v>
      </c>
      <c r="L248" s="20" t="n">
        <v>0.93</v>
      </c>
      <c r="M248" s="12" t="n">
        <v>4</v>
      </c>
      <c r="N248" s="11"/>
      <c r="O248" s="11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22"/>
      <c r="AA248" s="22"/>
      <c r="AB248" s="22"/>
      <c r="AC248" s="22"/>
      <c r="AD248" s="7"/>
      <c r="AE248" s="7"/>
      <c r="AF248" s="7"/>
      <c r="AG248" s="7"/>
      <c r="AH248" s="7"/>
      <c r="AI248" s="7"/>
      <c r="AJ248" s="7"/>
      <c r="AK248" s="7"/>
      <c r="AL248" s="7"/>
    </row>
    <row r="249" customFormat="false" ht="15.75" hidden="false" customHeight="true" outlineLevel="0" collapsed="false">
      <c r="A249" s="18" t="s">
        <v>287</v>
      </c>
      <c r="B249" s="18" t="str">
        <f aca="false" t="array" ref="B249:B249">IF(A249="","",IFERROR(INDEX('CLM &amp; IM Mapping'!$B$2:$B$270,MATCH(TRIM(A249),'CLM &amp; IM Mapping'!$A$2:$A$270,0)),"Not Mapped"))</f>
        <v>Balaji G</v>
      </c>
      <c r="C249" s="18" t="str">
        <f aca="false" t="array" ref="C249:C249">IF(A249="","",IFERROR(INDEX('CLM &amp; IM Mapping'!$C$2:$C$270,MATCH(TRIM(A249),'CLM &amp; IM Mapping'!$A$2:$A$270,0)),"Not Mapped"))</f>
        <v>Mohammed Akbar</v>
      </c>
      <c r="D249" s="18" t="s">
        <v>27</v>
      </c>
      <c r="E249" s="18" t="s">
        <v>314</v>
      </c>
      <c r="F249" s="18" t="s">
        <v>22</v>
      </c>
      <c r="G249" s="11" t="n">
        <v>5077</v>
      </c>
      <c r="H249" s="19" t="n">
        <v>0.7</v>
      </c>
      <c r="I249" s="20" t="n">
        <v>1</v>
      </c>
      <c r="J249" s="20" t="n">
        <v>0.94</v>
      </c>
      <c r="K249" s="20" t="n">
        <v>0.99</v>
      </c>
      <c r="L249" s="20" t="n">
        <v>0.94</v>
      </c>
      <c r="M249" s="12" t="n">
        <v>5</v>
      </c>
      <c r="N249" s="11"/>
      <c r="O249" s="11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22"/>
      <c r="AA249" s="22"/>
      <c r="AB249" s="22"/>
      <c r="AC249" s="22"/>
      <c r="AD249" s="7"/>
      <c r="AE249" s="7"/>
      <c r="AF249" s="7"/>
      <c r="AG249" s="7"/>
      <c r="AH249" s="7"/>
      <c r="AI249" s="7"/>
      <c r="AJ249" s="7"/>
      <c r="AK249" s="7"/>
      <c r="AL249" s="7"/>
    </row>
    <row r="250" customFormat="false" ht="15.75" hidden="false" customHeight="true" outlineLevel="0" collapsed="false">
      <c r="A250" s="18" t="s">
        <v>273</v>
      </c>
      <c r="B250" s="18" t="str">
        <f aca="false" t="array" ref="B250:B250">IF(A250="","",IFERROR(INDEX('CLM &amp; IM Mapping'!$B$2:$B$270,MATCH(TRIM(A250),'CLM &amp; IM Mapping'!$A$2:$A$270,0)),"Not Mapped"))</f>
        <v>Santhosha M</v>
      </c>
      <c r="C250" s="18" t="str">
        <f aca="false" t="array" ref="C250:C250">IF(A250="","",IFERROR(INDEX('CLM &amp; IM Mapping'!$C$2:$C$270,MATCH(TRIM(A250),'CLM &amp; IM Mapping'!$A$2:$A$270,0)),"Not Mapped"))</f>
        <v>Aravind S</v>
      </c>
      <c r="D250" s="18" t="s">
        <v>27</v>
      </c>
      <c r="E250" s="18" t="s">
        <v>316</v>
      </c>
      <c r="F250" s="18" t="s">
        <v>130</v>
      </c>
      <c r="G250" s="11" t="n">
        <v>6590</v>
      </c>
      <c r="H250" s="19" t="n">
        <v>0.7</v>
      </c>
      <c r="I250" s="20" t="n">
        <v>1</v>
      </c>
      <c r="J250" s="20" t="n">
        <v>0.9</v>
      </c>
      <c r="K250" s="20" t="n">
        <v>0.97</v>
      </c>
      <c r="L250" s="20" t="n">
        <v>0.9</v>
      </c>
      <c r="M250" s="12" t="n">
        <v>3</v>
      </c>
      <c r="N250" s="11"/>
      <c r="O250" s="11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22"/>
      <c r="AA250" s="22"/>
      <c r="AB250" s="22"/>
      <c r="AC250" s="22"/>
      <c r="AD250" s="7"/>
      <c r="AE250" s="7"/>
      <c r="AF250" s="7"/>
      <c r="AG250" s="7"/>
      <c r="AH250" s="7"/>
      <c r="AI250" s="7"/>
      <c r="AJ250" s="7"/>
      <c r="AK250" s="7"/>
      <c r="AL250" s="7"/>
    </row>
    <row r="251" customFormat="false" ht="15.75" hidden="false" customHeight="true" outlineLevel="0" collapsed="false">
      <c r="A251" s="18" t="s">
        <v>280</v>
      </c>
      <c r="B251" s="18" t="str">
        <f aca="false" t="array" ref="B251:B251">IF(A251="","",IFERROR(INDEX('CLM &amp; IM Mapping'!$B$2:$B$270,MATCH(TRIM(A251),'CLM &amp; IM Mapping'!$A$2:$A$270,0)),"Not Mapped"))</f>
        <v>Santhosha M</v>
      </c>
      <c r="C251" s="18" t="str">
        <f aca="false" t="array" ref="C251:C251">IF(A251="","",IFERROR(INDEX('CLM &amp; IM Mapping'!$C$2:$C$270,MATCH(TRIM(A251),'CLM &amp; IM Mapping'!$A$2:$A$270,0)),"Not Mapped"))</f>
        <v>Aravind S</v>
      </c>
      <c r="D251" s="18" t="s">
        <v>27</v>
      </c>
      <c r="E251" s="18" t="s">
        <v>314</v>
      </c>
      <c r="F251" s="18" t="s">
        <v>130</v>
      </c>
      <c r="G251" s="11" t="n">
        <v>4856</v>
      </c>
      <c r="H251" s="19" t="n">
        <v>0.7</v>
      </c>
      <c r="I251" s="20" t="n">
        <v>1</v>
      </c>
      <c r="J251" s="20" t="n">
        <v>0.95</v>
      </c>
      <c r="K251" s="20" t="n">
        <v>0.99</v>
      </c>
      <c r="L251" s="20" t="n">
        <v>0.95</v>
      </c>
      <c r="M251" s="12" t="n">
        <v>2</v>
      </c>
      <c r="N251" s="11"/>
      <c r="O251" s="11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22"/>
      <c r="AA251" s="22"/>
      <c r="AB251" s="22"/>
      <c r="AC251" s="22"/>
      <c r="AD251" s="7"/>
      <c r="AE251" s="7"/>
      <c r="AF251" s="7"/>
      <c r="AG251" s="7"/>
      <c r="AH251" s="7"/>
      <c r="AI251" s="7"/>
      <c r="AJ251" s="7"/>
      <c r="AK251" s="7"/>
      <c r="AL251" s="7"/>
    </row>
    <row r="252" customFormat="false" ht="15.75" hidden="false" customHeight="true" outlineLevel="0" collapsed="false">
      <c r="A252" s="18" t="s">
        <v>224</v>
      </c>
      <c r="B252" s="18" t="str">
        <f aca="false" t="array" ref="B252:B252">IF(A252="","",IFERROR(INDEX('CLM &amp; IM Mapping'!$B$2:$B$270,MATCH(TRIM(A252),'CLM &amp; IM Mapping'!$A$2:$A$270,0)),"Not Mapped"))</f>
        <v>Santhosha M</v>
      </c>
      <c r="C252" s="18" t="str">
        <f aca="false" t="array" ref="C252:C252">IF(A252="","",IFERROR(INDEX('CLM &amp; IM Mapping'!$C$2:$C$270,MATCH(TRIM(A252),'CLM &amp; IM Mapping'!$A$2:$A$270,0)),"Not Mapped"))</f>
        <v>Aravind S</v>
      </c>
      <c r="D252" s="18" t="s">
        <v>27</v>
      </c>
      <c r="E252" s="18" t="s">
        <v>314</v>
      </c>
      <c r="F252" s="18" t="s">
        <v>130</v>
      </c>
      <c r="G252" s="11" t="n">
        <v>5344</v>
      </c>
      <c r="H252" s="19" t="n">
        <v>0.7</v>
      </c>
      <c r="I252" s="20" t="n">
        <v>1</v>
      </c>
      <c r="J252" s="20" t="n">
        <v>0.97</v>
      </c>
      <c r="K252" s="20" t="n">
        <v>0.99</v>
      </c>
      <c r="L252" s="20" t="n">
        <v>0.97</v>
      </c>
      <c r="M252" s="12" t="n">
        <v>2</v>
      </c>
      <c r="N252" s="11"/>
      <c r="O252" s="11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22"/>
      <c r="AA252" s="22"/>
      <c r="AB252" s="22"/>
      <c r="AC252" s="22"/>
      <c r="AD252" s="7"/>
      <c r="AE252" s="7"/>
      <c r="AF252" s="7"/>
      <c r="AG252" s="7"/>
      <c r="AH252" s="7"/>
      <c r="AI252" s="7"/>
      <c r="AJ252" s="7"/>
      <c r="AK252" s="7"/>
      <c r="AL252" s="7"/>
    </row>
    <row r="253" customFormat="false" ht="15.75" hidden="false" customHeight="true" outlineLevel="0" collapsed="false">
      <c r="A253" s="23"/>
      <c r="B253" s="7"/>
      <c r="C253" s="7"/>
      <c r="D253" s="23"/>
      <c r="E253" s="24"/>
      <c r="F253" s="23"/>
      <c r="G253" s="25"/>
      <c r="H253" s="25"/>
      <c r="I253" s="25"/>
      <c r="J253" s="25"/>
      <c r="K253" s="7"/>
      <c r="L253" s="7"/>
      <c r="M253" s="15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22"/>
      <c r="AA253" s="22"/>
      <c r="AB253" s="22"/>
      <c r="AC253" s="22"/>
      <c r="AD253" s="7"/>
      <c r="AE253" s="7"/>
      <c r="AF253" s="7"/>
      <c r="AG253" s="7"/>
      <c r="AH253" s="7"/>
      <c r="AI253" s="7"/>
      <c r="AJ253" s="7"/>
      <c r="AK253" s="7"/>
      <c r="AL253" s="7"/>
    </row>
    <row r="254" customFormat="false" ht="15.75" hidden="false" customHeight="true" outlineLevel="0" collapsed="false">
      <c r="A254" s="23"/>
      <c r="B254" s="7"/>
      <c r="C254" s="7"/>
      <c r="D254" s="23"/>
      <c r="E254" s="24"/>
      <c r="F254" s="23"/>
      <c r="G254" s="25"/>
      <c r="H254" s="25"/>
      <c r="I254" s="25"/>
      <c r="J254" s="25"/>
      <c r="K254" s="7"/>
      <c r="L254" s="7"/>
      <c r="M254" s="15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15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15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15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15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15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15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15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15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15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15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15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15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15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15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15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15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15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15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15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15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15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15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15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15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15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15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15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15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15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15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15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15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15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15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15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15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15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15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15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15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15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15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15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15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15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15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15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15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15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15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15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15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15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15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15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15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15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15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15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15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15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15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15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15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15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15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15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15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15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15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15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15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15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15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15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15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15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15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15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15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15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15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15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15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15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15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15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15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15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15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15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15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15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15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15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15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15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15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15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15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15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15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15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15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15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15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15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15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15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15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15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15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15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15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15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15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15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15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15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15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15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15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15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15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15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15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15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15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15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15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15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15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15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1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15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15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15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1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15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1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15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1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15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15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15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15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15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15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15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15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15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15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15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15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15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1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1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15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15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15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1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15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1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1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15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15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15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15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15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15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15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1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15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1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15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15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15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15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15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15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15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15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15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15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15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15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15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15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15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15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15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15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15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1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15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1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15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15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15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15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15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15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15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15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15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15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15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15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15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15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15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1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15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15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15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15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15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15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15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15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15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15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15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15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15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15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15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15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15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15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15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15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15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15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15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15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15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15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15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15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15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15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15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15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15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15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15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15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15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15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15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15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15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15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15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15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15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15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15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15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15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15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15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15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15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15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15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15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15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15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15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15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15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15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15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15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15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15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15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15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15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15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15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15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15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15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15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15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15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15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15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15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15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15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15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15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15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15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15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15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15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15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15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15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15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15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15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15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15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15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15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15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15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15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15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15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15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15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15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15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15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15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15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15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15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15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15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15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15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15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15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15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15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15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15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15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15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15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15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15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15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15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15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15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15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15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15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15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15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15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15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15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15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15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15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15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15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15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15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15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15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15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15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15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15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15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15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15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15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15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15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15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15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15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15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15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15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15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15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15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15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15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15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15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15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15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15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15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15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15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15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15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15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15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15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15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15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15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15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15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15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15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15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15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15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15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15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15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15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15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15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15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15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15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15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15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15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15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15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15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15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15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15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15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15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15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15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15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15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15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15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15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15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15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15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15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15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15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15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15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15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15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15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15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15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15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15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15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15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15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15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15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15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15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15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15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15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15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15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15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15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15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15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15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15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15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15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15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15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15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15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15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15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15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15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15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15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15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15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15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15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15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15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15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15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15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15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15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15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15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15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15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15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15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15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15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15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15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15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15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15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15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15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15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15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15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15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15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15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15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15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15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15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15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15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15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15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15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15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15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15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15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15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15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15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15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15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15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15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15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15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15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15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15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15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15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15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15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15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15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15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15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15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15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15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15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15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15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15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15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15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15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15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15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15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15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15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15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15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15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15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15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15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15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15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15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15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15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15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15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15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15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15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15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15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1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15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15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15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15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15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15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15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1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15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1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15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1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15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1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15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1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15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1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1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1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1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1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15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1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15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1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15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1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15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1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15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1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15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1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15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1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15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1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15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1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15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1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15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1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15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1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15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1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15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1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15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1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15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1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15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1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15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1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15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1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15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1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15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1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15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1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15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1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15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1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15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1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15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1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15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1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15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1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15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1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15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1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15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1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15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1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15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1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15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1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15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1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15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1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15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1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15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1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15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1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15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1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15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1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15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1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15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1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15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1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15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1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15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1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15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1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15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1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15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1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15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1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15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1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15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1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15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1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15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1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15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1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15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1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15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1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15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1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15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1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15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1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15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1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15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15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15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15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15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15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15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15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15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15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15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15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15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15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15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15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15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15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15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15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15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15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15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15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</sheetData>
  <conditionalFormatting sqref="I2:I25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5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5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25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5.75" hidden="false" customHeight="true" outlineLevel="0" collapsed="false">
      <c r="A1" s="26" t="s">
        <v>318</v>
      </c>
      <c r="B1" s="27" t="s">
        <v>319</v>
      </c>
      <c r="C1" s="27" t="s">
        <v>320</v>
      </c>
    </row>
    <row r="2" customFormat="false" ht="15.75" hidden="false" customHeight="true" outlineLevel="0" collapsed="false">
      <c r="A2" s="28" t="s">
        <v>85</v>
      </c>
      <c r="B2" s="29" t="s">
        <v>321</v>
      </c>
      <c r="C2" s="30" t="s">
        <v>322</v>
      </c>
    </row>
    <row r="3" customFormat="false" ht="15.75" hidden="false" customHeight="true" outlineLevel="0" collapsed="false">
      <c r="A3" s="28" t="s">
        <v>295</v>
      </c>
      <c r="B3" s="29" t="s">
        <v>321</v>
      </c>
      <c r="C3" s="30" t="s">
        <v>322</v>
      </c>
    </row>
    <row r="4" customFormat="false" ht="15.75" hidden="false" customHeight="true" outlineLevel="0" collapsed="false">
      <c r="A4" s="28" t="s">
        <v>168</v>
      </c>
      <c r="B4" s="29" t="s">
        <v>321</v>
      </c>
      <c r="C4" s="30" t="s">
        <v>322</v>
      </c>
    </row>
    <row r="5" customFormat="false" ht="15.75" hidden="false" customHeight="true" outlineLevel="0" collapsed="false">
      <c r="A5" s="28" t="s">
        <v>45</v>
      </c>
      <c r="B5" s="29" t="s">
        <v>323</v>
      </c>
      <c r="C5" s="30" t="s">
        <v>322</v>
      </c>
    </row>
    <row r="6" customFormat="false" ht="15.75" hidden="false" customHeight="true" outlineLevel="0" collapsed="false">
      <c r="A6" s="28" t="s">
        <v>190</v>
      </c>
      <c r="B6" s="29" t="s">
        <v>323</v>
      </c>
      <c r="C6" s="30" t="s">
        <v>322</v>
      </c>
    </row>
    <row r="7" customFormat="false" ht="15.75" hidden="false" customHeight="true" outlineLevel="0" collapsed="false">
      <c r="A7" s="28" t="s">
        <v>189</v>
      </c>
      <c r="B7" s="29" t="s">
        <v>321</v>
      </c>
      <c r="C7" s="30" t="s">
        <v>322</v>
      </c>
    </row>
    <row r="8" customFormat="false" ht="15.75" hidden="false" customHeight="true" outlineLevel="0" collapsed="false">
      <c r="A8" s="28" t="s">
        <v>132</v>
      </c>
      <c r="B8" s="29" t="s">
        <v>324</v>
      </c>
      <c r="C8" s="30" t="s">
        <v>322</v>
      </c>
    </row>
    <row r="9" customFormat="false" ht="15.75" hidden="false" customHeight="true" outlineLevel="0" collapsed="false">
      <c r="A9" s="28" t="s">
        <v>30</v>
      </c>
      <c r="B9" s="29" t="s">
        <v>324</v>
      </c>
      <c r="C9" s="30" t="s">
        <v>322</v>
      </c>
    </row>
    <row r="10" customFormat="false" ht="15.75" hidden="false" customHeight="true" outlineLevel="0" collapsed="false">
      <c r="A10" s="28" t="s">
        <v>248</v>
      </c>
      <c r="B10" s="29" t="s">
        <v>324</v>
      </c>
      <c r="C10" s="30" t="s">
        <v>322</v>
      </c>
    </row>
    <row r="11" customFormat="false" ht="15.75" hidden="false" customHeight="true" outlineLevel="0" collapsed="false">
      <c r="A11" s="28" t="s">
        <v>40</v>
      </c>
      <c r="B11" s="29" t="s">
        <v>324</v>
      </c>
      <c r="C11" s="30" t="s">
        <v>322</v>
      </c>
    </row>
    <row r="12" customFormat="false" ht="15.75" hidden="false" customHeight="true" outlineLevel="0" collapsed="false">
      <c r="A12" s="28" t="s">
        <v>213</v>
      </c>
      <c r="B12" s="29" t="s">
        <v>324</v>
      </c>
      <c r="C12" s="30" t="s">
        <v>322</v>
      </c>
    </row>
    <row r="13" customFormat="false" ht="15.75" hidden="false" customHeight="true" outlineLevel="0" collapsed="false">
      <c r="A13" s="28" t="s">
        <v>75</v>
      </c>
      <c r="B13" s="29" t="s">
        <v>324</v>
      </c>
      <c r="C13" s="30" t="s">
        <v>322</v>
      </c>
    </row>
    <row r="14" customFormat="false" ht="15.75" hidden="false" customHeight="true" outlineLevel="0" collapsed="false">
      <c r="A14" s="28" t="s">
        <v>31</v>
      </c>
      <c r="B14" s="29" t="s">
        <v>324</v>
      </c>
      <c r="C14" s="30" t="s">
        <v>322</v>
      </c>
    </row>
    <row r="15" customFormat="false" ht="15.75" hidden="false" customHeight="true" outlineLevel="0" collapsed="false">
      <c r="A15" s="28" t="s">
        <v>91</v>
      </c>
      <c r="B15" s="31" t="s">
        <v>325</v>
      </c>
      <c r="C15" s="30" t="s">
        <v>322</v>
      </c>
    </row>
    <row r="16" customFormat="false" ht="15.75" hidden="false" customHeight="true" outlineLevel="0" collapsed="false">
      <c r="A16" s="28" t="s">
        <v>39</v>
      </c>
      <c r="B16" s="29" t="s">
        <v>325</v>
      </c>
      <c r="C16" s="30" t="s">
        <v>322</v>
      </c>
    </row>
    <row r="17" customFormat="false" ht="15.75" hidden="false" customHeight="true" outlineLevel="0" collapsed="false">
      <c r="A17" s="28" t="s">
        <v>53</v>
      </c>
      <c r="B17" s="29" t="s">
        <v>325</v>
      </c>
      <c r="C17" s="30" t="s">
        <v>322</v>
      </c>
    </row>
    <row r="18" customFormat="false" ht="15.75" hidden="false" customHeight="true" outlineLevel="0" collapsed="false">
      <c r="A18" s="28" t="s">
        <v>89</v>
      </c>
      <c r="B18" s="29" t="s">
        <v>325</v>
      </c>
      <c r="C18" s="30" t="s">
        <v>322</v>
      </c>
    </row>
    <row r="19" customFormat="false" ht="15.75" hidden="false" customHeight="true" outlineLevel="0" collapsed="false">
      <c r="A19" s="28" t="s">
        <v>220</v>
      </c>
      <c r="B19" s="29" t="s">
        <v>325</v>
      </c>
      <c r="C19" s="30" t="s">
        <v>322</v>
      </c>
    </row>
    <row r="20" customFormat="false" ht="15.75" hidden="false" customHeight="true" outlineLevel="0" collapsed="false">
      <c r="A20" s="28" t="s">
        <v>63</v>
      </c>
      <c r="B20" s="29" t="s">
        <v>325</v>
      </c>
      <c r="C20" s="30" t="s">
        <v>322</v>
      </c>
    </row>
    <row r="21" customFormat="false" ht="15.75" hidden="false" customHeight="true" outlineLevel="0" collapsed="false">
      <c r="A21" s="28" t="s">
        <v>225</v>
      </c>
      <c r="B21" s="29" t="s">
        <v>326</v>
      </c>
      <c r="C21" s="30" t="s">
        <v>322</v>
      </c>
    </row>
    <row r="22" customFormat="false" ht="15.75" hidden="false" customHeight="true" outlineLevel="0" collapsed="false">
      <c r="A22" s="28" t="s">
        <v>93</v>
      </c>
      <c r="B22" s="29" t="s">
        <v>326</v>
      </c>
      <c r="C22" s="30" t="s">
        <v>322</v>
      </c>
    </row>
    <row r="23" customFormat="false" ht="15.75" hidden="false" customHeight="true" outlineLevel="0" collapsed="false">
      <c r="A23" s="28" t="s">
        <v>150</v>
      </c>
      <c r="B23" s="29" t="s">
        <v>326</v>
      </c>
      <c r="C23" s="30" t="s">
        <v>322</v>
      </c>
    </row>
    <row r="24" customFormat="false" ht="15.75" hidden="false" customHeight="true" outlineLevel="0" collapsed="false">
      <c r="A24" s="28" t="s">
        <v>271</v>
      </c>
      <c r="B24" s="29" t="s">
        <v>326</v>
      </c>
      <c r="C24" s="30" t="s">
        <v>322</v>
      </c>
    </row>
    <row r="25" customFormat="false" ht="15.75" hidden="false" customHeight="true" outlineLevel="0" collapsed="false">
      <c r="A25" s="28" t="s">
        <v>284</v>
      </c>
      <c r="B25" s="29" t="s">
        <v>326</v>
      </c>
      <c r="C25" s="30" t="s">
        <v>322</v>
      </c>
    </row>
    <row r="26" customFormat="false" ht="15.75" hidden="false" customHeight="true" outlineLevel="0" collapsed="false">
      <c r="A26" s="28" t="s">
        <v>147</v>
      </c>
      <c r="B26" s="29" t="s">
        <v>326</v>
      </c>
      <c r="C26" s="30" t="s">
        <v>322</v>
      </c>
    </row>
    <row r="27" customFormat="false" ht="15.75" hidden="false" customHeight="true" outlineLevel="0" collapsed="false">
      <c r="A27" s="28" t="s">
        <v>243</v>
      </c>
      <c r="B27" s="29" t="s">
        <v>326</v>
      </c>
      <c r="C27" s="30" t="s">
        <v>322</v>
      </c>
    </row>
    <row r="28" customFormat="false" ht="15.75" hidden="false" customHeight="true" outlineLevel="0" collapsed="false">
      <c r="A28" s="28" t="s">
        <v>279</v>
      </c>
      <c r="B28" s="29" t="s">
        <v>326</v>
      </c>
      <c r="C28" s="30" t="s">
        <v>322</v>
      </c>
    </row>
    <row r="29" customFormat="false" ht="15.75" hidden="false" customHeight="true" outlineLevel="0" collapsed="false">
      <c r="A29" s="28" t="s">
        <v>230</v>
      </c>
      <c r="B29" s="29" t="s">
        <v>326</v>
      </c>
      <c r="C29" s="30" t="s">
        <v>322</v>
      </c>
    </row>
    <row r="30" customFormat="false" ht="15.75" hidden="false" customHeight="true" outlineLevel="0" collapsed="false">
      <c r="A30" s="28" t="s">
        <v>71</v>
      </c>
      <c r="B30" s="29" t="s">
        <v>326</v>
      </c>
      <c r="C30" s="30" t="s">
        <v>322</v>
      </c>
    </row>
    <row r="31" customFormat="false" ht="15.75" hidden="false" customHeight="true" outlineLevel="0" collapsed="false">
      <c r="A31" s="28" t="s">
        <v>32</v>
      </c>
      <c r="B31" s="29" t="s">
        <v>321</v>
      </c>
      <c r="C31" s="30" t="s">
        <v>322</v>
      </c>
    </row>
    <row r="32" customFormat="false" ht="15.75" hidden="false" customHeight="true" outlineLevel="0" collapsed="false">
      <c r="A32" s="28" t="s">
        <v>275</v>
      </c>
      <c r="B32" s="29" t="s">
        <v>327</v>
      </c>
      <c r="C32" s="30" t="s">
        <v>322</v>
      </c>
    </row>
    <row r="33" customFormat="false" ht="15.75" hidden="false" customHeight="true" outlineLevel="0" collapsed="false">
      <c r="A33" s="28" t="s">
        <v>35</v>
      </c>
      <c r="B33" s="29" t="s">
        <v>327</v>
      </c>
      <c r="C33" s="30" t="s">
        <v>322</v>
      </c>
    </row>
    <row r="34" customFormat="false" ht="15.75" hidden="false" customHeight="true" outlineLevel="0" collapsed="false">
      <c r="A34" s="28" t="s">
        <v>249</v>
      </c>
      <c r="B34" s="29" t="s">
        <v>321</v>
      </c>
      <c r="C34" s="30" t="s">
        <v>322</v>
      </c>
    </row>
    <row r="35" customFormat="false" ht="15.75" hidden="false" customHeight="true" outlineLevel="0" collapsed="false">
      <c r="A35" s="28" t="s">
        <v>298</v>
      </c>
      <c r="B35" s="29" t="s">
        <v>321</v>
      </c>
      <c r="C35" s="30" t="s">
        <v>322</v>
      </c>
    </row>
    <row r="36" customFormat="false" ht="15.75" hidden="false" customHeight="true" outlineLevel="0" collapsed="false">
      <c r="A36" s="28" t="s">
        <v>171</v>
      </c>
      <c r="B36" s="29" t="s">
        <v>321</v>
      </c>
      <c r="C36" s="30" t="s">
        <v>322</v>
      </c>
    </row>
    <row r="37" customFormat="false" ht="15.75" hidden="false" customHeight="true" outlineLevel="0" collapsed="false">
      <c r="A37" s="28" t="s">
        <v>285</v>
      </c>
      <c r="B37" s="29" t="s">
        <v>321</v>
      </c>
      <c r="C37" s="30" t="s">
        <v>322</v>
      </c>
    </row>
    <row r="38" customFormat="false" ht="15.75" hidden="false" customHeight="true" outlineLevel="0" collapsed="false">
      <c r="A38" s="28" t="s">
        <v>36</v>
      </c>
      <c r="B38" s="29" t="s">
        <v>321</v>
      </c>
      <c r="C38" s="30" t="s">
        <v>322</v>
      </c>
    </row>
    <row r="39" customFormat="false" ht="15.75" hidden="false" customHeight="true" outlineLevel="0" collapsed="false">
      <c r="A39" s="28" t="s">
        <v>65</v>
      </c>
      <c r="B39" s="29" t="s">
        <v>321</v>
      </c>
      <c r="C39" s="30" t="s">
        <v>322</v>
      </c>
    </row>
    <row r="40" customFormat="false" ht="15.75" hidden="false" customHeight="true" outlineLevel="0" collapsed="false">
      <c r="A40" s="28" t="s">
        <v>196</v>
      </c>
      <c r="B40" s="29" t="s">
        <v>321</v>
      </c>
      <c r="C40" s="30" t="s">
        <v>322</v>
      </c>
    </row>
    <row r="41" customFormat="false" ht="15.75" hidden="false" customHeight="true" outlineLevel="0" collapsed="false">
      <c r="A41" s="28" t="s">
        <v>135</v>
      </c>
      <c r="B41" s="29" t="s">
        <v>323</v>
      </c>
      <c r="C41" s="30" t="s">
        <v>322</v>
      </c>
    </row>
    <row r="42" customFormat="false" ht="15.75" hidden="false" customHeight="true" outlineLevel="0" collapsed="false">
      <c r="A42" s="28" t="s">
        <v>52</v>
      </c>
      <c r="B42" s="29" t="s">
        <v>323</v>
      </c>
      <c r="C42" s="30" t="s">
        <v>322</v>
      </c>
    </row>
    <row r="43" customFormat="false" ht="15.75" hidden="false" customHeight="true" outlineLevel="0" collapsed="false">
      <c r="A43" s="28" t="s">
        <v>269</v>
      </c>
      <c r="B43" s="29" t="s">
        <v>323</v>
      </c>
      <c r="C43" s="30" t="s">
        <v>322</v>
      </c>
    </row>
    <row r="44" customFormat="false" ht="15.75" hidden="false" customHeight="true" outlineLevel="0" collapsed="false">
      <c r="A44" s="28" t="s">
        <v>293</v>
      </c>
      <c r="B44" s="29" t="s">
        <v>323</v>
      </c>
      <c r="C44" s="30" t="s">
        <v>322</v>
      </c>
    </row>
    <row r="45" customFormat="false" ht="15.75" hidden="false" customHeight="true" outlineLevel="0" collapsed="false">
      <c r="A45" s="28" t="s">
        <v>114</v>
      </c>
      <c r="B45" s="29" t="s">
        <v>323</v>
      </c>
      <c r="C45" s="30" t="s">
        <v>322</v>
      </c>
    </row>
    <row r="46" customFormat="false" ht="15.75" hidden="false" customHeight="true" outlineLevel="0" collapsed="false">
      <c r="A46" s="28" t="s">
        <v>266</v>
      </c>
      <c r="B46" s="29" t="s">
        <v>323</v>
      </c>
      <c r="C46" s="30" t="s">
        <v>322</v>
      </c>
    </row>
    <row r="47" customFormat="false" ht="15.75" hidden="false" customHeight="true" outlineLevel="0" collapsed="false">
      <c r="A47" s="32" t="s">
        <v>296</v>
      </c>
      <c r="B47" s="30" t="s">
        <v>323</v>
      </c>
      <c r="C47" s="30" t="s">
        <v>322</v>
      </c>
    </row>
    <row r="48" customFormat="false" ht="15.75" hidden="false" customHeight="true" outlineLevel="0" collapsed="false">
      <c r="A48" s="32" t="s">
        <v>69</v>
      </c>
      <c r="B48" s="30" t="s">
        <v>323</v>
      </c>
      <c r="C48" s="30" t="s">
        <v>322</v>
      </c>
    </row>
    <row r="49" customFormat="false" ht="15.75" hidden="false" customHeight="true" outlineLevel="0" collapsed="false">
      <c r="A49" s="28" t="s">
        <v>328</v>
      </c>
      <c r="B49" s="29" t="s">
        <v>323</v>
      </c>
      <c r="C49" s="30" t="s">
        <v>322</v>
      </c>
    </row>
    <row r="50" customFormat="false" ht="15.75" hidden="false" customHeight="true" outlineLevel="0" collapsed="false">
      <c r="A50" s="28" t="s">
        <v>199</v>
      </c>
      <c r="B50" s="29" t="s">
        <v>323</v>
      </c>
      <c r="C50" s="30" t="s">
        <v>322</v>
      </c>
    </row>
    <row r="51" customFormat="false" ht="15.75" hidden="false" customHeight="true" outlineLevel="0" collapsed="false">
      <c r="A51" s="28" t="s">
        <v>241</v>
      </c>
      <c r="B51" s="29" t="s">
        <v>323</v>
      </c>
      <c r="C51" s="30" t="s">
        <v>322</v>
      </c>
    </row>
    <row r="52" customFormat="false" ht="15.75" hidden="false" customHeight="true" outlineLevel="0" collapsed="false">
      <c r="A52" s="32" t="s">
        <v>288</v>
      </c>
      <c r="B52" s="30" t="s">
        <v>323</v>
      </c>
      <c r="C52" s="30" t="s">
        <v>322</v>
      </c>
    </row>
    <row r="53" customFormat="false" ht="15.75" hidden="false" customHeight="true" outlineLevel="0" collapsed="false">
      <c r="A53" s="28" t="s">
        <v>97</v>
      </c>
      <c r="B53" s="29" t="s">
        <v>329</v>
      </c>
      <c r="C53" s="29" t="s">
        <v>330</v>
      </c>
    </row>
    <row r="54" customFormat="false" ht="15.75" hidden="false" customHeight="true" outlineLevel="0" collapsed="false">
      <c r="A54" s="28" t="s">
        <v>118</v>
      </c>
      <c r="B54" s="29" t="s">
        <v>329</v>
      </c>
      <c r="C54" s="29" t="s">
        <v>330</v>
      </c>
    </row>
    <row r="55" customFormat="false" ht="15.75" hidden="false" customHeight="true" outlineLevel="0" collapsed="false">
      <c r="A55" s="28" t="s">
        <v>205</v>
      </c>
      <c r="B55" s="29" t="s">
        <v>329</v>
      </c>
      <c r="C55" s="29" t="s">
        <v>330</v>
      </c>
    </row>
    <row r="56" customFormat="false" ht="15.75" hidden="false" customHeight="true" outlineLevel="0" collapsed="false">
      <c r="A56" s="28" t="s">
        <v>183</v>
      </c>
      <c r="B56" s="29" t="s">
        <v>329</v>
      </c>
      <c r="C56" s="29" t="s">
        <v>330</v>
      </c>
    </row>
    <row r="57" customFormat="false" ht="15.75" hidden="false" customHeight="true" outlineLevel="0" collapsed="false">
      <c r="A57" s="28" t="s">
        <v>80</v>
      </c>
      <c r="B57" s="31" t="s">
        <v>329</v>
      </c>
      <c r="C57" s="29" t="s">
        <v>330</v>
      </c>
    </row>
    <row r="58" customFormat="false" ht="15.75" hidden="false" customHeight="true" outlineLevel="0" collapsed="false">
      <c r="A58" s="28" t="s">
        <v>112</v>
      </c>
      <c r="B58" s="29" t="s">
        <v>329</v>
      </c>
      <c r="C58" s="29" t="s">
        <v>330</v>
      </c>
    </row>
    <row r="59" customFormat="false" ht="15.75" hidden="false" customHeight="true" outlineLevel="0" collapsed="false">
      <c r="A59" s="28" t="s">
        <v>265</v>
      </c>
      <c r="B59" s="29" t="s">
        <v>329</v>
      </c>
      <c r="C59" s="29" t="s">
        <v>330</v>
      </c>
    </row>
    <row r="60" customFormat="false" ht="15.75" hidden="false" customHeight="true" outlineLevel="0" collapsed="false">
      <c r="A60" s="28" t="s">
        <v>164</v>
      </c>
      <c r="B60" s="29" t="s">
        <v>329</v>
      </c>
      <c r="C60" s="29" t="s">
        <v>330</v>
      </c>
    </row>
    <row r="61" customFormat="false" ht="15.75" hidden="false" customHeight="true" outlineLevel="0" collapsed="false">
      <c r="A61" s="28" t="s">
        <v>72</v>
      </c>
      <c r="B61" s="29" t="s">
        <v>329</v>
      </c>
      <c r="C61" s="29" t="s">
        <v>330</v>
      </c>
    </row>
    <row r="62" customFormat="false" ht="15.75" hidden="false" customHeight="true" outlineLevel="0" collapsed="false">
      <c r="A62" s="28" t="s">
        <v>215</v>
      </c>
      <c r="B62" s="29" t="s">
        <v>329</v>
      </c>
      <c r="C62" s="29" t="s">
        <v>330</v>
      </c>
    </row>
    <row r="63" customFormat="false" ht="15.75" hidden="false" customHeight="true" outlineLevel="0" collapsed="false">
      <c r="A63" s="28" t="s">
        <v>239</v>
      </c>
      <c r="B63" s="29" t="s">
        <v>331</v>
      </c>
      <c r="C63" s="29" t="s">
        <v>330</v>
      </c>
    </row>
    <row r="64" customFormat="false" ht="15.75" hidden="false" customHeight="true" outlineLevel="0" collapsed="false">
      <c r="A64" s="28" t="s">
        <v>286</v>
      </c>
      <c r="B64" s="29" t="s">
        <v>331</v>
      </c>
      <c r="C64" s="29" t="s">
        <v>330</v>
      </c>
    </row>
    <row r="65" customFormat="false" ht="15.75" hidden="false" customHeight="true" outlineLevel="0" collapsed="false">
      <c r="A65" s="28" t="s">
        <v>107</v>
      </c>
      <c r="B65" s="31" t="s">
        <v>331</v>
      </c>
      <c r="C65" s="29" t="s">
        <v>330</v>
      </c>
    </row>
    <row r="66" customFormat="false" ht="15.75" hidden="false" customHeight="true" outlineLevel="0" collapsed="false">
      <c r="A66" s="28" t="s">
        <v>141</v>
      </c>
      <c r="B66" s="29" t="s">
        <v>331</v>
      </c>
      <c r="C66" s="29" t="s">
        <v>330</v>
      </c>
    </row>
    <row r="67" customFormat="false" ht="15.75" hidden="false" customHeight="true" outlineLevel="0" collapsed="false">
      <c r="A67" s="28" t="s">
        <v>151</v>
      </c>
      <c r="B67" s="29" t="s">
        <v>331</v>
      </c>
      <c r="C67" s="29" t="s">
        <v>330</v>
      </c>
    </row>
    <row r="68" customFormat="false" ht="15.75" hidden="false" customHeight="true" outlineLevel="0" collapsed="false">
      <c r="A68" s="28" t="s">
        <v>26</v>
      </c>
      <c r="B68" s="29" t="s">
        <v>331</v>
      </c>
      <c r="C68" s="29" t="s">
        <v>330</v>
      </c>
    </row>
    <row r="69" customFormat="false" ht="15.75" hidden="false" customHeight="true" outlineLevel="0" collapsed="false">
      <c r="A69" s="28" t="s">
        <v>154</v>
      </c>
      <c r="B69" s="29" t="s">
        <v>329</v>
      </c>
      <c r="C69" s="29" t="s">
        <v>330</v>
      </c>
    </row>
    <row r="70" customFormat="false" ht="15.75" hidden="false" customHeight="true" outlineLevel="0" collapsed="false">
      <c r="A70" s="28" t="s">
        <v>77</v>
      </c>
      <c r="B70" s="29" t="s">
        <v>329</v>
      </c>
      <c r="C70" s="29" t="s">
        <v>330</v>
      </c>
    </row>
    <row r="71" customFormat="false" ht="15.75" hidden="false" customHeight="true" outlineLevel="0" collapsed="false">
      <c r="A71" s="28" t="s">
        <v>137</v>
      </c>
      <c r="B71" s="29" t="s">
        <v>329</v>
      </c>
      <c r="C71" s="30" t="s">
        <v>330</v>
      </c>
    </row>
    <row r="72" customFormat="false" ht="15.75" hidden="false" customHeight="true" outlineLevel="0" collapsed="false">
      <c r="A72" s="28" t="s">
        <v>166</v>
      </c>
      <c r="B72" s="29" t="s">
        <v>329</v>
      </c>
      <c r="C72" s="29" t="s">
        <v>330</v>
      </c>
    </row>
    <row r="73" customFormat="false" ht="15.75" hidden="false" customHeight="true" outlineLevel="0" collapsed="false">
      <c r="A73" s="28" t="s">
        <v>74</v>
      </c>
      <c r="B73" s="29" t="s">
        <v>331</v>
      </c>
      <c r="C73" s="29" t="s">
        <v>330</v>
      </c>
    </row>
    <row r="74" customFormat="false" ht="15.75" hidden="false" customHeight="true" outlineLevel="0" collapsed="false">
      <c r="A74" s="32" t="s">
        <v>289</v>
      </c>
      <c r="B74" s="30" t="s">
        <v>331</v>
      </c>
      <c r="C74" s="30" t="s">
        <v>330</v>
      </c>
    </row>
    <row r="75" customFormat="false" ht="15.75" hidden="false" customHeight="true" outlineLevel="0" collapsed="false">
      <c r="A75" s="32" t="s">
        <v>187</v>
      </c>
      <c r="B75" s="30" t="s">
        <v>329</v>
      </c>
      <c r="C75" s="30" t="s">
        <v>330</v>
      </c>
    </row>
    <row r="76" customFormat="false" ht="15.75" hidden="false" customHeight="true" outlineLevel="0" collapsed="false">
      <c r="A76" s="28" t="s">
        <v>128</v>
      </c>
      <c r="B76" s="29" t="s">
        <v>332</v>
      </c>
      <c r="C76" s="29" t="s">
        <v>333</v>
      </c>
    </row>
    <row r="77" customFormat="false" ht="15.75" hidden="false" customHeight="true" outlineLevel="0" collapsed="false">
      <c r="A77" s="28" t="s">
        <v>103</v>
      </c>
      <c r="B77" s="29" t="s">
        <v>332</v>
      </c>
      <c r="C77" s="29" t="s">
        <v>333</v>
      </c>
    </row>
    <row r="78" customFormat="false" ht="15.75" hidden="false" customHeight="true" outlineLevel="0" collapsed="false">
      <c r="A78" s="28" t="s">
        <v>110</v>
      </c>
      <c r="B78" s="29" t="s">
        <v>332</v>
      </c>
      <c r="C78" s="29" t="s">
        <v>333</v>
      </c>
    </row>
    <row r="79" customFormat="false" ht="15.75" hidden="false" customHeight="true" outlineLevel="0" collapsed="false">
      <c r="A79" s="28" t="s">
        <v>184</v>
      </c>
      <c r="B79" s="29" t="s">
        <v>332</v>
      </c>
      <c r="C79" s="29" t="s">
        <v>333</v>
      </c>
    </row>
    <row r="80" customFormat="false" ht="15.75" hidden="false" customHeight="true" outlineLevel="0" collapsed="false">
      <c r="A80" s="28" t="s">
        <v>109</v>
      </c>
      <c r="B80" s="29" t="s">
        <v>332</v>
      </c>
      <c r="C80" s="29" t="s">
        <v>333</v>
      </c>
    </row>
    <row r="81" customFormat="false" ht="15.75" hidden="false" customHeight="true" outlineLevel="0" collapsed="false">
      <c r="A81" s="28" t="s">
        <v>270</v>
      </c>
      <c r="B81" s="29" t="s">
        <v>332</v>
      </c>
      <c r="C81" s="29" t="s">
        <v>333</v>
      </c>
    </row>
    <row r="82" customFormat="false" ht="15.75" hidden="false" customHeight="true" outlineLevel="0" collapsed="false">
      <c r="A82" s="28" t="s">
        <v>81</v>
      </c>
      <c r="B82" s="29" t="s">
        <v>332</v>
      </c>
      <c r="C82" s="30" t="s">
        <v>333</v>
      </c>
    </row>
    <row r="83" customFormat="false" ht="15.75" hidden="false" customHeight="true" outlineLevel="0" collapsed="false">
      <c r="A83" s="28" t="s">
        <v>197</v>
      </c>
      <c r="B83" s="29" t="s">
        <v>332</v>
      </c>
      <c r="C83" s="29" t="s">
        <v>333</v>
      </c>
    </row>
    <row r="84" customFormat="false" ht="15.75" hidden="false" customHeight="true" outlineLevel="0" collapsed="false">
      <c r="A84" s="28" t="s">
        <v>172</v>
      </c>
      <c r="B84" s="29" t="s">
        <v>332</v>
      </c>
      <c r="C84" s="29" t="s">
        <v>333</v>
      </c>
    </row>
    <row r="85" customFormat="false" ht="15.75" hidden="false" customHeight="true" outlineLevel="0" collapsed="false">
      <c r="A85" s="28" t="s">
        <v>198</v>
      </c>
      <c r="B85" s="29" t="s">
        <v>332</v>
      </c>
      <c r="C85" s="29" t="s">
        <v>333</v>
      </c>
    </row>
    <row r="86" customFormat="false" ht="15.75" hidden="false" customHeight="true" outlineLevel="0" collapsed="false">
      <c r="A86" s="28" t="s">
        <v>177</v>
      </c>
      <c r="B86" s="29" t="s">
        <v>332</v>
      </c>
      <c r="C86" s="29" t="s">
        <v>333</v>
      </c>
    </row>
    <row r="87" customFormat="false" ht="15.75" hidden="false" customHeight="true" outlineLevel="0" collapsed="false">
      <c r="A87" s="28" t="s">
        <v>117</v>
      </c>
      <c r="B87" s="29" t="s">
        <v>332</v>
      </c>
      <c r="C87" s="29" t="s">
        <v>333</v>
      </c>
    </row>
    <row r="88" customFormat="false" ht="15.75" hidden="false" customHeight="true" outlineLevel="0" collapsed="false">
      <c r="A88" s="28" t="s">
        <v>67</v>
      </c>
      <c r="B88" s="29" t="s">
        <v>332</v>
      </c>
      <c r="C88" s="29" t="s">
        <v>333</v>
      </c>
    </row>
    <row r="89" customFormat="false" ht="15.75" hidden="false" customHeight="true" outlineLevel="0" collapsed="false">
      <c r="A89" s="28" t="s">
        <v>211</v>
      </c>
      <c r="B89" s="29" t="s">
        <v>332</v>
      </c>
      <c r="C89" s="29" t="s">
        <v>333</v>
      </c>
    </row>
    <row r="90" customFormat="false" ht="15.75" hidden="false" customHeight="true" outlineLevel="0" collapsed="false">
      <c r="A90" s="28" t="s">
        <v>23</v>
      </c>
      <c r="B90" s="29" t="s">
        <v>332</v>
      </c>
      <c r="C90" s="29" t="s">
        <v>333</v>
      </c>
    </row>
    <row r="91" customFormat="false" ht="15.75" hidden="false" customHeight="true" outlineLevel="0" collapsed="false">
      <c r="A91" s="28" t="s">
        <v>195</v>
      </c>
      <c r="B91" s="29" t="s">
        <v>332</v>
      </c>
      <c r="C91" s="29" t="s">
        <v>333</v>
      </c>
    </row>
    <row r="92" customFormat="false" ht="15.75" hidden="false" customHeight="true" outlineLevel="0" collapsed="false">
      <c r="A92" s="28" t="s">
        <v>136</v>
      </c>
      <c r="B92" s="29" t="s">
        <v>332</v>
      </c>
      <c r="C92" s="29" t="s">
        <v>333</v>
      </c>
    </row>
    <row r="93" customFormat="false" ht="15.75" hidden="false" customHeight="true" outlineLevel="0" collapsed="false">
      <c r="A93" s="28" t="s">
        <v>33</v>
      </c>
      <c r="B93" s="29" t="s">
        <v>332</v>
      </c>
      <c r="C93" s="29" t="s">
        <v>333</v>
      </c>
    </row>
    <row r="94" customFormat="false" ht="15.75" hidden="false" customHeight="true" outlineLevel="0" collapsed="false">
      <c r="A94" s="28" t="s">
        <v>274</v>
      </c>
      <c r="B94" s="29" t="s">
        <v>332</v>
      </c>
      <c r="C94" s="31" t="s">
        <v>333</v>
      </c>
    </row>
    <row r="95" customFormat="false" ht="15.75" hidden="false" customHeight="true" outlineLevel="0" collapsed="false">
      <c r="A95" s="28" t="s">
        <v>264</v>
      </c>
      <c r="B95" s="29" t="s">
        <v>332</v>
      </c>
      <c r="C95" s="29" t="s">
        <v>333</v>
      </c>
    </row>
    <row r="96" customFormat="false" ht="15.75" hidden="false" customHeight="true" outlineLevel="0" collapsed="false">
      <c r="A96" s="28" t="s">
        <v>252</v>
      </c>
      <c r="B96" s="29" t="s">
        <v>332</v>
      </c>
      <c r="C96" s="29" t="s">
        <v>333</v>
      </c>
    </row>
    <row r="97" customFormat="false" ht="15.75" hidden="false" customHeight="true" outlineLevel="0" collapsed="false">
      <c r="A97" s="28" t="s">
        <v>317</v>
      </c>
      <c r="B97" s="29" t="s">
        <v>332</v>
      </c>
      <c r="C97" s="29" t="s">
        <v>333</v>
      </c>
    </row>
    <row r="98" customFormat="false" ht="15.75" hidden="false" customHeight="true" outlineLevel="0" collapsed="false">
      <c r="A98" s="28" t="s">
        <v>169</v>
      </c>
      <c r="B98" s="29" t="s">
        <v>332</v>
      </c>
      <c r="C98" s="29" t="s">
        <v>333</v>
      </c>
    </row>
    <row r="99" customFormat="false" ht="15.75" hidden="false" customHeight="true" outlineLevel="0" collapsed="false">
      <c r="A99" s="28" t="s">
        <v>218</v>
      </c>
      <c r="B99" s="29" t="s">
        <v>332</v>
      </c>
      <c r="C99" s="29" t="s">
        <v>333</v>
      </c>
    </row>
    <row r="100" customFormat="false" ht="15.75" hidden="false" customHeight="true" outlineLevel="0" collapsed="false">
      <c r="A100" s="32" t="s">
        <v>300</v>
      </c>
      <c r="B100" s="30" t="s">
        <v>332</v>
      </c>
      <c r="C100" s="30" t="s">
        <v>333</v>
      </c>
    </row>
    <row r="101" customFormat="false" ht="15.75" hidden="false" customHeight="true" outlineLevel="0" collapsed="false">
      <c r="A101" s="28" t="s">
        <v>25</v>
      </c>
      <c r="B101" s="29" t="s">
        <v>332</v>
      </c>
      <c r="C101" s="29" t="s">
        <v>333</v>
      </c>
    </row>
    <row r="102" customFormat="false" ht="15.75" hidden="false" customHeight="true" outlineLevel="0" collapsed="false">
      <c r="A102" s="28" t="s">
        <v>176</v>
      </c>
      <c r="B102" s="29" t="s">
        <v>332</v>
      </c>
      <c r="C102" s="29" t="s">
        <v>333</v>
      </c>
    </row>
    <row r="103" customFormat="false" ht="15.75" hidden="false" customHeight="true" outlineLevel="0" collapsed="false">
      <c r="A103" s="28" t="s">
        <v>176</v>
      </c>
      <c r="B103" s="29" t="s">
        <v>332</v>
      </c>
      <c r="C103" s="29" t="s">
        <v>333</v>
      </c>
    </row>
    <row r="104" customFormat="false" ht="15.75" hidden="false" customHeight="true" outlineLevel="0" collapsed="false">
      <c r="A104" s="28" t="s">
        <v>176</v>
      </c>
      <c r="B104" s="29" t="s">
        <v>332</v>
      </c>
      <c r="C104" s="29" t="s">
        <v>333</v>
      </c>
    </row>
    <row r="105" customFormat="false" ht="15.75" hidden="false" customHeight="true" outlineLevel="0" collapsed="false">
      <c r="A105" s="28" t="s">
        <v>176</v>
      </c>
      <c r="B105" s="29" t="s">
        <v>332</v>
      </c>
      <c r="C105" s="29" t="s">
        <v>333</v>
      </c>
    </row>
    <row r="106" customFormat="false" ht="15.75" hidden="false" customHeight="true" outlineLevel="0" collapsed="false">
      <c r="A106" s="32" t="s">
        <v>317</v>
      </c>
      <c r="B106" s="31" t="s">
        <v>332</v>
      </c>
      <c r="C106" s="29" t="s">
        <v>333</v>
      </c>
    </row>
    <row r="107" customFormat="false" ht="15.75" hidden="false" customHeight="true" outlineLevel="0" collapsed="false">
      <c r="A107" s="28" t="s">
        <v>281</v>
      </c>
      <c r="B107" s="29" t="s">
        <v>334</v>
      </c>
      <c r="C107" s="29" t="s">
        <v>335</v>
      </c>
    </row>
    <row r="108" customFormat="false" ht="15.75" hidden="false" customHeight="true" outlineLevel="0" collapsed="false">
      <c r="A108" s="28" t="s">
        <v>290</v>
      </c>
      <c r="B108" s="29" t="s">
        <v>334</v>
      </c>
      <c r="C108" s="29" t="s">
        <v>335</v>
      </c>
    </row>
    <row r="109" customFormat="false" ht="15.75" hidden="false" customHeight="true" outlineLevel="0" collapsed="false">
      <c r="A109" s="28" t="s">
        <v>315</v>
      </c>
      <c r="B109" s="29" t="s">
        <v>334</v>
      </c>
      <c r="C109" s="29" t="s">
        <v>335</v>
      </c>
    </row>
    <row r="110" customFormat="false" ht="15.75" hidden="false" customHeight="true" outlineLevel="0" collapsed="false">
      <c r="A110" s="28" t="s">
        <v>37</v>
      </c>
      <c r="B110" s="29" t="s">
        <v>334</v>
      </c>
      <c r="C110" s="29" t="s">
        <v>335</v>
      </c>
    </row>
    <row r="111" customFormat="false" ht="15.75" hidden="false" customHeight="true" outlineLevel="0" collapsed="false">
      <c r="A111" s="28" t="s">
        <v>163</v>
      </c>
      <c r="B111" s="29" t="s">
        <v>334</v>
      </c>
      <c r="C111" s="29" t="s">
        <v>335</v>
      </c>
    </row>
    <row r="112" customFormat="false" ht="15.75" hidden="false" customHeight="true" outlineLevel="0" collapsed="false">
      <c r="A112" s="28" t="s">
        <v>120</v>
      </c>
      <c r="B112" s="29" t="s">
        <v>334</v>
      </c>
      <c r="C112" s="29" t="s">
        <v>335</v>
      </c>
    </row>
    <row r="113" customFormat="false" ht="15.75" hidden="false" customHeight="true" outlineLevel="0" collapsed="false">
      <c r="A113" s="28" t="s">
        <v>127</v>
      </c>
      <c r="B113" s="29" t="s">
        <v>324</v>
      </c>
      <c r="C113" s="29" t="s">
        <v>335</v>
      </c>
    </row>
    <row r="114" customFormat="false" ht="15.75" hidden="false" customHeight="true" outlineLevel="0" collapsed="false">
      <c r="A114" s="28" t="s">
        <v>122</v>
      </c>
      <c r="B114" s="29" t="s">
        <v>336</v>
      </c>
      <c r="C114" s="29" t="s">
        <v>335</v>
      </c>
    </row>
    <row r="115" customFormat="false" ht="15.75" hidden="false" customHeight="true" outlineLevel="0" collapsed="false">
      <c r="A115" s="28" t="s">
        <v>337</v>
      </c>
      <c r="B115" s="29" t="s">
        <v>336</v>
      </c>
      <c r="C115" s="29" t="s">
        <v>335</v>
      </c>
    </row>
    <row r="116" customFormat="false" ht="15.75" hidden="false" customHeight="true" outlineLevel="0" collapsed="false">
      <c r="A116" s="28" t="s">
        <v>174</v>
      </c>
      <c r="B116" s="29" t="s">
        <v>336</v>
      </c>
      <c r="C116" s="29" t="s">
        <v>335</v>
      </c>
    </row>
    <row r="117" customFormat="false" ht="15.75" hidden="false" customHeight="true" outlineLevel="0" collapsed="false">
      <c r="A117" s="28" t="s">
        <v>51</v>
      </c>
      <c r="B117" s="30" t="s">
        <v>336</v>
      </c>
      <c r="C117" s="29" t="s">
        <v>335</v>
      </c>
    </row>
    <row r="118" customFormat="false" ht="15.75" hidden="false" customHeight="true" outlineLevel="0" collapsed="false">
      <c r="A118" s="28" t="s">
        <v>182</v>
      </c>
      <c r="B118" s="29" t="s">
        <v>336</v>
      </c>
      <c r="C118" s="29" t="s">
        <v>335</v>
      </c>
    </row>
    <row r="119" customFormat="false" ht="15.75" hidden="false" customHeight="true" outlineLevel="0" collapsed="false">
      <c r="A119" s="28" t="s">
        <v>47</v>
      </c>
      <c r="B119" s="29" t="s">
        <v>336</v>
      </c>
      <c r="C119" s="29" t="s">
        <v>335</v>
      </c>
    </row>
    <row r="120" customFormat="false" ht="15.75" hidden="false" customHeight="true" outlineLevel="0" collapsed="false">
      <c r="A120" s="28" t="s">
        <v>259</v>
      </c>
      <c r="B120" s="29" t="s">
        <v>336</v>
      </c>
      <c r="C120" s="29" t="s">
        <v>335</v>
      </c>
    </row>
    <row r="121" customFormat="false" ht="15.75" hidden="false" customHeight="true" outlineLevel="0" collapsed="false">
      <c r="A121" s="28" t="s">
        <v>206</v>
      </c>
      <c r="B121" s="29" t="s">
        <v>336</v>
      </c>
      <c r="C121" s="29" t="s">
        <v>335</v>
      </c>
    </row>
    <row r="122" customFormat="false" ht="15.75" hidden="false" customHeight="true" outlineLevel="0" collapsed="false">
      <c r="A122" s="28" t="s">
        <v>121</v>
      </c>
      <c r="B122" s="29" t="s">
        <v>336</v>
      </c>
      <c r="C122" s="29" t="s">
        <v>335</v>
      </c>
    </row>
    <row r="123" customFormat="false" ht="15.75" hidden="false" customHeight="true" outlineLevel="0" collapsed="false">
      <c r="A123" s="28" t="s">
        <v>181</v>
      </c>
      <c r="B123" s="29" t="s">
        <v>336</v>
      </c>
      <c r="C123" s="29" t="s">
        <v>335</v>
      </c>
    </row>
    <row r="124" customFormat="false" ht="15.75" hidden="false" customHeight="true" outlineLevel="0" collapsed="false">
      <c r="A124" s="28" t="s">
        <v>267</v>
      </c>
      <c r="B124" s="29" t="s">
        <v>336</v>
      </c>
      <c r="C124" s="29" t="s">
        <v>335</v>
      </c>
    </row>
    <row r="125" customFormat="false" ht="15.75" hidden="false" customHeight="true" outlineLevel="0" collapsed="false">
      <c r="A125" s="28" t="s">
        <v>152</v>
      </c>
      <c r="B125" s="29" t="s">
        <v>334</v>
      </c>
      <c r="C125" s="29" t="s">
        <v>335</v>
      </c>
    </row>
    <row r="126" customFormat="false" ht="15.75" hidden="false" customHeight="true" outlineLevel="0" collapsed="false">
      <c r="A126" s="28" t="s">
        <v>282</v>
      </c>
      <c r="B126" s="29" t="s">
        <v>336</v>
      </c>
      <c r="C126" s="29" t="s">
        <v>335</v>
      </c>
    </row>
    <row r="127" customFormat="false" ht="15.75" hidden="false" customHeight="true" outlineLevel="0" collapsed="false">
      <c r="A127" s="31" t="s">
        <v>48</v>
      </c>
      <c r="B127" s="29" t="s">
        <v>336</v>
      </c>
      <c r="C127" s="29" t="s">
        <v>335</v>
      </c>
    </row>
    <row r="128" customFormat="false" ht="15.75" hidden="false" customHeight="true" outlineLevel="0" collapsed="false">
      <c r="A128" s="28" t="s">
        <v>116</v>
      </c>
      <c r="B128" s="29" t="s">
        <v>338</v>
      </c>
      <c r="C128" s="29" t="s">
        <v>339</v>
      </c>
    </row>
    <row r="129" customFormat="false" ht="15.75" hidden="false" customHeight="true" outlineLevel="0" collapsed="false">
      <c r="A129" s="28" t="s">
        <v>60</v>
      </c>
      <c r="B129" s="29" t="s">
        <v>338</v>
      </c>
      <c r="C129" s="29" t="s">
        <v>339</v>
      </c>
    </row>
    <row r="130" customFormat="false" ht="15.75" hidden="false" customHeight="true" outlineLevel="0" collapsed="false">
      <c r="A130" s="28" t="s">
        <v>59</v>
      </c>
      <c r="B130" s="29" t="s">
        <v>338</v>
      </c>
      <c r="C130" s="29" t="s">
        <v>339</v>
      </c>
    </row>
    <row r="131" customFormat="false" ht="15.75" hidden="false" customHeight="true" outlineLevel="0" collapsed="false">
      <c r="A131" s="28" t="s">
        <v>38</v>
      </c>
      <c r="B131" s="29" t="s">
        <v>338</v>
      </c>
      <c r="C131" s="29" t="s">
        <v>339</v>
      </c>
    </row>
    <row r="132" customFormat="false" ht="15.75" hidden="false" customHeight="true" outlineLevel="0" collapsed="false">
      <c r="A132" s="28" t="s">
        <v>92</v>
      </c>
      <c r="B132" s="29" t="s">
        <v>338</v>
      </c>
      <c r="C132" s="29" t="s">
        <v>339</v>
      </c>
    </row>
    <row r="133" customFormat="false" ht="15.75" hidden="false" customHeight="true" outlineLevel="0" collapsed="false">
      <c r="A133" s="28" t="s">
        <v>94</v>
      </c>
      <c r="B133" s="29" t="s">
        <v>338</v>
      </c>
      <c r="C133" s="29" t="s">
        <v>339</v>
      </c>
    </row>
    <row r="134" customFormat="false" ht="15.75" hidden="false" customHeight="true" outlineLevel="0" collapsed="false">
      <c r="A134" s="28" t="s">
        <v>90</v>
      </c>
      <c r="B134" s="29" t="s">
        <v>338</v>
      </c>
      <c r="C134" s="29" t="s">
        <v>339</v>
      </c>
    </row>
    <row r="135" customFormat="false" ht="15.75" hidden="false" customHeight="true" outlineLevel="0" collapsed="false">
      <c r="A135" s="28" t="s">
        <v>194</v>
      </c>
      <c r="B135" s="29" t="s">
        <v>340</v>
      </c>
      <c r="C135" s="29" t="s">
        <v>339</v>
      </c>
    </row>
    <row r="136" customFormat="false" ht="15.75" hidden="false" customHeight="true" outlineLevel="0" collapsed="false">
      <c r="A136" s="28" t="s">
        <v>133</v>
      </c>
      <c r="B136" s="29" t="s">
        <v>340</v>
      </c>
      <c r="C136" s="29" t="s">
        <v>339</v>
      </c>
    </row>
    <row r="137" customFormat="false" ht="15.75" hidden="false" customHeight="true" outlineLevel="0" collapsed="false">
      <c r="A137" s="28" t="s">
        <v>49</v>
      </c>
      <c r="B137" s="29" t="s">
        <v>340</v>
      </c>
      <c r="C137" s="29" t="s">
        <v>339</v>
      </c>
    </row>
    <row r="138" customFormat="false" ht="15.75" hidden="false" customHeight="true" outlineLevel="0" collapsed="false">
      <c r="A138" s="28" t="s">
        <v>235</v>
      </c>
      <c r="B138" s="29" t="s">
        <v>340</v>
      </c>
      <c r="C138" s="29" t="s">
        <v>339</v>
      </c>
    </row>
    <row r="139" customFormat="false" ht="15.75" hidden="false" customHeight="true" outlineLevel="0" collapsed="false">
      <c r="A139" s="28" t="s">
        <v>134</v>
      </c>
      <c r="B139" s="29" t="s">
        <v>340</v>
      </c>
      <c r="C139" s="29" t="s">
        <v>339</v>
      </c>
    </row>
    <row r="140" customFormat="false" ht="15.75" hidden="false" customHeight="true" outlineLevel="0" collapsed="false">
      <c r="A140" s="28" t="s">
        <v>247</v>
      </c>
      <c r="B140" s="29" t="s">
        <v>340</v>
      </c>
      <c r="C140" s="29" t="s">
        <v>339</v>
      </c>
    </row>
    <row r="141" customFormat="false" ht="15.75" hidden="false" customHeight="true" outlineLevel="0" collapsed="false">
      <c r="A141" s="28" t="s">
        <v>201</v>
      </c>
      <c r="B141" s="29" t="s">
        <v>340</v>
      </c>
      <c r="C141" s="29" t="s">
        <v>339</v>
      </c>
    </row>
    <row r="142" customFormat="false" ht="15.75" hidden="false" customHeight="true" outlineLevel="0" collapsed="false">
      <c r="A142" s="28" t="s">
        <v>268</v>
      </c>
      <c r="B142" s="29" t="s">
        <v>340</v>
      </c>
      <c r="C142" s="29" t="s">
        <v>339</v>
      </c>
    </row>
    <row r="143" customFormat="false" ht="15.75" hidden="false" customHeight="true" outlineLevel="0" collapsed="false">
      <c r="A143" s="28" t="s">
        <v>61</v>
      </c>
      <c r="B143" s="29" t="s">
        <v>340</v>
      </c>
      <c r="C143" s="29" t="s">
        <v>339</v>
      </c>
    </row>
    <row r="144" customFormat="false" ht="15.75" hidden="false" customHeight="true" outlineLevel="0" collapsed="false">
      <c r="A144" s="28" t="s">
        <v>341</v>
      </c>
      <c r="B144" s="29" t="s">
        <v>340</v>
      </c>
      <c r="C144" s="29" t="s">
        <v>339</v>
      </c>
    </row>
    <row r="145" customFormat="false" ht="15.75" hidden="false" customHeight="true" outlineLevel="0" collapsed="false">
      <c r="A145" s="28" t="s">
        <v>287</v>
      </c>
      <c r="B145" s="29" t="s">
        <v>340</v>
      </c>
      <c r="C145" s="29" t="s">
        <v>339</v>
      </c>
    </row>
    <row r="146" customFormat="false" ht="15.75" hidden="false" customHeight="true" outlineLevel="0" collapsed="false">
      <c r="A146" s="28" t="s">
        <v>83</v>
      </c>
      <c r="B146" s="29" t="s">
        <v>340</v>
      </c>
      <c r="C146" s="29" t="s">
        <v>339</v>
      </c>
    </row>
    <row r="147" customFormat="false" ht="15.75" hidden="false" customHeight="true" outlineLevel="0" collapsed="false">
      <c r="A147" s="28" t="s">
        <v>142</v>
      </c>
      <c r="B147" s="29" t="s">
        <v>340</v>
      </c>
      <c r="C147" s="29" t="s">
        <v>339</v>
      </c>
    </row>
    <row r="148" customFormat="false" ht="15.75" hidden="false" customHeight="true" outlineLevel="0" collapsed="false">
      <c r="A148" s="28" t="s">
        <v>46</v>
      </c>
      <c r="B148" s="29" t="s">
        <v>327</v>
      </c>
      <c r="C148" s="29" t="s">
        <v>339</v>
      </c>
    </row>
    <row r="149" customFormat="false" ht="15.75" hidden="false" customHeight="true" outlineLevel="0" collapsed="false">
      <c r="A149" s="28" t="s">
        <v>294</v>
      </c>
      <c r="B149" s="29" t="s">
        <v>340</v>
      </c>
      <c r="C149" s="29" t="s">
        <v>339</v>
      </c>
    </row>
    <row r="150" customFormat="false" ht="15.75" hidden="false" customHeight="true" outlineLevel="0" collapsed="false">
      <c r="A150" s="28" t="s">
        <v>292</v>
      </c>
      <c r="B150" s="29" t="s">
        <v>342</v>
      </c>
      <c r="C150" s="29" t="s">
        <v>339</v>
      </c>
    </row>
    <row r="151" customFormat="false" ht="15.75" hidden="false" customHeight="true" outlineLevel="0" collapsed="false">
      <c r="A151" s="28" t="s">
        <v>70</v>
      </c>
      <c r="B151" s="29" t="s">
        <v>342</v>
      </c>
      <c r="C151" s="29" t="s">
        <v>339</v>
      </c>
    </row>
    <row r="152" customFormat="false" ht="15.75" hidden="false" customHeight="true" outlineLevel="0" collapsed="false">
      <c r="A152" s="28" t="s">
        <v>68</v>
      </c>
      <c r="B152" s="29" t="s">
        <v>342</v>
      </c>
      <c r="C152" s="29" t="s">
        <v>339</v>
      </c>
    </row>
    <row r="153" customFormat="false" ht="15.75" hidden="false" customHeight="true" outlineLevel="0" collapsed="false">
      <c r="A153" s="28" t="s">
        <v>233</v>
      </c>
      <c r="B153" s="29" t="s">
        <v>340</v>
      </c>
      <c r="C153" s="29" t="s">
        <v>339</v>
      </c>
    </row>
    <row r="154" customFormat="false" ht="15.75" hidden="false" customHeight="true" outlineLevel="0" collapsed="false">
      <c r="A154" s="28" t="s">
        <v>233</v>
      </c>
      <c r="B154" s="29" t="s">
        <v>340</v>
      </c>
      <c r="C154" s="29" t="s">
        <v>339</v>
      </c>
    </row>
    <row r="155" customFormat="false" ht="15.75" hidden="false" customHeight="true" outlineLevel="0" collapsed="false">
      <c r="A155" s="28" t="s">
        <v>272</v>
      </c>
      <c r="B155" s="29" t="s">
        <v>340</v>
      </c>
      <c r="C155" s="29" t="s">
        <v>339</v>
      </c>
    </row>
    <row r="156" customFormat="false" ht="15.75" hidden="false" customHeight="true" outlineLevel="0" collapsed="false">
      <c r="A156" s="32" t="s">
        <v>139</v>
      </c>
      <c r="B156" s="30" t="s">
        <v>342</v>
      </c>
      <c r="C156" s="30" t="s">
        <v>339</v>
      </c>
    </row>
    <row r="157" customFormat="false" ht="15.75" hidden="false" customHeight="true" outlineLevel="0" collapsed="false">
      <c r="A157" s="32" t="s">
        <v>299</v>
      </c>
      <c r="B157" s="30" t="s">
        <v>340</v>
      </c>
      <c r="C157" s="30" t="s">
        <v>339</v>
      </c>
    </row>
    <row r="158" customFormat="false" ht="15.75" hidden="false" customHeight="true" outlineLevel="0" collapsed="false">
      <c r="A158" s="32" t="s">
        <v>126</v>
      </c>
      <c r="B158" s="30" t="s">
        <v>340</v>
      </c>
      <c r="C158" s="30" t="s">
        <v>339</v>
      </c>
    </row>
    <row r="159" customFormat="false" ht="15.75" hidden="false" customHeight="true" outlineLevel="0" collapsed="false">
      <c r="A159" s="33" t="s">
        <v>125</v>
      </c>
      <c r="B159" s="29" t="s">
        <v>338</v>
      </c>
      <c r="C159" s="29" t="s">
        <v>339</v>
      </c>
    </row>
    <row r="160" customFormat="false" ht="15.75" hidden="false" customHeight="true" outlineLevel="0" collapsed="false">
      <c r="A160" s="28" t="s">
        <v>262</v>
      </c>
      <c r="B160" s="29" t="s">
        <v>343</v>
      </c>
      <c r="C160" s="29" t="s">
        <v>343</v>
      </c>
    </row>
    <row r="161" customFormat="false" ht="15.75" hidden="false" customHeight="true" outlineLevel="0" collapsed="false">
      <c r="A161" s="28" t="s">
        <v>175</v>
      </c>
      <c r="B161" s="29" t="s">
        <v>343</v>
      </c>
      <c r="C161" s="29" t="s">
        <v>343</v>
      </c>
    </row>
    <row r="162" customFormat="false" ht="15.75" hidden="false" customHeight="true" outlineLevel="0" collapsed="false">
      <c r="A162" s="28" t="s">
        <v>208</v>
      </c>
      <c r="B162" s="29" t="s">
        <v>344</v>
      </c>
      <c r="C162" s="29" t="s">
        <v>345</v>
      </c>
    </row>
    <row r="163" customFormat="false" ht="15.75" hidden="false" customHeight="true" outlineLevel="0" collapsed="false">
      <c r="A163" s="28" t="s">
        <v>203</v>
      </c>
      <c r="B163" s="29" t="s">
        <v>344</v>
      </c>
      <c r="C163" s="29" t="s">
        <v>345</v>
      </c>
    </row>
    <row r="164" customFormat="false" ht="15.75" hidden="false" customHeight="true" outlineLevel="0" collapsed="false">
      <c r="A164" s="28" t="s">
        <v>144</v>
      </c>
      <c r="B164" s="29" t="s">
        <v>344</v>
      </c>
      <c r="C164" s="29" t="s">
        <v>345</v>
      </c>
    </row>
    <row r="165" customFormat="false" ht="15.75" hidden="false" customHeight="true" outlineLevel="0" collapsed="false">
      <c r="A165" s="28" t="s">
        <v>258</v>
      </c>
      <c r="B165" s="29" t="s">
        <v>344</v>
      </c>
      <c r="C165" s="29" t="s">
        <v>345</v>
      </c>
    </row>
    <row r="166" customFormat="false" ht="15.75" hidden="false" customHeight="true" outlineLevel="0" collapsed="false">
      <c r="A166" s="28" t="s">
        <v>100</v>
      </c>
      <c r="B166" s="29" t="s">
        <v>344</v>
      </c>
      <c r="C166" s="29" t="s">
        <v>345</v>
      </c>
    </row>
    <row r="167" customFormat="false" ht="15.75" hidden="false" customHeight="true" outlineLevel="0" collapsed="false">
      <c r="A167" s="28" t="s">
        <v>148</v>
      </c>
      <c r="B167" s="29" t="s">
        <v>346</v>
      </c>
      <c r="C167" s="29" t="s">
        <v>345</v>
      </c>
    </row>
    <row r="168" customFormat="false" ht="15.75" hidden="false" customHeight="true" outlineLevel="0" collapsed="false">
      <c r="A168" s="28" t="s">
        <v>167</v>
      </c>
      <c r="B168" s="29" t="s">
        <v>347</v>
      </c>
      <c r="C168" s="29" t="s">
        <v>345</v>
      </c>
    </row>
    <row r="169" customFormat="false" ht="15.75" hidden="false" customHeight="true" outlineLevel="0" collapsed="false">
      <c r="A169" s="28" t="s">
        <v>278</v>
      </c>
      <c r="B169" s="29" t="s">
        <v>347</v>
      </c>
      <c r="C169" s="29" t="s">
        <v>345</v>
      </c>
    </row>
    <row r="170" customFormat="false" ht="15.75" hidden="false" customHeight="true" outlineLevel="0" collapsed="false">
      <c r="A170" s="28" t="s">
        <v>143</v>
      </c>
      <c r="B170" s="29" t="s">
        <v>347</v>
      </c>
      <c r="C170" s="29" t="s">
        <v>345</v>
      </c>
    </row>
    <row r="171" customFormat="false" ht="15.75" hidden="false" customHeight="true" outlineLevel="0" collapsed="false">
      <c r="A171" s="28" t="s">
        <v>204</v>
      </c>
      <c r="B171" s="29" t="s">
        <v>347</v>
      </c>
      <c r="C171" s="29" t="s">
        <v>345</v>
      </c>
    </row>
    <row r="172" customFormat="false" ht="15.75" hidden="false" customHeight="true" outlineLevel="0" collapsed="false">
      <c r="A172" s="28" t="s">
        <v>283</v>
      </c>
      <c r="B172" s="29" t="s">
        <v>347</v>
      </c>
      <c r="C172" s="29" t="s">
        <v>345</v>
      </c>
    </row>
    <row r="173" customFormat="false" ht="15.75" hidden="false" customHeight="true" outlineLevel="0" collapsed="false">
      <c r="A173" s="28" t="s">
        <v>214</v>
      </c>
      <c r="B173" s="29" t="s">
        <v>347</v>
      </c>
      <c r="C173" s="29" t="s">
        <v>345</v>
      </c>
    </row>
    <row r="174" customFormat="false" ht="15.75" hidden="false" customHeight="true" outlineLevel="0" collapsed="false">
      <c r="A174" s="28" t="s">
        <v>223</v>
      </c>
      <c r="B174" s="29" t="s">
        <v>347</v>
      </c>
      <c r="C174" s="29" t="s">
        <v>345</v>
      </c>
    </row>
    <row r="175" customFormat="false" ht="15.75" hidden="false" customHeight="true" outlineLevel="0" collapsed="false">
      <c r="A175" s="28" t="s">
        <v>124</v>
      </c>
      <c r="B175" s="29" t="s">
        <v>348</v>
      </c>
      <c r="C175" s="29" t="s">
        <v>345</v>
      </c>
    </row>
    <row r="176" customFormat="false" ht="15.75" hidden="false" customHeight="true" outlineLevel="0" collapsed="false">
      <c r="A176" s="28" t="s">
        <v>188</v>
      </c>
      <c r="B176" s="29" t="s">
        <v>348</v>
      </c>
      <c r="C176" s="29" t="s">
        <v>345</v>
      </c>
    </row>
    <row r="177" customFormat="false" ht="15.75" hidden="false" customHeight="true" outlineLevel="0" collapsed="false">
      <c r="A177" s="28" t="s">
        <v>41</v>
      </c>
      <c r="B177" s="29" t="s">
        <v>346</v>
      </c>
      <c r="C177" s="29" t="s">
        <v>345</v>
      </c>
    </row>
    <row r="178" customFormat="false" ht="15.75" hidden="false" customHeight="true" outlineLevel="0" collapsed="false">
      <c r="A178" s="28" t="s">
        <v>58</v>
      </c>
      <c r="B178" s="29" t="s">
        <v>346</v>
      </c>
      <c r="C178" s="29" t="s">
        <v>345</v>
      </c>
    </row>
    <row r="179" customFormat="false" ht="15.75" hidden="false" customHeight="true" outlineLevel="0" collapsed="false">
      <c r="A179" s="28" t="s">
        <v>234</v>
      </c>
      <c r="B179" s="29" t="s">
        <v>346</v>
      </c>
      <c r="C179" s="29" t="s">
        <v>345</v>
      </c>
    </row>
    <row r="180" customFormat="false" ht="15.75" hidden="false" customHeight="true" outlineLevel="0" collapsed="false">
      <c r="A180" s="28" t="s">
        <v>276</v>
      </c>
      <c r="B180" s="29" t="s">
        <v>346</v>
      </c>
      <c r="C180" s="29" t="s">
        <v>345</v>
      </c>
    </row>
    <row r="181" customFormat="false" ht="15.75" hidden="false" customHeight="true" outlineLevel="0" collapsed="false">
      <c r="A181" s="28" t="s">
        <v>209</v>
      </c>
      <c r="B181" s="31" t="s">
        <v>346</v>
      </c>
      <c r="C181" s="31" t="s">
        <v>345</v>
      </c>
    </row>
    <row r="182" customFormat="false" ht="15.75" hidden="false" customHeight="true" outlineLevel="0" collapsed="false">
      <c r="A182" s="28" t="s">
        <v>240</v>
      </c>
      <c r="B182" s="31" t="s">
        <v>346</v>
      </c>
      <c r="C182" s="31" t="s">
        <v>345</v>
      </c>
    </row>
    <row r="183" customFormat="false" ht="15.75" hidden="false" customHeight="true" outlineLevel="0" collapsed="false">
      <c r="A183" s="28" t="s">
        <v>210</v>
      </c>
      <c r="B183" s="31" t="s">
        <v>346</v>
      </c>
      <c r="C183" s="31" t="s">
        <v>345</v>
      </c>
    </row>
    <row r="184" customFormat="false" ht="15.75" hidden="false" customHeight="true" outlineLevel="0" collapsed="false">
      <c r="A184" s="28" t="s">
        <v>88</v>
      </c>
      <c r="B184" s="29" t="s">
        <v>349</v>
      </c>
      <c r="C184" s="29" t="s">
        <v>350</v>
      </c>
    </row>
    <row r="185" customFormat="false" ht="15.75" hidden="false" customHeight="true" outlineLevel="0" collapsed="false">
      <c r="A185" s="28" t="s">
        <v>86</v>
      </c>
      <c r="B185" s="29" t="s">
        <v>349</v>
      </c>
      <c r="C185" s="29" t="s">
        <v>350</v>
      </c>
    </row>
    <row r="186" customFormat="false" ht="15.75" hidden="false" customHeight="true" outlineLevel="0" collapsed="false">
      <c r="A186" s="28" t="s">
        <v>217</v>
      </c>
      <c r="B186" s="29" t="s">
        <v>349</v>
      </c>
      <c r="C186" s="29" t="s">
        <v>350</v>
      </c>
    </row>
    <row r="187" customFormat="false" ht="15.75" hidden="false" customHeight="true" outlineLevel="0" collapsed="false">
      <c r="A187" s="28" t="s">
        <v>34</v>
      </c>
      <c r="B187" s="29" t="s">
        <v>349</v>
      </c>
      <c r="C187" s="29" t="s">
        <v>350</v>
      </c>
    </row>
    <row r="188" customFormat="false" ht="15.75" hidden="false" customHeight="true" outlineLevel="0" collapsed="false">
      <c r="A188" s="28" t="s">
        <v>193</v>
      </c>
      <c r="B188" s="29" t="s">
        <v>349</v>
      </c>
      <c r="C188" s="29" t="s">
        <v>350</v>
      </c>
    </row>
    <row r="189" customFormat="false" ht="15.75" hidden="false" customHeight="true" outlineLevel="0" collapsed="false">
      <c r="A189" s="28" t="s">
        <v>79</v>
      </c>
      <c r="B189" s="29" t="s">
        <v>351</v>
      </c>
      <c r="C189" s="29" t="s">
        <v>350</v>
      </c>
    </row>
    <row r="190" customFormat="false" ht="15.75" hidden="false" customHeight="true" outlineLevel="0" collapsed="false">
      <c r="A190" s="28" t="s">
        <v>76</v>
      </c>
      <c r="B190" s="29" t="s">
        <v>351</v>
      </c>
      <c r="C190" s="29" t="s">
        <v>350</v>
      </c>
    </row>
    <row r="191" customFormat="false" ht="15.75" hidden="false" customHeight="true" outlineLevel="0" collapsed="false">
      <c r="A191" s="28" t="s">
        <v>180</v>
      </c>
      <c r="B191" s="29" t="s">
        <v>351</v>
      </c>
      <c r="C191" s="29" t="s">
        <v>350</v>
      </c>
    </row>
    <row r="192" customFormat="false" ht="15.75" hidden="false" customHeight="true" outlineLevel="0" collapsed="false">
      <c r="A192" s="28" t="s">
        <v>149</v>
      </c>
      <c r="B192" s="29" t="s">
        <v>351</v>
      </c>
      <c r="C192" s="29" t="s">
        <v>350</v>
      </c>
    </row>
    <row r="193" customFormat="false" ht="15.75" hidden="false" customHeight="true" outlineLevel="0" collapsed="false">
      <c r="A193" s="28" t="s">
        <v>102</v>
      </c>
      <c r="B193" s="29" t="s">
        <v>351</v>
      </c>
      <c r="C193" s="29" t="s">
        <v>350</v>
      </c>
    </row>
    <row r="194" customFormat="false" ht="15.75" hidden="false" customHeight="true" outlineLevel="0" collapsed="false">
      <c r="A194" s="28" t="s">
        <v>73</v>
      </c>
      <c r="B194" s="29" t="s">
        <v>351</v>
      </c>
      <c r="C194" s="29" t="s">
        <v>350</v>
      </c>
    </row>
    <row r="195" customFormat="false" ht="15.75" hidden="false" customHeight="true" outlineLevel="0" collapsed="false">
      <c r="A195" s="28" t="s">
        <v>161</v>
      </c>
      <c r="B195" s="29" t="s">
        <v>351</v>
      </c>
      <c r="C195" s="29" t="s">
        <v>350</v>
      </c>
    </row>
    <row r="196" customFormat="false" ht="15.75" hidden="false" customHeight="true" outlineLevel="0" collapsed="false">
      <c r="A196" s="28" t="s">
        <v>156</v>
      </c>
      <c r="B196" s="29" t="s">
        <v>351</v>
      </c>
      <c r="C196" s="29" t="s">
        <v>350</v>
      </c>
    </row>
    <row r="197" customFormat="false" ht="15.75" hidden="false" customHeight="true" outlineLevel="0" collapsed="false">
      <c r="A197" s="28" t="s">
        <v>64</v>
      </c>
      <c r="B197" s="29" t="s">
        <v>351</v>
      </c>
      <c r="C197" s="29" t="s">
        <v>350</v>
      </c>
    </row>
    <row r="198" customFormat="false" ht="15.75" hidden="false" customHeight="true" outlineLevel="0" collapsed="false">
      <c r="A198" s="28" t="s">
        <v>50</v>
      </c>
      <c r="B198" s="29" t="s">
        <v>351</v>
      </c>
      <c r="C198" s="29" t="s">
        <v>350</v>
      </c>
    </row>
    <row r="199" customFormat="false" ht="15.75" hidden="false" customHeight="true" outlineLevel="0" collapsed="false">
      <c r="A199" s="28" t="s">
        <v>138</v>
      </c>
      <c r="B199" s="29" t="s">
        <v>351</v>
      </c>
      <c r="C199" s="29" t="s">
        <v>350</v>
      </c>
    </row>
    <row r="200" customFormat="false" ht="15.75" hidden="false" customHeight="true" outlineLevel="0" collapsed="false">
      <c r="A200" s="28" t="s">
        <v>245</v>
      </c>
      <c r="B200" s="29" t="s">
        <v>351</v>
      </c>
      <c r="C200" s="29" t="s">
        <v>350</v>
      </c>
    </row>
    <row r="201" customFormat="false" ht="15.75" hidden="false" customHeight="true" outlineLevel="0" collapsed="false">
      <c r="A201" s="28" t="s">
        <v>253</v>
      </c>
      <c r="B201" s="29" t="s">
        <v>351</v>
      </c>
      <c r="C201" s="29" t="s">
        <v>350</v>
      </c>
    </row>
    <row r="202" customFormat="false" ht="15.75" hidden="false" customHeight="true" outlineLevel="0" collapsed="false">
      <c r="A202" s="28" t="s">
        <v>157</v>
      </c>
      <c r="B202" s="29" t="s">
        <v>351</v>
      </c>
      <c r="C202" s="29" t="s">
        <v>350</v>
      </c>
    </row>
    <row r="203" customFormat="false" ht="15.75" hidden="false" customHeight="true" outlineLevel="0" collapsed="false">
      <c r="A203" s="28" t="s">
        <v>28</v>
      </c>
      <c r="B203" s="29" t="s">
        <v>352</v>
      </c>
      <c r="C203" s="29" t="s">
        <v>350</v>
      </c>
    </row>
    <row r="204" customFormat="false" ht="15.75" hidden="false" customHeight="true" outlineLevel="0" collapsed="false">
      <c r="A204" s="28" t="s">
        <v>353</v>
      </c>
      <c r="B204" s="29" t="s">
        <v>352</v>
      </c>
      <c r="C204" s="29" t="s">
        <v>350</v>
      </c>
    </row>
    <row r="205" customFormat="false" ht="15.75" hidden="false" customHeight="true" outlineLevel="0" collapsed="false">
      <c r="A205" s="28" t="s">
        <v>251</v>
      </c>
      <c r="B205" s="29" t="s">
        <v>352</v>
      </c>
      <c r="C205" s="29" t="s">
        <v>350</v>
      </c>
    </row>
    <row r="206" customFormat="false" ht="15.75" hidden="false" customHeight="true" outlineLevel="0" collapsed="false">
      <c r="A206" s="28" t="s">
        <v>354</v>
      </c>
      <c r="B206" s="29" t="s">
        <v>352</v>
      </c>
      <c r="C206" s="29" t="s">
        <v>350</v>
      </c>
    </row>
    <row r="207" customFormat="false" ht="15.75" hidden="false" customHeight="true" outlineLevel="0" collapsed="false">
      <c r="A207" s="28" t="s">
        <v>162</v>
      </c>
      <c r="B207" s="29" t="s">
        <v>352</v>
      </c>
      <c r="C207" s="29" t="s">
        <v>350</v>
      </c>
    </row>
    <row r="208" customFormat="false" ht="15.75" hidden="false" customHeight="true" outlineLevel="0" collapsed="false">
      <c r="A208" s="28" t="s">
        <v>78</v>
      </c>
      <c r="B208" s="29" t="s">
        <v>352</v>
      </c>
      <c r="C208" s="29" t="s">
        <v>350</v>
      </c>
    </row>
    <row r="209" customFormat="false" ht="15.75" hidden="false" customHeight="true" outlineLevel="0" collapsed="false">
      <c r="A209" s="32" t="s">
        <v>226</v>
      </c>
      <c r="B209" s="29" t="s">
        <v>351</v>
      </c>
      <c r="C209" s="30" t="s">
        <v>350</v>
      </c>
    </row>
    <row r="210" customFormat="false" ht="15.75" hidden="false" customHeight="true" outlineLevel="0" collapsed="false">
      <c r="A210" s="28" t="s">
        <v>98</v>
      </c>
      <c r="B210" s="29" t="s">
        <v>355</v>
      </c>
      <c r="C210" s="29" t="s">
        <v>356</v>
      </c>
    </row>
    <row r="211" customFormat="false" ht="15.75" hidden="false" customHeight="true" outlineLevel="0" collapsed="false">
      <c r="A211" s="28" t="s">
        <v>101</v>
      </c>
      <c r="B211" s="29" t="s">
        <v>355</v>
      </c>
      <c r="C211" s="29" t="s">
        <v>356</v>
      </c>
    </row>
    <row r="212" customFormat="false" ht="15.75" hidden="false" customHeight="true" outlineLevel="0" collapsed="false">
      <c r="A212" s="28" t="s">
        <v>228</v>
      </c>
      <c r="B212" s="29" t="s">
        <v>355</v>
      </c>
      <c r="C212" s="29" t="s">
        <v>356</v>
      </c>
    </row>
    <row r="213" customFormat="false" ht="15.75" hidden="false" customHeight="true" outlineLevel="0" collapsed="false">
      <c r="A213" s="28" t="s">
        <v>232</v>
      </c>
      <c r="B213" s="29" t="s">
        <v>355</v>
      </c>
      <c r="C213" s="29" t="s">
        <v>356</v>
      </c>
    </row>
    <row r="214" customFormat="false" ht="15.75" hidden="false" customHeight="true" outlineLevel="0" collapsed="false">
      <c r="A214" s="28" t="s">
        <v>87</v>
      </c>
      <c r="B214" s="29" t="s">
        <v>355</v>
      </c>
      <c r="C214" s="29" t="s">
        <v>356</v>
      </c>
    </row>
    <row r="215" customFormat="false" ht="15.75" hidden="false" customHeight="true" outlineLevel="0" collapsed="false">
      <c r="A215" s="28" t="s">
        <v>260</v>
      </c>
      <c r="B215" s="29" t="s">
        <v>355</v>
      </c>
      <c r="C215" s="29" t="s">
        <v>356</v>
      </c>
    </row>
    <row r="216" customFormat="false" ht="15.75" hidden="false" customHeight="true" outlineLevel="0" collapsed="false">
      <c r="A216" s="28" t="s">
        <v>62</v>
      </c>
      <c r="B216" s="29" t="s">
        <v>355</v>
      </c>
      <c r="C216" s="29" t="s">
        <v>356</v>
      </c>
    </row>
    <row r="217" customFormat="false" ht="15.75" hidden="false" customHeight="true" outlineLevel="0" collapsed="false">
      <c r="A217" s="28" t="s">
        <v>84</v>
      </c>
      <c r="B217" s="29" t="s">
        <v>355</v>
      </c>
      <c r="C217" s="29" t="s">
        <v>356</v>
      </c>
    </row>
    <row r="218" customFormat="false" ht="15.75" hidden="false" customHeight="true" outlineLevel="0" collapsed="false">
      <c r="A218" s="28" t="s">
        <v>44</v>
      </c>
      <c r="B218" s="29" t="s">
        <v>355</v>
      </c>
      <c r="C218" s="29" t="s">
        <v>356</v>
      </c>
    </row>
    <row r="219" customFormat="false" ht="15.75" hidden="false" customHeight="true" outlineLevel="0" collapsed="false">
      <c r="A219" s="32" t="s">
        <v>105</v>
      </c>
      <c r="B219" s="30" t="s">
        <v>357</v>
      </c>
      <c r="C219" s="30" t="s">
        <v>356</v>
      </c>
    </row>
    <row r="220" customFormat="false" ht="15.75" hidden="false" customHeight="true" outlineLevel="0" collapsed="false">
      <c r="A220" s="32" t="s">
        <v>255</v>
      </c>
      <c r="B220" s="30" t="s">
        <v>357</v>
      </c>
      <c r="C220" s="30" t="s">
        <v>356</v>
      </c>
    </row>
    <row r="221" customFormat="false" ht="15.75" hidden="false" customHeight="true" outlineLevel="0" collapsed="false">
      <c r="A221" s="32" t="s">
        <v>153</v>
      </c>
      <c r="B221" s="30" t="s">
        <v>357</v>
      </c>
      <c r="C221" s="30" t="s">
        <v>356</v>
      </c>
    </row>
    <row r="222" customFormat="false" ht="15.75" hidden="false" customHeight="true" outlineLevel="0" collapsed="false">
      <c r="A222" s="32" t="s">
        <v>219</v>
      </c>
      <c r="B222" s="30" t="s">
        <v>357</v>
      </c>
      <c r="C222" s="30" t="s">
        <v>356</v>
      </c>
    </row>
    <row r="223" customFormat="false" ht="15.75" hidden="false" customHeight="true" outlineLevel="0" collapsed="false">
      <c r="A223" s="32" t="s">
        <v>129</v>
      </c>
      <c r="B223" s="30" t="s">
        <v>357</v>
      </c>
      <c r="C223" s="30" t="s">
        <v>356</v>
      </c>
    </row>
    <row r="224" customFormat="false" ht="15.75" hidden="false" customHeight="true" outlineLevel="0" collapsed="false">
      <c r="A224" s="32" t="s">
        <v>236</v>
      </c>
      <c r="B224" s="30" t="s">
        <v>357</v>
      </c>
      <c r="C224" s="30" t="s">
        <v>356</v>
      </c>
    </row>
    <row r="225" customFormat="false" ht="15.75" hidden="false" customHeight="true" outlineLevel="0" collapsed="false">
      <c r="A225" s="32" t="s">
        <v>246</v>
      </c>
      <c r="B225" s="30" t="s">
        <v>357</v>
      </c>
      <c r="C225" s="30" t="s">
        <v>356</v>
      </c>
    </row>
    <row r="226" customFormat="false" ht="15.75" hidden="false" customHeight="true" outlineLevel="0" collapsed="false">
      <c r="A226" s="28" t="s">
        <v>222</v>
      </c>
      <c r="B226" s="29" t="s">
        <v>357</v>
      </c>
      <c r="C226" s="30" t="s">
        <v>356</v>
      </c>
    </row>
    <row r="227" customFormat="false" ht="15.75" hidden="false" customHeight="true" outlineLevel="0" collapsed="false">
      <c r="A227" s="28" t="s">
        <v>158</v>
      </c>
      <c r="B227" s="29" t="s">
        <v>357</v>
      </c>
      <c r="C227" s="30" t="s">
        <v>356</v>
      </c>
    </row>
    <row r="228" customFormat="false" ht="15.75" hidden="false" customHeight="true" outlineLevel="0" collapsed="false">
      <c r="A228" s="28" t="s">
        <v>263</v>
      </c>
      <c r="B228" s="31" t="s">
        <v>357</v>
      </c>
      <c r="C228" s="30" t="s">
        <v>356</v>
      </c>
    </row>
    <row r="229" customFormat="false" ht="15.75" hidden="false" customHeight="true" outlineLevel="0" collapsed="false">
      <c r="A229" s="28" t="s">
        <v>231</v>
      </c>
      <c r="B229" s="29" t="s">
        <v>357</v>
      </c>
      <c r="C229" s="29" t="s">
        <v>356</v>
      </c>
    </row>
    <row r="230" customFormat="false" ht="15.75" hidden="false" customHeight="true" outlineLevel="0" collapsed="false">
      <c r="A230" s="28" t="s">
        <v>119</v>
      </c>
      <c r="B230" s="29" t="s">
        <v>357</v>
      </c>
      <c r="C230" s="29" t="s">
        <v>356</v>
      </c>
    </row>
    <row r="231" customFormat="false" ht="15.75" hidden="false" customHeight="true" outlineLevel="0" collapsed="false">
      <c r="A231" s="28" t="s">
        <v>257</v>
      </c>
      <c r="B231" s="29" t="s">
        <v>357</v>
      </c>
      <c r="C231" s="29" t="s">
        <v>356</v>
      </c>
    </row>
    <row r="232" customFormat="false" ht="15.75" hidden="false" customHeight="true" outlineLevel="0" collapsed="false">
      <c r="A232" s="28" t="s">
        <v>216</v>
      </c>
      <c r="B232" s="29" t="s">
        <v>357</v>
      </c>
      <c r="C232" s="29" t="s">
        <v>356</v>
      </c>
    </row>
    <row r="233" customFormat="false" ht="15.75" hidden="false" customHeight="true" outlineLevel="0" collapsed="false">
      <c r="A233" s="28" t="s">
        <v>106</v>
      </c>
      <c r="B233" s="29" t="s">
        <v>357</v>
      </c>
      <c r="C233" s="29" t="s">
        <v>356</v>
      </c>
    </row>
    <row r="234" customFormat="false" ht="15.75" hidden="false" customHeight="true" outlineLevel="0" collapsed="false">
      <c r="A234" s="28" t="s">
        <v>173</v>
      </c>
      <c r="B234" s="29" t="s">
        <v>357</v>
      </c>
      <c r="C234" s="29" t="s">
        <v>356</v>
      </c>
    </row>
    <row r="235" customFormat="false" ht="15.75" hidden="false" customHeight="true" outlineLevel="0" collapsed="false">
      <c r="A235" s="32" t="s">
        <v>129</v>
      </c>
      <c r="B235" s="30" t="s">
        <v>357</v>
      </c>
      <c r="C235" s="30" t="s">
        <v>356</v>
      </c>
    </row>
    <row r="236" customFormat="false" ht="15.75" hidden="false" customHeight="true" outlineLevel="0" collapsed="false">
      <c r="A236" s="28" t="s">
        <v>256</v>
      </c>
      <c r="B236" s="29" t="s">
        <v>358</v>
      </c>
      <c r="C236" s="29" t="s">
        <v>359</v>
      </c>
    </row>
    <row r="237" customFormat="false" ht="15.75" hidden="false" customHeight="true" outlineLevel="0" collapsed="false">
      <c r="A237" s="28" t="s">
        <v>170</v>
      </c>
      <c r="B237" s="29" t="s">
        <v>360</v>
      </c>
      <c r="C237" s="29" t="s">
        <v>359</v>
      </c>
    </row>
    <row r="238" customFormat="false" ht="15.75" hidden="false" customHeight="true" outlineLevel="0" collapsed="false">
      <c r="A238" s="32" t="s">
        <v>229</v>
      </c>
      <c r="B238" s="30" t="s">
        <v>360</v>
      </c>
      <c r="C238" s="30" t="s">
        <v>359</v>
      </c>
    </row>
    <row r="239" customFormat="false" ht="15.75" hidden="false" customHeight="true" outlineLevel="0" collapsed="false">
      <c r="A239" s="32" t="s">
        <v>250</v>
      </c>
      <c r="B239" s="30" t="s">
        <v>360</v>
      </c>
      <c r="C239" s="30" t="s">
        <v>359</v>
      </c>
    </row>
    <row r="240" customFormat="false" ht="15.75" hidden="false" customHeight="true" outlineLevel="0" collapsed="false">
      <c r="A240" s="32" t="s">
        <v>261</v>
      </c>
      <c r="B240" s="30" t="s">
        <v>360</v>
      </c>
      <c r="C240" s="30" t="s">
        <v>359</v>
      </c>
    </row>
    <row r="241" customFormat="false" ht="15.75" hidden="false" customHeight="true" outlineLevel="0" collapsed="false">
      <c r="A241" s="32" t="s">
        <v>146</v>
      </c>
      <c r="B241" s="30" t="s">
        <v>360</v>
      </c>
      <c r="C241" s="30" t="s">
        <v>359</v>
      </c>
    </row>
    <row r="242" customFormat="false" ht="15.75" hidden="false" customHeight="true" outlineLevel="0" collapsed="false">
      <c r="A242" s="28" t="s">
        <v>291</v>
      </c>
      <c r="B242" s="29" t="s">
        <v>360</v>
      </c>
      <c r="C242" s="29" t="s">
        <v>359</v>
      </c>
    </row>
    <row r="243" customFormat="false" ht="15.75" hidden="false" customHeight="true" outlineLevel="0" collapsed="false">
      <c r="A243" s="28" t="s">
        <v>155</v>
      </c>
      <c r="B243" s="29" t="s">
        <v>360</v>
      </c>
      <c r="C243" s="29" t="s">
        <v>359</v>
      </c>
    </row>
    <row r="244" customFormat="false" ht="15.75" hidden="false" customHeight="true" outlineLevel="0" collapsed="false">
      <c r="A244" s="28" t="s">
        <v>200</v>
      </c>
      <c r="B244" s="29" t="s">
        <v>360</v>
      </c>
      <c r="C244" s="29" t="s">
        <v>359</v>
      </c>
    </row>
    <row r="245" customFormat="false" ht="15.75" hidden="false" customHeight="true" outlineLevel="0" collapsed="false">
      <c r="A245" s="28" t="s">
        <v>207</v>
      </c>
      <c r="B245" s="29" t="s">
        <v>360</v>
      </c>
      <c r="C245" s="29" t="s">
        <v>359</v>
      </c>
    </row>
    <row r="246" customFormat="false" ht="15.75" hidden="false" customHeight="true" outlineLevel="0" collapsed="false">
      <c r="A246" s="28" t="s">
        <v>159</v>
      </c>
      <c r="B246" s="29" t="s">
        <v>361</v>
      </c>
      <c r="C246" s="29" t="s">
        <v>359</v>
      </c>
    </row>
    <row r="247" customFormat="false" ht="15.75" hidden="false" customHeight="true" outlineLevel="0" collapsed="false">
      <c r="A247" s="28" t="s">
        <v>179</v>
      </c>
      <c r="B247" s="29" t="s">
        <v>361</v>
      </c>
      <c r="C247" s="29" t="s">
        <v>359</v>
      </c>
    </row>
    <row r="248" customFormat="false" ht="15.75" hidden="false" customHeight="true" outlineLevel="0" collapsed="false">
      <c r="A248" s="28" t="s">
        <v>224</v>
      </c>
      <c r="B248" s="29" t="s">
        <v>361</v>
      </c>
      <c r="C248" s="29" t="s">
        <v>359</v>
      </c>
    </row>
    <row r="249" customFormat="false" ht="15.75" hidden="false" customHeight="true" outlineLevel="0" collapsed="false">
      <c r="A249" s="28" t="s">
        <v>227</v>
      </c>
      <c r="B249" s="29" t="s">
        <v>361</v>
      </c>
      <c r="C249" s="29" t="s">
        <v>359</v>
      </c>
    </row>
    <row r="250" customFormat="false" ht="15.75" hidden="false" customHeight="true" outlineLevel="0" collapsed="false">
      <c r="A250" s="28" t="s">
        <v>273</v>
      </c>
      <c r="B250" s="29" t="s">
        <v>361</v>
      </c>
      <c r="C250" s="29" t="s">
        <v>359</v>
      </c>
    </row>
    <row r="251" customFormat="false" ht="15.75" hidden="false" customHeight="true" outlineLevel="0" collapsed="false">
      <c r="A251" s="28" t="s">
        <v>131</v>
      </c>
      <c r="B251" s="29" t="s">
        <v>361</v>
      </c>
      <c r="C251" s="29" t="s">
        <v>359</v>
      </c>
    </row>
    <row r="252" customFormat="false" ht="15.75" hidden="false" customHeight="true" outlineLevel="0" collapsed="false">
      <c r="A252" s="32" t="s">
        <v>178</v>
      </c>
      <c r="B252" s="30" t="s">
        <v>361</v>
      </c>
      <c r="C252" s="30" t="s">
        <v>359</v>
      </c>
    </row>
    <row r="253" customFormat="false" ht="15.75" hidden="false" customHeight="true" outlineLevel="0" collapsed="false">
      <c r="A253" s="32" t="s">
        <v>244</v>
      </c>
      <c r="B253" s="30" t="s">
        <v>361</v>
      </c>
      <c r="C253" s="30" t="s">
        <v>359</v>
      </c>
    </row>
    <row r="254" customFormat="false" ht="15.75" hidden="false" customHeight="true" outlineLevel="0" collapsed="false">
      <c r="A254" s="32" t="s">
        <v>280</v>
      </c>
      <c r="B254" s="30" t="s">
        <v>361</v>
      </c>
      <c r="C254" s="30" t="s">
        <v>359</v>
      </c>
    </row>
    <row r="255" customFormat="false" ht="15.75" hidden="false" customHeight="true" outlineLevel="0" collapsed="false">
      <c r="A255" s="32" t="s">
        <v>113</v>
      </c>
      <c r="B255" s="30" t="s">
        <v>358</v>
      </c>
      <c r="C255" s="30" t="s">
        <v>359</v>
      </c>
    </row>
    <row r="256" customFormat="false" ht="15.75" hidden="false" customHeight="true" outlineLevel="0" collapsed="false">
      <c r="A256" s="32" t="s">
        <v>362</v>
      </c>
      <c r="B256" s="30" t="s">
        <v>358</v>
      </c>
      <c r="C256" s="30" t="s">
        <v>359</v>
      </c>
    </row>
    <row r="257" customFormat="false" ht="15.75" hidden="false" customHeight="true" outlineLevel="0" collapsed="false">
      <c r="A257" s="28" t="s">
        <v>297</v>
      </c>
      <c r="B257" s="29" t="s">
        <v>358</v>
      </c>
      <c r="C257" s="30" t="s">
        <v>359</v>
      </c>
    </row>
    <row r="258" customFormat="false" ht="15.75" hidden="false" customHeight="true" outlineLevel="0" collapsed="false">
      <c r="A258" s="28" t="s">
        <v>254</v>
      </c>
      <c r="B258" s="29" t="s">
        <v>358</v>
      </c>
      <c r="C258" s="29" t="s">
        <v>359</v>
      </c>
    </row>
    <row r="259" customFormat="false" ht="15.75" hidden="false" customHeight="true" outlineLevel="0" collapsed="false">
      <c r="A259" s="28" t="s">
        <v>111</v>
      </c>
      <c r="B259" s="29" t="s">
        <v>358</v>
      </c>
      <c r="C259" s="29" t="s">
        <v>359</v>
      </c>
    </row>
    <row r="260" customFormat="false" ht="15.75" hidden="false" customHeight="true" outlineLevel="0" collapsed="false">
      <c r="A260" s="28" t="s">
        <v>160</v>
      </c>
      <c r="B260" s="29" t="s">
        <v>358</v>
      </c>
      <c r="C260" s="29" t="s">
        <v>359</v>
      </c>
    </row>
    <row r="261" customFormat="false" ht="15.75" hidden="false" customHeight="true" outlineLevel="0" collapsed="false">
      <c r="A261" s="32" t="s">
        <v>140</v>
      </c>
      <c r="B261" s="30" t="s">
        <v>358</v>
      </c>
      <c r="C261" s="30" t="s">
        <v>359</v>
      </c>
    </row>
    <row r="262" customFormat="false" ht="15.75" hidden="false" customHeight="true" outlineLevel="0" collapsed="false">
      <c r="A262" s="32" t="s">
        <v>54</v>
      </c>
      <c r="B262" s="30" t="s">
        <v>358</v>
      </c>
      <c r="C262" s="30" t="s">
        <v>359</v>
      </c>
    </row>
    <row r="263" customFormat="false" ht="15.75" hidden="false" customHeight="true" outlineLevel="0" collapsed="false">
      <c r="A263" s="32" t="s">
        <v>95</v>
      </c>
      <c r="B263" s="30" t="s">
        <v>358</v>
      </c>
      <c r="C263" s="30" t="s">
        <v>359</v>
      </c>
    </row>
    <row r="264" customFormat="false" ht="15.75" hidden="false" customHeight="true" outlineLevel="0" collapsed="false">
      <c r="A264" s="34" t="s">
        <v>242</v>
      </c>
      <c r="B264" s="31" t="s">
        <v>360</v>
      </c>
      <c r="C264" s="31" t="s">
        <v>359</v>
      </c>
    </row>
    <row r="265" customFormat="false" ht="15.75" hidden="false" customHeight="true" outlineLevel="0" collapsed="false">
      <c r="A265" s="35" t="s">
        <v>277</v>
      </c>
      <c r="B265" s="31" t="s">
        <v>338</v>
      </c>
      <c r="C265" s="31" t="s">
        <v>339</v>
      </c>
    </row>
    <row r="266" customFormat="false" ht="15.75" hidden="false" customHeight="true" outlineLevel="0" collapsed="false">
      <c r="A266" s="35" t="s">
        <v>212</v>
      </c>
      <c r="B266" s="31" t="s">
        <v>338</v>
      </c>
      <c r="C266" s="31" t="s">
        <v>339</v>
      </c>
    </row>
    <row r="267" customFormat="false" ht="15.75" hidden="false" customHeight="true" outlineLevel="0" collapsed="false">
      <c r="A267" s="35" t="s">
        <v>237</v>
      </c>
      <c r="B267" s="31" t="s">
        <v>344</v>
      </c>
      <c r="C267" s="31" t="s">
        <v>345</v>
      </c>
    </row>
    <row r="268" customFormat="false" ht="15.75" hidden="false" customHeight="true" outlineLevel="0" collapsed="false">
      <c r="A268" s="35" t="s">
        <v>192</v>
      </c>
      <c r="B268" s="30" t="s">
        <v>357</v>
      </c>
      <c r="C268" s="30" t="s">
        <v>356</v>
      </c>
    </row>
    <row r="269" customFormat="false" ht="15.75" hidden="false" customHeight="true" outlineLevel="0" collapsed="false">
      <c r="A269" s="35" t="s">
        <v>363</v>
      </c>
      <c r="B269" s="29" t="s">
        <v>360</v>
      </c>
      <c r="C269" s="29" t="s">
        <v>359</v>
      </c>
    </row>
    <row r="270" customFormat="false" ht="15.75" hidden="false" customHeight="true" outlineLevel="0" collapsed="false">
      <c r="A270" s="36" t="s">
        <v>364</v>
      </c>
      <c r="B270" s="29" t="s">
        <v>360</v>
      </c>
      <c r="C270" s="29" t="s">
        <v>359</v>
      </c>
    </row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6.38"/>
    <col collapsed="false" customWidth="true" hidden="false" outlineLevel="0" max="2" min="2" style="0" width="22.25"/>
    <col collapsed="false" customWidth="true" hidden="false" outlineLevel="0" max="3" min="3" style="0" width="18.13"/>
    <col collapsed="false" customWidth="true" hidden="false" outlineLevel="0" max="4" min="4" style="0" width="12.25"/>
    <col collapsed="false" customWidth="true" hidden="false" outlineLevel="0" max="5" min="5" style="0" width="10.51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25.75"/>
    <col collapsed="false" customWidth="true" hidden="false" outlineLevel="0" max="9" min="9" style="0" width="10.38"/>
    <col collapsed="false" customWidth="true" hidden="false" outlineLevel="0" max="10" min="10" style="0" width="12.13"/>
    <col collapsed="false" customWidth="true" hidden="false" outlineLevel="0" max="11" min="11" style="0" width="24.25"/>
    <col collapsed="false" customWidth="true" hidden="false" outlineLevel="0" max="12" min="12" style="0" width="49.12"/>
  </cols>
  <sheetData>
    <row r="1" customFormat="false" ht="15.75" hidden="false" customHeight="true" outlineLevel="0" collapsed="false">
      <c r="A1" s="37" t="s">
        <v>365</v>
      </c>
      <c r="B1" s="37" t="s">
        <v>3</v>
      </c>
      <c r="C1" s="37" t="s">
        <v>4</v>
      </c>
      <c r="D1" s="37" t="s">
        <v>366</v>
      </c>
      <c r="E1" s="37" t="s">
        <v>367</v>
      </c>
      <c r="F1" s="37" t="s">
        <v>368</v>
      </c>
      <c r="G1" s="37" t="s">
        <v>369</v>
      </c>
      <c r="H1" s="37" t="s">
        <v>370</v>
      </c>
      <c r="I1" s="37" t="s">
        <v>371</v>
      </c>
      <c r="J1" s="37" t="s">
        <v>372</v>
      </c>
      <c r="K1" s="37" t="s">
        <v>373</v>
      </c>
      <c r="L1" s="37" t="s">
        <v>312</v>
      </c>
      <c r="M1" s="37" t="s">
        <v>313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customFormat="false" ht="15.75" hidden="false" customHeight="true" outlineLevel="0" collapsed="false">
      <c r="A2" s="38" t="s">
        <v>105</v>
      </c>
      <c r="B2" s="38" t="str">
        <f aca="false" t="array" ref="B2:B2">IF(A2="","",IFERROR(INDEX('CLM &amp; IM Mapping'!$B$2:$B$270,MATCH(TRIM(A2),'CLM &amp; IM Mapping'!$A$2:$A$270,0)),"Not Mapped"))</f>
        <v>Vishnu V</v>
      </c>
      <c r="C2" s="38" t="str">
        <f aca="false" t="array" ref="C2:C2">IF(A2="","",IFERROR(INDEX('CLM &amp; IM Mapping'!$C$2:$C$270,MATCH(TRIM(A2),'CLM &amp; IM Mapping'!$A$2:$A$270,0)),"Not Mapped"))</f>
        <v>Arivind S</v>
      </c>
      <c r="D2" s="38" t="n">
        <v>100</v>
      </c>
      <c r="E2" s="38" t="n">
        <v>1694</v>
      </c>
      <c r="F2" s="38" t="n">
        <v>31</v>
      </c>
      <c r="G2" s="38" t="n">
        <v>8</v>
      </c>
      <c r="H2" s="38" t="n">
        <v>0</v>
      </c>
      <c r="I2" s="38" t="n">
        <v>24</v>
      </c>
      <c r="J2" s="38" t="n">
        <v>1857</v>
      </c>
      <c r="K2" s="38" t="n">
        <v>69</v>
      </c>
      <c r="L2" s="12"/>
      <c r="M2" s="12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customFormat="false" ht="15.75" hidden="false" customHeight="true" outlineLevel="0" collapsed="false">
      <c r="A3" s="38" t="s">
        <v>28</v>
      </c>
      <c r="B3" s="38" t="str">
        <f aca="false" t="array" ref="B3:B3">IF(A3="","",IFERROR(INDEX('CLM &amp; IM Mapping'!$B$2:$B$270,MATCH(TRIM(A3),'CLM &amp; IM Mapping'!$A$2:$A$270,0)),"Not Mapped"))</f>
        <v>Vijay M</v>
      </c>
      <c r="C3" s="38" t="str">
        <f aca="false" t="array" ref="C3:C3">IF(A3="","",IFERROR(INDEX('CLM &amp; IM Mapping'!$C$2:$C$270,MATCH(TRIM(A3),'CLM &amp; IM Mapping'!$A$2:$A$270,0)),"Not Mapped"))</f>
        <v>Kantha Kumar</v>
      </c>
      <c r="D3" s="38" t="n">
        <v>0</v>
      </c>
      <c r="E3" s="38" t="n">
        <v>11</v>
      </c>
      <c r="F3" s="38" t="n">
        <v>0</v>
      </c>
      <c r="G3" s="38" t="n">
        <v>167</v>
      </c>
      <c r="H3" s="38" t="n">
        <v>830</v>
      </c>
      <c r="I3" s="38" t="n">
        <v>44</v>
      </c>
      <c r="J3" s="38" t="n">
        <v>1052</v>
      </c>
      <c r="K3" s="38" t="n">
        <v>655</v>
      </c>
      <c r="L3" s="12"/>
      <c r="M3" s="12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customFormat="false" ht="15.75" hidden="false" customHeight="true" outlineLevel="0" collapsed="false">
      <c r="A4" s="38" t="s">
        <v>38</v>
      </c>
      <c r="B4" s="38" t="str">
        <f aca="false" t="array" ref="B4:B4">IF(A4="","",IFERROR(INDEX('CLM &amp; IM Mapping'!$B$2:$B$270,MATCH(TRIM(A4),'CLM &amp; IM Mapping'!$A$2:$A$270,0)),"Not Mapped"))</f>
        <v>Adhavan Subramani</v>
      </c>
      <c r="C4" s="38" t="str">
        <f aca="false" t="array" ref="C4:C4">IF(A4="","",IFERROR(INDEX('CLM &amp; IM Mapping'!$C$2:$C$270,MATCH(TRIM(A4),'CLM &amp; IM Mapping'!$A$2:$A$270,0)),"Not Mapped"))</f>
        <v>Mohammed Akbar</v>
      </c>
      <c r="D4" s="38" t="n">
        <v>48</v>
      </c>
      <c r="E4" s="38" t="n">
        <v>594</v>
      </c>
      <c r="F4" s="38" t="n">
        <v>2</v>
      </c>
      <c r="G4" s="38" t="n">
        <v>2</v>
      </c>
      <c r="H4" s="38" t="n">
        <v>12</v>
      </c>
      <c r="I4" s="38" t="n">
        <v>23</v>
      </c>
      <c r="J4" s="38" t="n">
        <v>681</v>
      </c>
      <c r="K4" s="38" t="n">
        <v>681</v>
      </c>
      <c r="L4" s="12"/>
      <c r="M4" s="12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customFormat="false" ht="15.75" hidden="false" customHeight="true" outlineLevel="0" collapsed="false">
      <c r="A5" s="38" t="s">
        <v>64</v>
      </c>
      <c r="B5" s="38" t="str">
        <f aca="false" t="array" ref="B5:B5">IF(A5="","",IFERROR(INDEX('CLM &amp; IM Mapping'!$B$2:$B$270,MATCH(TRIM(A5),'CLM &amp; IM Mapping'!$A$2:$A$270,0)),"Not Mapped"))</f>
        <v>Ashwath S</v>
      </c>
      <c r="C5" s="38" t="str">
        <f aca="false" t="array" ref="C5:C5">IF(A5="","",IFERROR(INDEX('CLM &amp; IM Mapping'!$C$2:$C$270,MATCH(TRIM(A5),'CLM &amp; IM Mapping'!$A$2:$A$270,0)),"Not Mapped"))</f>
        <v>Kantha Kumar</v>
      </c>
      <c r="D5" s="38" t="n">
        <v>74</v>
      </c>
      <c r="E5" s="38" t="n">
        <v>398</v>
      </c>
      <c r="F5" s="38" t="n">
        <v>7</v>
      </c>
      <c r="G5" s="38" t="n">
        <v>3</v>
      </c>
      <c r="H5" s="38" t="n">
        <v>0</v>
      </c>
      <c r="I5" s="38" t="n">
        <v>191</v>
      </c>
      <c r="J5" s="38" t="n">
        <v>673</v>
      </c>
      <c r="K5" s="38" t="n">
        <v>429</v>
      </c>
      <c r="L5" s="12"/>
      <c r="M5" s="12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customFormat="false" ht="15.75" hidden="false" customHeight="true" outlineLevel="0" collapsed="false">
      <c r="A6" s="38" t="s">
        <v>98</v>
      </c>
      <c r="B6" s="38" t="str">
        <f aca="false" t="array" ref="B6:B6">IF(A6="","",IFERROR(INDEX('CLM &amp; IM Mapping'!$B$2:$B$270,MATCH(TRIM(A6),'CLM &amp; IM Mapping'!$A$2:$A$270,0)),"Not Mapped"))</f>
        <v>Silambarasan E</v>
      </c>
      <c r="C6" s="38" t="str">
        <f aca="false" t="array" ref="C6:C6">IF(A6="","",IFERROR(INDEX('CLM &amp; IM Mapping'!$C$2:$C$270,MATCH(TRIM(A6),'CLM &amp; IM Mapping'!$A$2:$A$270,0)),"Not Mapped"))</f>
        <v>Arivind S</v>
      </c>
      <c r="D6" s="38" t="n">
        <v>172</v>
      </c>
      <c r="E6" s="38" t="n">
        <v>430</v>
      </c>
      <c r="F6" s="38" t="n">
        <v>11</v>
      </c>
      <c r="G6" s="38" t="n">
        <v>0</v>
      </c>
      <c r="H6" s="38" t="n">
        <v>15</v>
      </c>
      <c r="I6" s="38" t="n">
        <v>35</v>
      </c>
      <c r="J6" s="38" t="n">
        <v>663</v>
      </c>
      <c r="K6" s="38" t="n">
        <v>240</v>
      </c>
      <c r="L6" s="12"/>
      <c r="M6" s="12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customFormat="false" ht="15.75" hidden="false" customHeight="true" outlineLevel="0" collapsed="false">
      <c r="A7" s="38" t="s">
        <v>148</v>
      </c>
      <c r="B7" s="38" t="str">
        <f aca="false" t="array" ref="B7:B7">IF(A7="","",IFERROR(INDEX('CLM &amp; IM Mapping'!$B$2:$B$270,MATCH(TRIM(A7),'CLM &amp; IM Mapping'!$A$2:$A$270,0)),"Not Mapped"))</f>
        <v>Narasimhamurthy R</v>
      </c>
      <c r="C7" s="38" t="str">
        <f aca="false" t="array" ref="C7:C7">IF(A7="","",IFERROR(INDEX('CLM &amp; IM Mapping'!$C$2:$C$270,MATCH(TRIM(A7),'CLM &amp; IM Mapping'!$A$2:$A$270,0)),"Not Mapped"))</f>
        <v>Kishor K</v>
      </c>
      <c r="D7" s="38" t="n">
        <v>85</v>
      </c>
      <c r="E7" s="38" t="n">
        <v>401</v>
      </c>
      <c r="F7" s="38" t="n">
        <v>93</v>
      </c>
      <c r="G7" s="38" t="n">
        <v>3</v>
      </c>
      <c r="H7" s="38" t="n">
        <v>0</v>
      </c>
      <c r="I7" s="38" t="n">
        <v>76</v>
      </c>
      <c r="J7" s="38" t="n">
        <v>658</v>
      </c>
      <c r="K7" s="38" t="n">
        <v>399</v>
      </c>
      <c r="L7" s="12"/>
      <c r="M7" s="12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customFormat="false" ht="15.75" hidden="false" customHeight="true" outlineLevel="0" collapsed="false">
      <c r="A8" s="38" t="s">
        <v>86</v>
      </c>
      <c r="B8" s="38" t="str">
        <f aca="false" t="array" ref="B8:B8">IF(A8="","",IFERROR(INDEX('CLM &amp; IM Mapping'!$B$2:$B$270,MATCH(TRIM(A8),'CLM &amp; IM Mapping'!$A$2:$A$270,0)),"Not Mapped"))</f>
        <v>Richard Harris</v>
      </c>
      <c r="C8" s="38" t="str">
        <f aca="false" t="array" ref="C8:C8">IF(A8="","",IFERROR(INDEX('CLM &amp; IM Mapping'!$C$2:$C$270,MATCH(TRIM(A8),'CLM &amp; IM Mapping'!$A$2:$A$270,0)),"Not Mapped"))</f>
        <v>Kantha Kumar</v>
      </c>
      <c r="D8" s="38" t="n">
        <v>21</v>
      </c>
      <c r="E8" s="38" t="n">
        <v>85</v>
      </c>
      <c r="F8" s="38" t="n">
        <v>3</v>
      </c>
      <c r="G8" s="38" t="n">
        <v>377</v>
      </c>
      <c r="H8" s="38" t="n">
        <v>100</v>
      </c>
      <c r="I8" s="38" t="n">
        <v>42</v>
      </c>
      <c r="J8" s="38" t="n">
        <v>628</v>
      </c>
      <c r="K8" s="38" t="n">
        <v>203</v>
      </c>
      <c r="L8" s="12"/>
      <c r="M8" s="12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customFormat="false" ht="15.75" hidden="false" customHeight="true" outlineLevel="0" collapsed="false">
      <c r="A9" s="38" t="s">
        <v>36</v>
      </c>
      <c r="B9" s="38" t="str">
        <f aca="false" t="array" ref="B9:B9">IF(A9="","",IFERROR(INDEX('CLM &amp; IM Mapping'!$B$2:$B$270,MATCH(TRIM(A9),'CLM &amp; IM Mapping'!$A$2:$A$270,0)),"Not Mapped"))</f>
        <v>Saddam Hussain</v>
      </c>
      <c r="C9" s="38" t="str">
        <f aca="false" t="array" ref="C9:C9">IF(A9="","",IFERROR(INDEX('CLM &amp; IM Mapping'!$C$2:$C$270,MATCH(TRIM(A9),'CLM &amp; IM Mapping'!$A$2:$A$270,0)),"Not Mapped"))</f>
        <v>Un Mapped</v>
      </c>
      <c r="D9" s="38" t="n">
        <v>0</v>
      </c>
      <c r="E9" s="38" t="n">
        <v>86</v>
      </c>
      <c r="F9" s="38" t="n">
        <v>2</v>
      </c>
      <c r="G9" s="38" t="n">
        <v>60</v>
      </c>
      <c r="H9" s="38" t="n">
        <v>429</v>
      </c>
      <c r="I9" s="38" t="n">
        <v>0</v>
      </c>
      <c r="J9" s="38" t="n">
        <v>577</v>
      </c>
      <c r="K9" s="38" t="n">
        <v>356</v>
      </c>
      <c r="L9" s="12"/>
      <c r="M9" s="12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customFormat="false" ht="15.75" hidden="false" customHeight="true" outlineLevel="0" collapsed="false">
      <c r="A10" s="38" t="s">
        <v>46</v>
      </c>
      <c r="B10" s="38" t="str">
        <f aca="false" t="array" ref="B10:B10">IF(A10="","",IFERROR(INDEX('CLM &amp; IM Mapping'!$B$2:$B$270,MATCH(TRIM(A10),'CLM &amp; IM Mapping'!$A$2:$A$270,0)),"Not Mapped"))</f>
        <v>Keshav G</v>
      </c>
      <c r="C10" s="38" t="str">
        <f aca="false" t="array" ref="C10:C10">IF(A10="","",IFERROR(INDEX('CLM &amp; IM Mapping'!$C$2:$C$270,MATCH(TRIM(A10),'CLM &amp; IM Mapping'!$A$2:$A$270,0)),"Not Mapped"))</f>
        <v>Mohammed Akbar</v>
      </c>
      <c r="D10" s="38" t="n">
        <v>1</v>
      </c>
      <c r="E10" s="38" t="n">
        <v>196</v>
      </c>
      <c r="F10" s="38" t="n">
        <v>261</v>
      </c>
      <c r="G10" s="38" t="n">
        <v>78</v>
      </c>
      <c r="H10" s="38" t="n">
        <v>28</v>
      </c>
      <c r="I10" s="38" t="n">
        <v>2</v>
      </c>
      <c r="J10" s="38" t="n">
        <v>566</v>
      </c>
      <c r="K10" s="38" t="n">
        <v>475</v>
      </c>
      <c r="L10" s="12"/>
      <c r="M10" s="12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customFormat="false" ht="15.75" hidden="false" customHeight="true" outlineLevel="0" collapsed="false">
      <c r="A11" s="38" t="s">
        <v>71</v>
      </c>
      <c r="B11" s="38" t="str">
        <f aca="false" t="array" ref="B11:B11">IF(A11="","",IFERROR(INDEX('CLM &amp; IM Mapping'!$B$2:$B$270,MATCH(TRIM(A11),'CLM &amp; IM Mapping'!$A$2:$A$270,0)),"Not Mapped"))</f>
        <v>Manjunatha V</v>
      </c>
      <c r="C11" s="38" t="str">
        <f aca="false" t="array" ref="C11:C11">IF(A11="","",IFERROR(INDEX('CLM &amp; IM Mapping'!$C$2:$C$270,MATCH(TRIM(A11),'CLM &amp; IM Mapping'!$A$2:$A$270,0)),"Not Mapped"))</f>
        <v>Un Mapped</v>
      </c>
      <c r="D11" s="38" t="n">
        <v>25</v>
      </c>
      <c r="E11" s="38" t="n">
        <v>181</v>
      </c>
      <c r="F11" s="38" t="n">
        <v>304</v>
      </c>
      <c r="G11" s="38" t="n">
        <v>0</v>
      </c>
      <c r="H11" s="38" t="n">
        <v>0</v>
      </c>
      <c r="I11" s="38" t="n">
        <v>50</v>
      </c>
      <c r="J11" s="38" t="n">
        <v>560</v>
      </c>
      <c r="K11" s="38" t="n">
        <v>560</v>
      </c>
      <c r="L11" s="12"/>
      <c r="M11" s="12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customFormat="false" ht="15.75" hidden="false" customHeight="true" outlineLevel="0" collapsed="false">
      <c r="A12" s="38" t="s">
        <v>162</v>
      </c>
      <c r="B12" s="38" t="str">
        <f aca="false" t="array" ref="B12:B12">IF(A12="","",IFERROR(INDEX('CLM &amp; IM Mapping'!$B$2:$B$270,MATCH(TRIM(A12),'CLM &amp; IM Mapping'!$A$2:$A$270,0)),"Not Mapped"))</f>
        <v>Vijay M</v>
      </c>
      <c r="C12" s="38" t="str">
        <f aca="false" t="array" ref="C12:C12">IF(A12="","",IFERROR(INDEX('CLM &amp; IM Mapping'!$C$2:$C$270,MATCH(TRIM(A12),'CLM &amp; IM Mapping'!$A$2:$A$270,0)),"Not Mapped"))</f>
        <v>Kantha Kumar</v>
      </c>
      <c r="D12" s="38" t="n">
        <v>56</v>
      </c>
      <c r="E12" s="38" t="n">
        <v>76</v>
      </c>
      <c r="F12" s="38" t="n">
        <v>96</v>
      </c>
      <c r="G12" s="38" t="n">
        <v>123</v>
      </c>
      <c r="H12" s="38" t="n">
        <v>64</v>
      </c>
      <c r="I12" s="38" t="n">
        <v>112</v>
      </c>
      <c r="J12" s="38" t="n">
        <v>527</v>
      </c>
      <c r="K12" s="38" t="n">
        <v>437</v>
      </c>
      <c r="L12" s="12"/>
      <c r="M12" s="12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customFormat="false" ht="15.75" hidden="false" customHeight="true" outlineLevel="0" collapsed="false">
      <c r="A13" s="38" t="s">
        <v>147</v>
      </c>
      <c r="B13" s="38" t="str">
        <f aca="false" t="array" ref="B13:B13">IF(A13="","",IFERROR(INDEX('CLM &amp; IM Mapping'!$B$2:$B$270,MATCH(TRIM(A13),'CLM &amp; IM Mapping'!$A$2:$A$270,0)),"Not Mapped"))</f>
        <v>Manjunatha V</v>
      </c>
      <c r="C13" s="38" t="str">
        <f aca="false" t="array" ref="C13:C13">IF(A13="","",IFERROR(INDEX('CLM &amp; IM Mapping'!$C$2:$C$270,MATCH(TRIM(A13),'CLM &amp; IM Mapping'!$A$2:$A$270,0)),"Not Mapped"))</f>
        <v>Un Mapped</v>
      </c>
      <c r="D13" s="38" t="n">
        <v>15</v>
      </c>
      <c r="E13" s="38" t="n">
        <v>229</v>
      </c>
      <c r="F13" s="38" t="n">
        <v>104</v>
      </c>
      <c r="G13" s="38" t="n">
        <v>14</v>
      </c>
      <c r="H13" s="38" t="n">
        <v>44</v>
      </c>
      <c r="I13" s="38" t="n">
        <v>92</v>
      </c>
      <c r="J13" s="38" t="n">
        <v>498</v>
      </c>
      <c r="K13" s="38" t="n">
        <v>448</v>
      </c>
      <c r="L13" s="12"/>
      <c r="M13" s="1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customFormat="false" ht="15.75" hidden="false" customHeight="true" outlineLevel="0" collapsed="false">
      <c r="A14" s="38" t="s">
        <v>212</v>
      </c>
      <c r="B14" s="38" t="str">
        <f aca="false" t="array" ref="B14:B14">IF(A14="","",IFERROR(INDEX('CLM &amp; IM Mapping'!$B$2:$B$270,MATCH(TRIM(A14),'CLM &amp; IM Mapping'!$A$2:$A$270,0)),"Not Mapped"))</f>
        <v>Adhavan Subramani</v>
      </c>
      <c r="C14" s="38" t="str">
        <f aca="false" t="array" ref="C14:C14">IF(A14="","",IFERROR(INDEX('CLM &amp; IM Mapping'!$C$2:$C$270,MATCH(TRIM(A14),'CLM &amp; IM Mapping'!$A$2:$A$270,0)),"Not Mapped"))</f>
        <v>Mohammed Akbar</v>
      </c>
      <c r="D14" s="38"/>
      <c r="E14" s="38" t="n">
        <v>84</v>
      </c>
      <c r="F14" s="38"/>
      <c r="G14" s="38" t="n">
        <v>194</v>
      </c>
      <c r="H14" s="38" t="n">
        <v>166</v>
      </c>
      <c r="I14" s="38" t="n">
        <v>44</v>
      </c>
      <c r="J14" s="38" t="n">
        <v>488</v>
      </c>
      <c r="K14" s="38" t="n">
        <v>219</v>
      </c>
      <c r="L14" s="12"/>
      <c r="M14" s="12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customFormat="false" ht="15.75" hidden="false" customHeight="true" outlineLevel="0" collapsed="false">
      <c r="A15" s="38" t="s">
        <v>275</v>
      </c>
      <c r="B15" s="38" t="str">
        <f aca="false" t="array" ref="B15:B15">IF(A15="","",IFERROR(INDEX('CLM &amp; IM Mapping'!$B$2:$B$270,MATCH(TRIM(A15),'CLM &amp; IM Mapping'!$A$2:$A$270,0)),"Not Mapped"))</f>
        <v>Keshav G</v>
      </c>
      <c r="C15" s="38" t="str">
        <f aca="false" t="array" ref="C15:C15">IF(A15="","",IFERROR(INDEX('CLM &amp; IM Mapping'!$C$2:$C$270,MATCH(TRIM(A15),'CLM &amp; IM Mapping'!$A$2:$A$270,0)),"Not Mapped"))</f>
        <v>Un Mapped</v>
      </c>
      <c r="D15" s="38" t="n">
        <v>24</v>
      </c>
      <c r="E15" s="38" t="n">
        <v>168</v>
      </c>
      <c r="F15" s="38" t="n">
        <v>114</v>
      </c>
      <c r="G15" s="38" t="n">
        <v>146</v>
      </c>
      <c r="H15" s="38" t="n">
        <v>0</v>
      </c>
      <c r="I15" s="38" t="n">
        <v>2</v>
      </c>
      <c r="J15" s="38" t="n">
        <v>454</v>
      </c>
      <c r="K15" s="38" t="n">
        <v>262</v>
      </c>
      <c r="L15" s="12"/>
      <c r="M15" s="12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customFormat="false" ht="15.75" hidden="false" customHeight="true" outlineLevel="0" collapsed="false">
      <c r="A16" s="38" t="s">
        <v>122</v>
      </c>
      <c r="B16" s="38" t="str">
        <f aca="false" t="array" ref="B16:B16">IF(A16="","",IFERROR(INDEX('CLM &amp; IM Mapping'!$B$2:$B$270,MATCH(TRIM(A16),'CLM &amp; IM Mapping'!$A$2:$A$270,0)),"Not Mapped"))</f>
        <v>Raghavendra Vernekar</v>
      </c>
      <c r="C16" s="38" t="str">
        <f aca="false" t="array" ref="C16:C16">IF(A16="","",IFERROR(INDEX('CLM &amp; IM Mapping'!$C$2:$C$270,MATCH(TRIM(A16),'CLM &amp; IM Mapping'!$A$2:$A$270,0)),"Not Mapped"))</f>
        <v>Prakash BS</v>
      </c>
      <c r="D16" s="38" t="n">
        <v>30</v>
      </c>
      <c r="E16" s="38" t="n">
        <v>256</v>
      </c>
      <c r="F16" s="38" t="n">
        <v>42</v>
      </c>
      <c r="G16" s="38" t="n">
        <v>16</v>
      </c>
      <c r="H16" s="38" t="n">
        <v>97</v>
      </c>
      <c r="I16" s="38" t="n">
        <v>7</v>
      </c>
      <c r="J16" s="38" t="n">
        <v>448</v>
      </c>
      <c r="K16" s="38" t="n">
        <v>448</v>
      </c>
      <c r="L16" s="12"/>
      <c r="M16" s="12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customFormat="false" ht="15.75" hidden="false" customHeight="true" outlineLevel="0" collapsed="false">
      <c r="A17" s="38" t="s">
        <v>254</v>
      </c>
      <c r="B17" s="38" t="str">
        <f aca="false" t="array" ref="B17:B17">IF(A17="","",IFERROR(INDEX('CLM &amp; IM Mapping'!$B$2:$B$270,MATCH(TRIM(A17),'CLM &amp; IM Mapping'!$A$2:$A$270,0)),"Not Mapped"))</f>
        <v>Suhas N</v>
      </c>
      <c r="C17" s="38" t="str">
        <f aca="false" t="array" ref="C17:C17">IF(A17="","",IFERROR(INDEX('CLM &amp; IM Mapping'!$C$2:$C$270,MATCH(TRIM(A17),'CLM &amp; IM Mapping'!$A$2:$A$270,0)),"Not Mapped"))</f>
        <v>Aravind S</v>
      </c>
      <c r="D17" s="38" t="n">
        <v>6</v>
      </c>
      <c r="E17" s="38" t="n">
        <v>130</v>
      </c>
      <c r="F17" s="38" t="n">
        <v>21</v>
      </c>
      <c r="G17" s="38" t="n">
        <v>123</v>
      </c>
      <c r="H17" s="38" t="n">
        <v>80</v>
      </c>
      <c r="I17" s="38" t="n">
        <v>85</v>
      </c>
      <c r="J17" s="38" t="n">
        <v>445</v>
      </c>
      <c r="K17" s="38" t="n">
        <v>361</v>
      </c>
      <c r="L17" s="12"/>
      <c r="M17" s="12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customFormat="false" ht="15.75" hidden="false" customHeight="true" outlineLevel="0" collapsed="false">
      <c r="A18" s="38" t="s">
        <v>40</v>
      </c>
      <c r="B18" s="38" t="str">
        <f aca="false" t="array" ref="B18:B18">IF(A18="","",IFERROR(INDEX('CLM &amp; IM Mapping'!$B$2:$B$270,MATCH(TRIM(A18),'CLM &amp; IM Mapping'!$A$2:$A$270,0)),"Not Mapped"))</f>
        <v>Rizwan Ahmed</v>
      </c>
      <c r="C18" s="38" t="str">
        <f aca="false" t="array" ref="C18:C18">IF(A18="","",IFERROR(INDEX('CLM &amp; IM Mapping'!$C$2:$C$270,MATCH(TRIM(A18),'CLM &amp; IM Mapping'!$A$2:$A$270,0)),"Not Mapped"))</f>
        <v>Un Mapped</v>
      </c>
      <c r="D18" s="38" t="n">
        <v>0</v>
      </c>
      <c r="E18" s="38" t="n">
        <v>211</v>
      </c>
      <c r="F18" s="38"/>
      <c r="G18" s="38" t="n">
        <v>122</v>
      </c>
      <c r="H18" s="38" t="n">
        <v>61</v>
      </c>
      <c r="I18" s="38" t="n">
        <v>47</v>
      </c>
      <c r="J18" s="38" t="n">
        <v>441</v>
      </c>
      <c r="K18" s="38" t="n">
        <v>330</v>
      </c>
      <c r="L18" s="12"/>
      <c r="M18" s="12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customFormat="false" ht="15.75" hidden="false" customHeight="true" outlineLevel="0" collapsed="false">
      <c r="A19" s="38" t="s">
        <v>52</v>
      </c>
      <c r="B19" s="38" t="str">
        <f aca="false" t="array" ref="B19:B19">IF(A19="","",IFERROR(INDEX('CLM &amp; IM Mapping'!$B$2:$B$270,MATCH(TRIM(A19),'CLM &amp; IM Mapping'!$A$2:$A$270,0)),"Not Mapped"))</f>
        <v>Sundaresh S</v>
      </c>
      <c r="C19" s="38" t="str">
        <f aca="false" t="array" ref="C19:C19">IF(A19="","",IFERROR(INDEX('CLM &amp; IM Mapping'!$C$2:$C$270,MATCH(TRIM(A19),'CLM &amp; IM Mapping'!$A$2:$A$270,0)),"Not Mapped"))</f>
        <v>Un Mapped</v>
      </c>
      <c r="D19" s="38" t="n">
        <v>26</v>
      </c>
      <c r="E19" s="38" t="n">
        <v>173</v>
      </c>
      <c r="F19" s="38" t="n">
        <v>88</v>
      </c>
      <c r="G19" s="38" t="n">
        <v>23</v>
      </c>
      <c r="H19" s="38" t="n">
        <v>73</v>
      </c>
      <c r="I19" s="38" t="n">
        <v>18</v>
      </c>
      <c r="J19" s="38" t="n">
        <v>401</v>
      </c>
      <c r="K19" s="38" t="n">
        <v>324</v>
      </c>
      <c r="L19" s="12"/>
      <c r="M19" s="12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customFormat="false" ht="15.75" hidden="false" customHeight="true" outlineLevel="0" collapsed="false">
      <c r="A20" s="38" t="s">
        <v>120</v>
      </c>
      <c r="B20" s="38" t="str">
        <f aca="false" t="array" ref="B20:B20">IF(A20="","",IFERROR(INDEX('CLM &amp; IM Mapping'!$B$2:$B$270,MATCH(TRIM(A20),'CLM &amp; IM Mapping'!$A$2:$A$270,0)),"Not Mapped"))</f>
        <v>Basil Scariya</v>
      </c>
      <c r="C20" s="38" t="str">
        <f aca="false" t="array" ref="C20:C20">IF(A20="","",IFERROR(INDEX('CLM &amp; IM Mapping'!$C$2:$C$270,MATCH(TRIM(A20),'CLM &amp; IM Mapping'!$A$2:$A$270,0)),"Not Mapped"))</f>
        <v>Prakash BS</v>
      </c>
      <c r="D20" s="38" t="n">
        <v>35</v>
      </c>
      <c r="E20" s="38" t="n">
        <v>56</v>
      </c>
      <c r="F20" s="38" t="n">
        <v>102</v>
      </c>
      <c r="G20" s="38" t="n">
        <v>17</v>
      </c>
      <c r="H20" s="38" t="n">
        <v>0</v>
      </c>
      <c r="I20" s="38" t="n">
        <v>177</v>
      </c>
      <c r="J20" s="38" t="n">
        <v>387</v>
      </c>
      <c r="K20" s="38" t="n">
        <v>364</v>
      </c>
      <c r="L20" s="12"/>
      <c r="M20" s="12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customFormat="false" ht="15.75" hidden="false" customHeight="true" outlineLevel="0" collapsed="false">
      <c r="A21" s="38" t="s">
        <v>259</v>
      </c>
      <c r="B21" s="38" t="str">
        <f aca="false" t="array" ref="B21:B21">IF(A21="","",IFERROR(INDEX('CLM &amp; IM Mapping'!$B$2:$B$270,MATCH(TRIM(A21),'CLM &amp; IM Mapping'!$A$2:$A$270,0)),"Not Mapped"))</f>
        <v>Raghavendra Vernekar</v>
      </c>
      <c r="C21" s="38" t="str">
        <f aca="false" t="array" ref="C21:C21">IF(A21="","",IFERROR(INDEX('CLM &amp; IM Mapping'!$C$2:$C$270,MATCH(TRIM(A21),'CLM &amp; IM Mapping'!$A$2:$A$270,0)),"Not Mapped"))</f>
        <v>Prakash BS</v>
      </c>
      <c r="D21" s="38" t="n">
        <v>34</v>
      </c>
      <c r="E21" s="38" t="n">
        <v>71</v>
      </c>
      <c r="F21" s="38" t="n">
        <v>13</v>
      </c>
      <c r="G21" s="38" t="n">
        <v>240</v>
      </c>
      <c r="H21" s="38" t="n">
        <v>0</v>
      </c>
      <c r="I21" s="38" t="n">
        <v>28</v>
      </c>
      <c r="J21" s="38" t="n">
        <v>386</v>
      </c>
      <c r="K21" s="38" t="n">
        <v>372</v>
      </c>
      <c r="L21" s="12"/>
      <c r="M21" s="12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customFormat="false" ht="15.75" hidden="false" customHeight="true" outlineLevel="0" collapsed="false">
      <c r="A22" s="38" t="s">
        <v>70</v>
      </c>
      <c r="B22" s="38" t="str">
        <f aca="false" t="array" ref="B22:B22">IF(A22="","",IFERROR(INDEX('CLM &amp; IM Mapping'!$B$2:$B$270,MATCH(TRIM(A22),'CLM &amp; IM Mapping'!$A$2:$A$270,0)),"Not Mapped"))</f>
        <v>Mohaideen DH</v>
      </c>
      <c r="C22" s="38" t="str">
        <f aca="false" t="array" ref="C22:C22">IF(A22="","",IFERROR(INDEX('CLM &amp; IM Mapping'!$C$2:$C$270,MATCH(TRIM(A22),'CLM &amp; IM Mapping'!$A$2:$A$270,0)),"Not Mapped"))</f>
        <v>Mohammed Akbar</v>
      </c>
      <c r="D22" s="38" t="n">
        <v>0</v>
      </c>
      <c r="E22" s="38" t="n">
        <v>1</v>
      </c>
      <c r="F22" s="38" t="n">
        <v>0</v>
      </c>
      <c r="G22" s="38" t="n">
        <v>247</v>
      </c>
      <c r="H22" s="38" t="n">
        <v>121</v>
      </c>
      <c r="I22" s="38" t="n">
        <v>13</v>
      </c>
      <c r="J22" s="38" t="n">
        <v>382</v>
      </c>
      <c r="K22" s="38" t="n">
        <v>88</v>
      </c>
      <c r="L22" s="12"/>
      <c r="M22" s="12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customFormat="false" ht="15.75" hidden="false" customHeight="true" outlineLevel="0" collapsed="false">
      <c r="A23" s="38" t="s">
        <v>181</v>
      </c>
      <c r="B23" s="38" t="str">
        <f aca="false" t="array" ref="B23:B23">IF(A23="","",IFERROR(INDEX('CLM &amp; IM Mapping'!$B$2:$B$270,MATCH(TRIM(A23),'CLM &amp; IM Mapping'!$A$2:$A$270,0)),"Not Mapped"))</f>
        <v>Raghavendra Vernekar</v>
      </c>
      <c r="C23" s="38" t="str">
        <f aca="false" t="array" ref="C23:C23">IF(A23="","",IFERROR(INDEX('CLM &amp; IM Mapping'!$C$2:$C$270,MATCH(TRIM(A23),'CLM &amp; IM Mapping'!$A$2:$A$270,0)),"Not Mapped"))</f>
        <v>Prakash BS</v>
      </c>
      <c r="D23" s="38" t="n">
        <v>68</v>
      </c>
      <c r="E23" s="38" t="n">
        <v>201</v>
      </c>
      <c r="F23" s="38" t="n">
        <v>74</v>
      </c>
      <c r="G23" s="38" t="n">
        <v>2</v>
      </c>
      <c r="H23" s="38" t="n">
        <v>6</v>
      </c>
      <c r="I23" s="38" t="n">
        <v>31</v>
      </c>
      <c r="J23" s="38" t="n">
        <v>382</v>
      </c>
      <c r="K23" s="38" t="n">
        <v>377</v>
      </c>
      <c r="L23" s="12"/>
      <c r="M23" s="12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customFormat="false" ht="15.75" hidden="false" customHeight="true" outlineLevel="0" collapsed="false">
      <c r="A24" s="38" t="s">
        <v>32</v>
      </c>
      <c r="B24" s="38" t="str">
        <f aca="false" t="array" ref="B24:B24">IF(A24="","",IFERROR(INDEX('CLM &amp; IM Mapping'!$B$2:$B$270,MATCH(TRIM(A24),'CLM &amp; IM Mapping'!$A$2:$A$270,0)),"Not Mapped"))</f>
        <v>Saddam Hussain</v>
      </c>
      <c r="C24" s="38" t="str">
        <f aca="false" t="array" ref="C24:C24">IF(A24="","",IFERROR(INDEX('CLM &amp; IM Mapping'!$C$2:$C$270,MATCH(TRIM(A24),'CLM &amp; IM Mapping'!$A$2:$A$270,0)),"Not Mapped"))</f>
        <v>Un Mapped</v>
      </c>
      <c r="D24" s="38" t="n">
        <v>10</v>
      </c>
      <c r="E24" s="38" t="n">
        <v>3</v>
      </c>
      <c r="F24" s="38" t="n">
        <v>123</v>
      </c>
      <c r="G24" s="38" t="n">
        <v>51</v>
      </c>
      <c r="H24" s="38" t="n">
        <v>88</v>
      </c>
      <c r="I24" s="38" t="n">
        <v>107</v>
      </c>
      <c r="J24" s="38" t="n">
        <v>382</v>
      </c>
      <c r="K24" s="38" t="n">
        <v>339</v>
      </c>
      <c r="L24" s="12"/>
      <c r="M24" s="12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customFormat="false" ht="15.75" hidden="false" customHeight="true" outlineLevel="0" collapsed="false">
      <c r="A25" s="38" t="s">
        <v>146</v>
      </c>
      <c r="B25" s="38" t="str">
        <f aca="false" t="array" ref="B25:B25">IF(A25="","",IFERROR(INDEX('CLM &amp; IM Mapping'!$B$2:$B$270,MATCH(TRIM(A25),'CLM &amp; IM Mapping'!$A$2:$A$270,0)),"Not Mapped"))</f>
        <v>John Britto</v>
      </c>
      <c r="C25" s="38" t="str">
        <f aca="false" t="array" ref="C25:C25">IF(A25="","",IFERROR(INDEX('CLM &amp; IM Mapping'!$C$2:$C$270,MATCH(TRIM(A25),'CLM &amp; IM Mapping'!$A$2:$A$270,0)),"Not Mapped"))</f>
        <v>Aravind S</v>
      </c>
      <c r="D25" s="38" t="n">
        <v>78</v>
      </c>
      <c r="E25" s="38" t="n">
        <v>125</v>
      </c>
      <c r="F25" s="38" t="n">
        <v>119</v>
      </c>
      <c r="G25" s="38" t="n">
        <v>9</v>
      </c>
      <c r="H25" s="38" t="n">
        <v>2</v>
      </c>
      <c r="I25" s="38" t="n">
        <v>34</v>
      </c>
      <c r="J25" s="38" t="n">
        <v>367</v>
      </c>
      <c r="K25" s="38" t="n">
        <v>157</v>
      </c>
      <c r="L25" s="12"/>
      <c r="M25" s="12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customFormat="false" ht="15.75" hidden="false" customHeight="true" outlineLevel="0" collapsed="false">
      <c r="A26" s="38" t="s">
        <v>68</v>
      </c>
      <c r="B26" s="38" t="str">
        <f aca="false" t="array" ref="B26:B26">IF(A26="","",IFERROR(INDEX('CLM &amp; IM Mapping'!$B$2:$B$270,MATCH(TRIM(A26),'CLM &amp; IM Mapping'!$A$2:$A$270,0)),"Not Mapped"))</f>
        <v>Mohaideen DH</v>
      </c>
      <c r="C26" s="38" t="str">
        <f aca="false" t="array" ref="C26:C26">IF(A26="","",IFERROR(INDEX('CLM &amp; IM Mapping'!$C$2:$C$270,MATCH(TRIM(A26),'CLM &amp; IM Mapping'!$A$2:$A$270,0)),"Not Mapped"))</f>
        <v>Mohammed Akbar</v>
      </c>
      <c r="D26" s="38" t="n">
        <v>0</v>
      </c>
      <c r="E26" s="38" t="n">
        <v>16</v>
      </c>
      <c r="F26" s="38" t="n">
        <v>0</v>
      </c>
      <c r="G26" s="38" t="n">
        <v>103</v>
      </c>
      <c r="H26" s="38" t="n">
        <v>179</v>
      </c>
      <c r="I26" s="38" t="n">
        <v>65</v>
      </c>
      <c r="J26" s="38" t="n">
        <v>363</v>
      </c>
      <c r="K26" s="38" t="n">
        <v>171</v>
      </c>
      <c r="L26" s="12"/>
      <c r="M26" s="12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customFormat="false" ht="15.75" hidden="false" customHeight="true" outlineLevel="0" collapsed="false">
      <c r="A27" s="38" t="s">
        <v>271</v>
      </c>
      <c r="B27" s="38" t="str">
        <f aca="false" t="array" ref="B27:B27">IF(A27="","",IFERROR(INDEX('CLM &amp; IM Mapping'!$B$2:$B$270,MATCH(TRIM(A27),'CLM &amp; IM Mapping'!$A$2:$A$270,0)),"Not Mapped"))</f>
        <v>Manjunatha V</v>
      </c>
      <c r="C27" s="38" t="str">
        <f aca="false" t="array" ref="C27:C27">IF(A27="","",IFERROR(INDEX('CLM &amp; IM Mapping'!$C$2:$C$270,MATCH(TRIM(A27),'CLM &amp; IM Mapping'!$A$2:$A$270,0)),"Not Mapped"))</f>
        <v>Un Mapped</v>
      </c>
      <c r="D27" s="38" t="n">
        <v>37</v>
      </c>
      <c r="E27" s="38" t="n">
        <v>48</v>
      </c>
      <c r="F27" s="38"/>
      <c r="G27" s="38" t="n">
        <v>88</v>
      </c>
      <c r="H27" s="38" t="n">
        <v>50</v>
      </c>
      <c r="I27" s="38" t="n">
        <v>133</v>
      </c>
      <c r="J27" s="38" t="n">
        <v>356</v>
      </c>
      <c r="K27" s="38" t="n">
        <v>263</v>
      </c>
      <c r="L27" s="12"/>
      <c r="M27" s="12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customFormat="false" ht="15.75" hidden="false" customHeight="true" outlineLevel="0" collapsed="false">
      <c r="A28" s="38" t="s">
        <v>281</v>
      </c>
      <c r="B28" s="38" t="str">
        <f aca="false" t="array" ref="B28:B28">IF(A28="","",IFERROR(INDEX('CLM &amp; IM Mapping'!$B$2:$B$270,MATCH(TRIM(A28),'CLM &amp; IM Mapping'!$A$2:$A$270,0)),"Not Mapped"))</f>
        <v>Basil Scariya</v>
      </c>
      <c r="C28" s="38" t="str">
        <f aca="false" t="array" ref="C28:C28">IF(A28="","",IFERROR(INDEX('CLM &amp; IM Mapping'!$C$2:$C$270,MATCH(TRIM(A28),'CLM &amp; IM Mapping'!$A$2:$A$270,0)),"Not Mapped"))</f>
        <v>Prakash BS</v>
      </c>
      <c r="D28" s="38" t="n">
        <v>77</v>
      </c>
      <c r="E28" s="38" t="n">
        <v>102</v>
      </c>
      <c r="F28" s="38" t="n">
        <v>16</v>
      </c>
      <c r="G28" s="38" t="n">
        <v>80</v>
      </c>
      <c r="H28" s="38" t="n">
        <v>26</v>
      </c>
      <c r="I28" s="38" t="n">
        <v>54</v>
      </c>
      <c r="J28" s="38" t="n">
        <v>355</v>
      </c>
      <c r="K28" s="38" t="n">
        <v>351</v>
      </c>
      <c r="L28" s="12"/>
      <c r="M28" s="12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customFormat="false" ht="15.75" hidden="false" customHeight="true" outlineLevel="0" collapsed="false">
      <c r="A29" s="38" t="s">
        <v>93</v>
      </c>
      <c r="B29" s="38" t="str">
        <f aca="false" t="array" ref="B29:B29">IF(A29="","",IFERROR(INDEX('CLM &amp; IM Mapping'!$B$2:$B$270,MATCH(TRIM(A29),'CLM &amp; IM Mapping'!$A$2:$A$270,0)),"Not Mapped"))</f>
        <v>Manjunatha V</v>
      </c>
      <c r="C29" s="38" t="str">
        <f aca="false" t="array" ref="C29:C29">IF(A29="","",IFERROR(INDEX('CLM &amp; IM Mapping'!$C$2:$C$270,MATCH(TRIM(A29),'CLM &amp; IM Mapping'!$A$2:$A$270,0)),"Not Mapped"))</f>
        <v>Un Mapped</v>
      </c>
      <c r="D29" s="38" t="n">
        <v>45</v>
      </c>
      <c r="E29" s="38" t="n">
        <v>130</v>
      </c>
      <c r="F29" s="38" t="n">
        <v>12</v>
      </c>
      <c r="G29" s="38" t="n">
        <v>103</v>
      </c>
      <c r="H29" s="38" t="n">
        <v>10</v>
      </c>
      <c r="I29" s="38" t="n">
        <v>50</v>
      </c>
      <c r="J29" s="38" t="n">
        <v>350</v>
      </c>
      <c r="K29" s="38" t="n">
        <v>340</v>
      </c>
      <c r="L29" s="12"/>
      <c r="M29" s="12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customFormat="false" ht="15.75" hidden="false" customHeight="true" outlineLevel="0" collapsed="false">
      <c r="A30" s="38" t="s">
        <v>127</v>
      </c>
      <c r="B30" s="38" t="str">
        <f aca="false" t="array" ref="B30:B30">IF(A30="","",IFERROR(INDEX('CLM &amp; IM Mapping'!$B$2:$B$270,MATCH(TRIM(A30),'CLM &amp; IM Mapping'!$A$2:$A$270,0)),"Not Mapped"))</f>
        <v>Rizwan Ahmed</v>
      </c>
      <c r="C30" s="38" t="str">
        <f aca="false" t="array" ref="C30:C30">IF(A30="","",IFERROR(INDEX('CLM &amp; IM Mapping'!$C$2:$C$270,MATCH(TRIM(A30),'CLM &amp; IM Mapping'!$A$2:$A$270,0)),"Not Mapped"))</f>
        <v>Prakash BS</v>
      </c>
      <c r="D30" s="38" t="n">
        <v>97</v>
      </c>
      <c r="E30" s="38" t="n">
        <v>127</v>
      </c>
      <c r="F30" s="38" t="n">
        <v>4</v>
      </c>
      <c r="G30" s="38" t="n">
        <v>13</v>
      </c>
      <c r="H30" s="38" t="n">
        <v>31</v>
      </c>
      <c r="I30" s="38" t="n">
        <v>78</v>
      </c>
      <c r="J30" s="38" t="n">
        <v>350</v>
      </c>
      <c r="K30" s="38" t="n">
        <v>328</v>
      </c>
      <c r="L30" s="12"/>
      <c r="M30" s="12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customFormat="false" ht="15.75" hidden="false" customHeight="true" outlineLevel="0" collapsed="false">
      <c r="A31" s="38" t="s">
        <v>80</v>
      </c>
      <c r="B31" s="38" t="str">
        <f aca="false" t="array" ref="B31:B31">IF(A31="","",IFERROR(INDEX('CLM &amp; IM Mapping'!$B$2:$B$270,MATCH(TRIM(A31),'CLM &amp; IM Mapping'!$A$2:$A$270,0)),"Not Mapped"))</f>
        <v>Akshay P</v>
      </c>
      <c r="C31" s="38" t="str">
        <f aca="false" t="array" ref="C31:C31">IF(A31="","",IFERROR(INDEX('CLM &amp; IM Mapping'!$C$2:$C$270,MATCH(TRIM(A31),'CLM &amp; IM Mapping'!$A$2:$A$270,0)),"Not Mapped"))</f>
        <v>Srittam Dhal</v>
      </c>
      <c r="D31" s="38" t="n">
        <v>68</v>
      </c>
      <c r="E31" s="38" t="n">
        <v>204</v>
      </c>
      <c r="F31" s="38" t="n">
        <v>69</v>
      </c>
      <c r="G31" s="38" t="n">
        <v>4</v>
      </c>
      <c r="H31" s="38" t="n">
        <v>2</v>
      </c>
      <c r="I31" s="38" t="n">
        <v>0</v>
      </c>
      <c r="J31" s="38" t="n">
        <v>347</v>
      </c>
      <c r="K31" s="38" t="n">
        <v>342</v>
      </c>
      <c r="L31" s="12"/>
      <c r="M31" s="12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customFormat="false" ht="15.75" hidden="false" customHeight="true" outlineLevel="0" collapsed="false">
      <c r="A32" s="38" t="s">
        <v>216</v>
      </c>
      <c r="B32" s="38" t="str">
        <f aca="false" t="array" ref="B32:B32">IF(A32="","",IFERROR(INDEX('CLM &amp; IM Mapping'!$B$2:$B$270,MATCH(TRIM(A32),'CLM &amp; IM Mapping'!$A$2:$A$270,0)),"Not Mapped"))</f>
        <v>Vishnu V</v>
      </c>
      <c r="C32" s="38" t="str">
        <f aca="false" t="array" ref="C32:C32">IF(A32="","",IFERROR(INDEX('CLM &amp; IM Mapping'!$C$2:$C$270,MATCH(TRIM(A32),'CLM &amp; IM Mapping'!$A$2:$A$270,0)),"Not Mapped"))</f>
        <v>Arivind S</v>
      </c>
      <c r="D32" s="38" t="n">
        <v>15</v>
      </c>
      <c r="E32" s="38" t="n">
        <v>240</v>
      </c>
      <c r="F32" s="38" t="n">
        <v>8</v>
      </c>
      <c r="G32" s="38" t="n">
        <v>18</v>
      </c>
      <c r="H32" s="38" t="n">
        <v>21</v>
      </c>
      <c r="I32" s="38" t="n">
        <v>25</v>
      </c>
      <c r="J32" s="38" t="n">
        <v>327</v>
      </c>
      <c r="K32" s="38" t="n">
        <v>225</v>
      </c>
      <c r="L32" s="12"/>
      <c r="M32" s="12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customFormat="false" ht="15.75" hidden="false" customHeight="true" outlineLevel="0" collapsed="false">
      <c r="A33" s="38" t="s">
        <v>102</v>
      </c>
      <c r="B33" s="38" t="str">
        <f aca="false" t="array" ref="B33:B33">IF(A33="","",IFERROR(INDEX('CLM &amp; IM Mapping'!$B$2:$B$270,MATCH(TRIM(A33),'CLM &amp; IM Mapping'!$A$2:$A$270,0)),"Not Mapped"))</f>
        <v>Ashwath S</v>
      </c>
      <c r="C33" s="38" t="str">
        <f aca="false" t="array" ref="C33:C33">IF(A33="","",IFERROR(INDEX('CLM &amp; IM Mapping'!$C$2:$C$270,MATCH(TRIM(A33),'CLM &amp; IM Mapping'!$A$2:$A$270,0)),"Not Mapped"))</f>
        <v>Kantha Kumar</v>
      </c>
      <c r="D33" s="38" t="n">
        <v>82</v>
      </c>
      <c r="E33" s="38" t="n">
        <v>65</v>
      </c>
      <c r="F33" s="38" t="n">
        <v>18</v>
      </c>
      <c r="G33" s="38" t="n">
        <v>0</v>
      </c>
      <c r="H33" s="38" t="n">
        <v>159</v>
      </c>
      <c r="I33" s="38" t="n">
        <v>0</v>
      </c>
      <c r="J33" s="38" t="n">
        <v>324</v>
      </c>
      <c r="K33" s="38" t="n">
        <v>309</v>
      </c>
      <c r="L33" s="12"/>
      <c r="M33" s="12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customFormat="false" ht="15.75" hidden="false" customHeight="true" outlineLevel="0" collapsed="false">
      <c r="A34" s="38" t="s">
        <v>78</v>
      </c>
      <c r="B34" s="38" t="str">
        <f aca="false" t="array" ref="B34:B34">IF(A34="","",IFERROR(INDEX('CLM &amp; IM Mapping'!$B$2:$B$270,MATCH(TRIM(A34),'CLM &amp; IM Mapping'!$A$2:$A$270,0)),"Not Mapped"))</f>
        <v>Vijay M</v>
      </c>
      <c r="C34" s="38" t="str">
        <f aca="false" t="array" ref="C34:C34">IF(A34="","",IFERROR(INDEX('CLM &amp; IM Mapping'!$C$2:$C$270,MATCH(TRIM(A34),'CLM &amp; IM Mapping'!$A$2:$A$270,0)),"Not Mapped"))</f>
        <v>Kantha Kumar</v>
      </c>
      <c r="D34" s="38" t="n">
        <v>13</v>
      </c>
      <c r="E34" s="38" t="n">
        <v>36</v>
      </c>
      <c r="F34" s="38" t="n">
        <v>1</v>
      </c>
      <c r="G34" s="38" t="n">
        <v>246</v>
      </c>
      <c r="H34" s="38" t="n">
        <v>26</v>
      </c>
      <c r="I34" s="38" t="n">
        <v>0</v>
      </c>
      <c r="J34" s="38" t="n">
        <v>322</v>
      </c>
      <c r="K34" s="38" t="n">
        <v>170</v>
      </c>
      <c r="L34" s="12"/>
      <c r="M34" s="12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customFormat="false" ht="15.75" hidden="false" customHeight="true" outlineLevel="0" collapsed="false">
      <c r="A35" s="38" t="s">
        <v>257</v>
      </c>
      <c r="B35" s="38" t="str">
        <f aca="false" t="array" ref="B35:B35">IF(A35="","",IFERROR(INDEX('CLM &amp; IM Mapping'!$B$2:$B$270,MATCH(TRIM(A35),'CLM &amp; IM Mapping'!$A$2:$A$270,0)),"Not Mapped"))</f>
        <v>Vishnu V</v>
      </c>
      <c r="C35" s="38" t="str">
        <f aca="false" t="array" ref="C35:C35">IF(A35="","",IFERROR(INDEX('CLM &amp; IM Mapping'!$C$2:$C$270,MATCH(TRIM(A35),'CLM &amp; IM Mapping'!$A$2:$A$270,0)),"Not Mapped"))</f>
        <v>Arivind S</v>
      </c>
      <c r="D35" s="38" t="n">
        <v>8</v>
      </c>
      <c r="E35" s="38" t="n">
        <v>273</v>
      </c>
      <c r="F35" s="38" t="n">
        <v>0</v>
      </c>
      <c r="G35" s="38" t="n">
        <v>12</v>
      </c>
      <c r="H35" s="38" t="n">
        <v>0</v>
      </c>
      <c r="I35" s="38" t="n">
        <v>22</v>
      </c>
      <c r="J35" s="38" t="n">
        <v>315</v>
      </c>
      <c r="K35" s="38" t="n">
        <v>184</v>
      </c>
      <c r="L35" s="12"/>
      <c r="M35" s="12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customFormat="false" ht="15.75" hidden="false" customHeight="true" outlineLevel="0" collapsed="false">
      <c r="A36" s="38" t="s">
        <v>229</v>
      </c>
      <c r="B36" s="38" t="str">
        <f aca="false" t="array" ref="B36:B36">IF(A36="","",IFERROR(INDEX('CLM &amp; IM Mapping'!$B$2:$B$270,MATCH(TRIM(A36),'CLM &amp; IM Mapping'!$A$2:$A$270,0)),"Not Mapped"))</f>
        <v>John Britto</v>
      </c>
      <c r="C36" s="38" t="str">
        <f aca="false" t="array" ref="C36:C36">IF(A36="","",IFERROR(INDEX('CLM &amp; IM Mapping'!$C$2:$C$270,MATCH(TRIM(A36),'CLM &amp; IM Mapping'!$A$2:$A$270,0)),"Not Mapped"))</f>
        <v>Aravind S</v>
      </c>
      <c r="D36" s="38" t="n">
        <v>3</v>
      </c>
      <c r="E36" s="38" t="n">
        <v>150</v>
      </c>
      <c r="F36" s="38" t="n">
        <v>5</v>
      </c>
      <c r="G36" s="38" t="n">
        <v>12</v>
      </c>
      <c r="H36" s="38" t="n">
        <v>12</v>
      </c>
      <c r="I36" s="38" t="n">
        <v>126</v>
      </c>
      <c r="J36" s="38" t="n">
        <v>308</v>
      </c>
      <c r="K36" s="38" t="n">
        <v>156</v>
      </c>
      <c r="L36" s="12"/>
      <c r="M36" s="12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customFormat="false" ht="15.75" hidden="false" customHeight="true" outlineLevel="0" collapsed="false">
      <c r="A37" s="38" t="s">
        <v>72</v>
      </c>
      <c r="B37" s="38" t="str">
        <f aca="false" t="array" ref="B37:B37">IF(A37="","",IFERROR(INDEX('CLM &amp; IM Mapping'!$B$2:$B$270,MATCH(TRIM(A37),'CLM &amp; IM Mapping'!$A$2:$A$270,0)),"Not Mapped"))</f>
        <v>Akshay P</v>
      </c>
      <c r="C37" s="38" t="str">
        <f aca="false" t="array" ref="C37:C37">IF(A37="","",IFERROR(INDEX('CLM &amp; IM Mapping'!$C$2:$C$270,MATCH(TRIM(A37),'CLM &amp; IM Mapping'!$A$2:$A$270,0)),"Not Mapped"))</f>
        <v>Srittam Dhal</v>
      </c>
      <c r="D37" s="38" t="n">
        <v>43</v>
      </c>
      <c r="E37" s="38" t="n">
        <v>30</v>
      </c>
      <c r="F37" s="38" t="n">
        <v>0</v>
      </c>
      <c r="G37" s="38" t="n">
        <v>57</v>
      </c>
      <c r="H37" s="38" t="n">
        <v>121</v>
      </c>
      <c r="I37" s="38" t="n">
        <v>56</v>
      </c>
      <c r="J37" s="38" t="n">
        <v>307</v>
      </c>
      <c r="K37" s="38" t="n">
        <v>253</v>
      </c>
      <c r="L37" s="12"/>
      <c r="M37" s="12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customFormat="false" ht="15.75" hidden="false" customHeight="true" outlineLevel="0" collapsed="false">
      <c r="A38" s="38" t="s">
        <v>196</v>
      </c>
      <c r="B38" s="38" t="str">
        <f aca="false" t="array" ref="B38:B38">IF(A38="","",IFERROR(INDEX('CLM &amp; IM Mapping'!$B$2:$B$270,MATCH(TRIM(A38),'CLM &amp; IM Mapping'!$A$2:$A$270,0)),"Not Mapped"))</f>
        <v>Saddam Hussain</v>
      </c>
      <c r="C38" s="38" t="str">
        <f aca="false" t="array" ref="C38:C38">IF(A38="","",IFERROR(INDEX('CLM &amp; IM Mapping'!$C$2:$C$270,MATCH(TRIM(A38),'CLM &amp; IM Mapping'!$A$2:$A$270,0)),"Not Mapped"))</f>
        <v>Un Mapped</v>
      </c>
      <c r="D38" s="38" t="n">
        <v>59</v>
      </c>
      <c r="E38" s="38" t="n">
        <v>85</v>
      </c>
      <c r="F38" s="38" t="n">
        <v>4</v>
      </c>
      <c r="G38" s="38" t="n">
        <v>0</v>
      </c>
      <c r="H38" s="38" t="n">
        <v>14</v>
      </c>
      <c r="I38" s="38" t="n">
        <v>142</v>
      </c>
      <c r="J38" s="38" t="n">
        <v>304</v>
      </c>
      <c r="K38" s="38" t="n">
        <v>244</v>
      </c>
      <c r="L38" s="12"/>
      <c r="M38" s="12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customFormat="false" ht="15.75" hidden="false" customHeight="true" outlineLevel="0" collapsed="false">
      <c r="A39" s="38" t="s">
        <v>125</v>
      </c>
      <c r="B39" s="38" t="str">
        <f aca="false" t="array" ref="B39:B39">IF(A39="","",IFERROR(INDEX('CLM &amp; IM Mapping'!$B$2:$B$270,MATCH(TRIM(A39),'CLM &amp; IM Mapping'!$A$2:$A$270,0)),"Not Mapped"))</f>
        <v>Adhavan Subramani</v>
      </c>
      <c r="C39" s="38" t="str">
        <f aca="false" t="array" ref="C39:C39">IF(A39="","",IFERROR(INDEX('CLM &amp; IM Mapping'!$C$2:$C$270,MATCH(TRIM(A39),'CLM &amp; IM Mapping'!$A$2:$A$270,0)),"Not Mapped"))</f>
        <v>Mohammed Akbar</v>
      </c>
      <c r="D39" s="38" t="n">
        <v>0</v>
      </c>
      <c r="E39" s="38" t="n">
        <v>90</v>
      </c>
      <c r="F39" s="38" t="n">
        <v>19</v>
      </c>
      <c r="G39" s="38" t="n">
        <v>126</v>
      </c>
      <c r="H39" s="38" t="n">
        <v>1</v>
      </c>
      <c r="I39" s="38" t="n">
        <v>66</v>
      </c>
      <c r="J39" s="38" t="n">
        <v>302</v>
      </c>
      <c r="K39" s="38" t="n">
        <v>298</v>
      </c>
      <c r="L39" s="12"/>
      <c r="M39" s="12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customFormat="false" ht="15.75" hidden="false" customHeight="true" outlineLevel="0" collapsed="false">
      <c r="A40" s="38" t="s">
        <v>192</v>
      </c>
      <c r="B40" s="38" t="str">
        <f aca="false" t="array" ref="B40:B40">IF(A40="","",IFERROR(INDEX('CLM &amp; IM Mapping'!$B$2:$B$270,MATCH(TRIM(A40),'CLM &amp; IM Mapping'!$A$2:$A$270,0)),"Not Mapped"))</f>
        <v>Vishnu V</v>
      </c>
      <c r="C40" s="38" t="str">
        <f aca="false" t="array" ref="C40:C40">IF(A40="","",IFERROR(INDEX('CLM &amp; IM Mapping'!$C$2:$C$270,MATCH(TRIM(A40),'CLM &amp; IM Mapping'!$A$2:$A$270,0)),"Not Mapped"))</f>
        <v>Arivind S</v>
      </c>
      <c r="D40" s="38" t="n">
        <v>1</v>
      </c>
      <c r="E40" s="38" t="n">
        <v>0</v>
      </c>
      <c r="F40" s="38"/>
      <c r="G40" s="38" t="n">
        <v>0</v>
      </c>
      <c r="H40" s="38" t="n">
        <v>4</v>
      </c>
      <c r="I40" s="38" t="n">
        <v>296</v>
      </c>
      <c r="J40" s="38" t="n">
        <v>301</v>
      </c>
      <c r="K40" s="38" t="n">
        <v>300</v>
      </c>
      <c r="L40" s="12"/>
      <c r="M40" s="12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customFormat="false" ht="15.75" hidden="false" customHeight="true" outlineLevel="0" collapsed="false">
      <c r="A41" s="38" t="s">
        <v>83</v>
      </c>
      <c r="B41" s="38" t="str">
        <f aca="false" t="array" ref="B41:B41">IF(A41="","",IFERROR(INDEX('CLM &amp; IM Mapping'!$B$2:$B$270,MATCH(TRIM(A41),'CLM &amp; IM Mapping'!$A$2:$A$270,0)),"Not Mapped"))</f>
        <v>Balaji G</v>
      </c>
      <c r="C41" s="38" t="str">
        <f aca="false" t="array" ref="C41:C41">IF(A41="","",IFERROR(INDEX('CLM &amp; IM Mapping'!$C$2:$C$270,MATCH(TRIM(A41),'CLM &amp; IM Mapping'!$A$2:$A$270,0)),"Not Mapped"))</f>
        <v>Mohammed Akbar</v>
      </c>
      <c r="D41" s="38" t="n">
        <v>82</v>
      </c>
      <c r="E41" s="38" t="n">
        <v>111</v>
      </c>
      <c r="F41" s="38" t="n">
        <v>4</v>
      </c>
      <c r="G41" s="38" t="n">
        <v>84</v>
      </c>
      <c r="H41" s="38" t="n">
        <v>17</v>
      </c>
      <c r="I41" s="38"/>
      <c r="J41" s="38" t="n">
        <v>298</v>
      </c>
      <c r="K41" s="38" t="n">
        <v>200</v>
      </c>
      <c r="L41" s="12"/>
      <c r="M41" s="12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customFormat="false" ht="15.75" hidden="false" customHeight="true" outlineLevel="0" collapsed="false">
      <c r="A42" s="38" t="s">
        <v>54</v>
      </c>
      <c r="B42" s="38" t="str">
        <f aca="false" t="array" ref="B42:B42">IF(A42="","",IFERROR(INDEX('CLM &amp; IM Mapping'!$B$2:$B$270,MATCH(TRIM(A42),'CLM &amp; IM Mapping'!$A$2:$A$270,0)),"Not Mapped"))</f>
        <v>Suhas N</v>
      </c>
      <c r="C42" s="38" t="str">
        <f aca="false" t="array" ref="C42:C42">IF(A42="","",IFERROR(INDEX('CLM &amp; IM Mapping'!$C$2:$C$270,MATCH(TRIM(A42),'CLM &amp; IM Mapping'!$A$2:$A$270,0)),"Not Mapped"))</f>
        <v>Aravind S</v>
      </c>
      <c r="D42" s="38" t="n">
        <v>0</v>
      </c>
      <c r="E42" s="38" t="n">
        <v>76</v>
      </c>
      <c r="F42" s="38" t="n">
        <v>0</v>
      </c>
      <c r="G42" s="38" t="n">
        <v>115</v>
      </c>
      <c r="H42" s="38" t="n">
        <v>97</v>
      </c>
      <c r="I42" s="38" t="n">
        <v>3</v>
      </c>
      <c r="J42" s="38" t="n">
        <v>291</v>
      </c>
      <c r="K42" s="38" t="n">
        <v>291</v>
      </c>
      <c r="L42" s="12"/>
      <c r="M42" s="12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customFormat="false" ht="15.75" hidden="false" customHeight="true" outlineLevel="0" collapsed="false">
      <c r="A43" s="38" t="s">
        <v>73</v>
      </c>
      <c r="B43" s="38" t="str">
        <f aca="false" t="array" ref="B43:B43">IF(A43="","",IFERROR(INDEX('CLM &amp; IM Mapping'!$B$2:$B$270,MATCH(TRIM(A43),'CLM &amp; IM Mapping'!$A$2:$A$270,0)),"Not Mapped"))</f>
        <v>Ashwath S</v>
      </c>
      <c r="C43" s="38" t="str">
        <f aca="false" t="array" ref="C43:C43">IF(A43="","",IFERROR(INDEX('CLM &amp; IM Mapping'!$C$2:$C$270,MATCH(TRIM(A43),'CLM &amp; IM Mapping'!$A$2:$A$270,0)),"Not Mapped"))</f>
        <v>Kantha Kumar</v>
      </c>
      <c r="D43" s="38" t="n">
        <v>0</v>
      </c>
      <c r="E43" s="38" t="n">
        <v>42</v>
      </c>
      <c r="F43" s="38" t="n">
        <v>0</v>
      </c>
      <c r="G43" s="38" t="n">
        <v>81</v>
      </c>
      <c r="H43" s="38" t="n">
        <v>129</v>
      </c>
      <c r="I43" s="38" t="n">
        <v>30</v>
      </c>
      <c r="J43" s="38" t="n">
        <v>282</v>
      </c>
      <c r="K43" s="38" t="n">
        <v>280</v>
      </c>
      <c r="L43" s="12"/>
      <c r="M43" s="12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customFormat="false" ht="15.75" hidden="false" customHeight="true" outlineLevel="0" collapsed="false">
      <c r="A44" s="38" t="s">
        <v>66</v>
      </c>
      <c r="B44" s="38" t="str">
        <f aca="false" t="array" ref="B44:B44">IF(A44="","",IFERROR(INDEX('CLM &amp; IM Mapping'!$B$2:$B$270,MATCH(TRIM(A44),'CLM &amp; IM Mapping'!$A$2:$A$270,0)),"Not Mapped"))</f>
        <v>Raghavendra Vernekar</v>
      </c>
      <c r="C44" s="38" t="str">
        <f aca="false" t="array" ref="C44:C44">IF(A44="","",IFERROR(INDEX('CLM &amp; IM Mapping'!$C$2:$C$270,MATCH(TRIM(A44),'CLM &amp; IM Mapping'!$A$2:$A$270,0)),"Not Mapped"))</f>
        <v>Prakash BS</v>
      </c>
      <c r="D44" s="38" t="n">
        <v>2</v>
      </c>
      <c r="E44" s="38" t="n">
        <v>61</v>
      </c>
      <c r="F44" s="38"/>
      <c r="G44" s="38" t="n">
        <v>105</v>
      </c>
      <c r="H44" s="38" t="n">
        <v>88</v>
      </c>
      <c r="I44" s="38" t="n">
        <v>26</v>
      </c>
      <c r="J44" s="38" t="n">
        <v>282</v>
      </c>
      <c r="K44" s="38" t="n">
        <v>235</v>
      </c>
      <c r="L44" s="12"/>
      <c r="M44" s="12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customFormat="false" ht="15.75" hidden="false" customHeight="true" outlineLevel="0" collapsed="false">
      <c r="A45" s="38" t="s">
        <v>31</v>
      </c>
      <c r="B45" s="38" t="str">
        <f aca="false" t="array" ref="B45:B45">IF(A45="","",IFERROR(INDEX('CLM &amp; IM Mapping'!$B$2:$B$270,MATCH(TRIM(A45),'CLM &amp; IM Mapping'!$A$2:$A$270,0)),"Not Mapped"))</f>
        <v>Rizwan Ahmed</v>
      </c>
      <c r="C45" s="38" t="str">
        <f aca="false" t="array" ref="C45:C45">IF(A45="","",IFERROR(INDEX('CLM &amp; IM Mapping'!$C$2:$C$270,MATCH(TRIM(A45),'CLM &amp; IM Mapping'!$A$2:$A$270,0)),"Not Mapped"))</f>
        <v>Un Mapped</v>
      </c>
      <c r="D45" s="38" t="n">
        <v>0</v>
      </c>
      <c r="E45" s="38" t="n">
        <v>29</v>
      </c>
      <c r="F45" s="38" t="n">
        <v>0</v>
      </c>
      <c r="G45" s="38" t="n">
        <v>123</v>
      </c>
      <c r="H45" s="38" t="n">
        <v>123</v>
      </c>
      <c r="I45" s="38" t="n">
        <v>5</v>
      </c>
      <c r="J45" s="38" t="n">
        <v>280</v>
      </c>
      <c r="K45" s="38" t="n">
        <v>280</v>
      </c>
      <c r="L45" s="12"/>
      <c r="M45" s="12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customFormat="false" ht="15.75" hidden="false" customHeight="true" outlineLevel="0" collapsed="false">
      <c r="A46" s="38" t="s">
        <v>239</v>
      </c>
      <c r="B46" s="38" t="str">
        <f aca="false" t="array" ref="B46:B46">IF(A46="","",IFERROR(INDEX('CLM &amp; IM Mapping'!$B$2:$B$270,MATCH(TRIM(A46),'CLM &amp; IM Mapping'!$A$2:$A$270,0)),"Not Mapped"))</f>
        <v>Manoj Kj</v>
      </c>
      <c r="C46" s="38" t="str">
        <f aca="false" t="array" ref="C46:C46">IF(A46="","",IFERROR(INDEX('CLM &amp; IM Mapping'!$C$2:$C$270,MATCH(TRIM(A46),'CLM &amp; IM Mapping'!$A$2:$A$270,0)),"Not Mapped"))</f>
        <v>Srittam Dhal</v>
      </c>
      <c r="D46" s="38" t="n">
        <v>10</v>
      </c>
      <c r="E46" s="38" t="n">
        <v>69</v>
      </c>
      <c r="F46" s="38" t="n">
        <v>12</v>
      </c>
      <c r="G46" s="38" t="n">
        <v>41</v>
      </c>
      <c r="H46" s="38" t="n">
        <v>2</v>
      </c>
      <c r="I46" s="38" t="n">
        <v>145</v>
      </c>
      <c r="J46" s="38" t="n">
        <v>279</v>
      </c>
      <c r="K46" s="38" t="n">
        <v>266</v>
      </c>
      <c r="L46" s="12"/>
      <c r="M46" s="12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customFormat="false" ht="15.75" hidden="false" customHeight="true" outlineLevel="0" collapsed="false">
      <c r="A47" s="38" t="s">
        <v>158</v>
      </c>
      <c r="B47" s="38" t="str">
        <f aca="false" t="array" ref="B47:B47">IF(A47="","",IFERROR(INDEX('CLM &amp; IM Mapping'!$B$2:$B$270,MATCH(TRIM(A47),'CLM &amp; IM Mapping'!$A$2:$A$270,0)),"Not Mapped"))</f>
        <v>Vishnu V</v>
      </c>
      <c r="C47" s="38" t="str">
        <f aca="false" t="array" ref="C47:C47">IF(A47="","",IFERROR(INDEX('CLM &amp; IM Mapping'!$C$2:$C$270,MATCH(TRIM(A47),'CLM &amp; IM Mapping'!$A$2:$A$270,0)),"Not Mapped"))</f>
        <v>Arivind S</v>
      </c>
      <c r="D47" s="38" t="n">
        <v>21</v>
      </c>
      <c r="E47" s="38" t="n">
        <v>164</v>
      </c>
      <c r="F47" s="38" t="n">
        <v>60</v>
      </c>
      <c r="G47" s="38" t="n">
        <v>15</v>
      </c>
      <c r="H47" s="38" t="n">
        <v>10</v>
      </c>
      <c r="I47" s="38" t="n">
        <v>5</v>
      </c>
      <c r="J47" s="38" t="n">
        <v>275</v>
      </c>
      <c r="K47" s="38" t="n">
        <v>212</v>
      </c>
      <c r="L47" s="12"/>
      <c r="M47" s="12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customFormat="false" ht="15.75" hidden="false" customHeight="true" outlineLevel="0" collapsed="false">
      <c r="A48" s="38" t="s">
        <v>292</v>
      </c>
      <c r="B48" s="38" t="str">
        <f aca="false" t="array" ref="B48:B48">IF(A48="","",IFERROR(INDEX('CLM &amp; IM Mapping'!$B$2:$B$270,MATCH(TRIM(A48),'CLM &amp; IM Mapping'!$A$2:$A$270,0)),"Not Mapped"))</f>
        <v>Mohaideen DH</v>
      </c>
      <c r="C48" s="38" t="str">
        <f aca="false" t="array" ref="C48:C48">IF(A48="","",IFERROR(INDEX('CLM &amp; IM Mapping'!$C$2:$C$270,MATCH(TRIM(A48),'CLM &amp; IM Mapping'!$A$2:$A$270,0)),"Not Mapped"))</f>
        <v>Mohammed Akbar</v>
      </c>
      <c r="D48" s="38" t="n">
        <v>6</v>
      </c>
      <c r="E48" s="38" t="n">
        <v>76</v>
      </c>
      <c r="F48" s="38" t="n">
        <v>63</v>
      </c>
      <c r="G48" s="38" t="n">
        <v>48</v>
      </c>
      <c r="H48" s="38" t="n">
        <v>45</v>
      </c>
      <c r="I48" s="38" t="n">
        <v>37</v>
      </c>
      <c r="J48" s="38" t="n">
        <v>275</v>
      </c>
      <c r="K48" s="38" t="n">
        <v>275</v>
      </c>
      <c r="L48" s="12"/>
      <c r="M48" s="12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customFormat="false" ht="15.75" hidden="false" customHeight="true" outlineLevel="0" collapsed="false">
      <c r="A49" s="38" t="s">
        <v>108</v>
      </c>
      <c r="B49" s="38" t="str">
        <f aca="false" t="array" ref="B49:B49">IF(A49="","",IFERROR(INDEX('CLM &amp; IM Mapping'!$B$2:$B$270,MATCH(TRIM(A49),'CLM &amp; IM Mapping'!$A$2:$A$270,0)),"Not Mapped"))</f>
        <v>Vijay M</v>
      </c>
      <c r="C49" s="38" t="str">
        <f aca="false" t="array" ref="C49:C49">IF(A49="","",IFERROR(INDEX('CLM &amp; IM Mapping'!$C$2:$C$270,MATCH(TRIM(A49),'CLM &amp; IM Mapping'!$A$2:$A$270,0)),"Not Mapped"))</f>
        <v>Kantha Kumar</v>
      </c>
      <c r="D49" s="38" t="n">
        <v>33</v>
      </c>
      <c r="E49" s="38" t="n">
        <v>139</v>
      </c>
      <c r="F49" s="38" t="n">
        <v>7</v>
      </c>
      <c r="G49" s="38" t="n">
        <v>0</v>
      </c>
      <c r="H49" s="38" t="n">
        <v>6</v>
      </c>
      <c r="I49" s="38" t="n">
        <v>87</v>
      </c>
      <c r="J49" s="38" t="n">
        <v>272</v>
      </c>
      <c r="K49" s="38" t="n">
        <v>271</v>
      </c>
      <c r="L49" s="12"/>
      <c r="M49" s="12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customFormat="false" ht="15.75" hidden="false" customHeight="true" outlineLevel="0" collapsed="false">
      <c r="A50" s="38" t="s">
        <v>114</v>
      </c>
      <c r="B50" s="38" t="str">
        <f aca="false" t="array" ref="B50:B50">IF(A50="","",IFERROR(INDEX('CLM &amp; IM Mapping'!$B$2:$B$270,MATCH(TRIM(A50),'CLM &amp; IM Mapping'!$A$2:$A$270,0)),"Not Mapped"))</f>
        <v>Sundaresh S</v>
      </c>
      <c r="C50" s="38" t="str">
        <f aca="false" t="array" ref="C50:C50">IF(A50="","",IFERROR(INDEX('CLM &amp; IM Mapping'!$C$2:$C$270,MATCH(TRIM(A50),'CLM &amp; IM Mapping'!$A$2:$A$270,0)),"Not Mapped"))</f>
        <v>Un Mapped</v>
      </c>
      <c r="D50" s="38" t="n">
        <v>9</v>
      </c>
      <c r="E50" s="38" t="n">
        <v>28</v>
      </c>
      <c r="F50" s="38" t="n">
        <v>38</v>
      </c>
      <c r="G50" s="38" t="n">
        <v>23</v>
      </c>
      <c r="H50" s="38" t="n">
        <v>131</v>
      </c>
      <c r="I50" s="38" t="n">
        <v>24</v>
      </c>
      <c r="J50" s="38" t="n">
        <v>253</v>
      </c>
      <c r="K50" s="38" t="n">
        <v>252</v>
      </c>
      <c r="L50" s="12"/>
      <c r="M50" s="12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customFormat="false" ht="15.75" hidden="false" customHeight="true" outlineLevel="0" collapsed="false">
      <c r="A51" s="38" t="s">
        <v>62</v>
      </c>
      <c r="B51" s="38" t="str">
        <f aca="false" t="array" ref="B51:B51">IF(A51="","",IFERROR(INDEX('CLM &amp; IM Mapping'!$B$2:$B$270,MATCH(TRIM(A51),'CLM &amp; IM Mapping'!$A$2:$A$270,0)),"Not Mapped"))</f>
        <v>Silambarasan E</v>
      </c>
      <c r="C51" s="38" t="str">
        <f aca="false" t="array" ref="C51:C51">IF(A51="","",IFERROR(INDEX('CLM &amp; IM Mapping'!$C$2:$C$270,MATCH(TRIM(A51),'CLM &amp; IM Mapping'!$A$2:$A$270,0)),"Not Mapped"))</f>
        <v>Arivind S</v>
      </c>
      <c r="D51" s="38" t="n">
        <v>14</v>
      </c>
      <c r="E51" s="38" t="n">
        <v>166</v>
      </c>
      <c r="F51" s="38" t="n">
        <v>26</v>
      </c>
      <c r="G51" s="38" t="n">
        <v>20</v>
      </c>
      <c r="H51" s="38" t="n">
        <v>7</v>
      </c>
      <c r="I51" s="38" t="n">
        <v>8</v>
      </c>
      <c r="J51" s="38" t="n">
        <v>241</v>
      </c>
      <c r="K51" s="38" t="n">
        <v>241</v>
      </c>
      <c r="L51" s="12"/>
      <c r="M51" s="12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customFormat="false" ht="15.75" hidden="false" customHeight="true" outlineLevel="0" collapsed="false">
      <c r="A52" s="38" t="s">
        <v>204</v>
      </c>
      <c r="B52" s="38" t="str">
        <f aca="false" t="array" ref="B52:B52">IF(A52="","",IFERROR(INDEX('CLM &amp; IM Mapping'!$B$2:$B$270,MATCH(TRIM(A52),'CLM &amp; IM Mapping'!$A$2:$A$270,0)),"Not Mapped"))</f>
        <v>Ravishankar gowda</v>
      </c>
      <c r="C52" s="38" t="str">
        <f aca="false" t="array" ref="C52:C52">IF(A52="","",IFERROR(INDEX('CLM &amp; IM Mapping'!$C$2:$C$270,MATCH(TRIM(A52),'CLM &amp; IM Mapping'!$A$2:$A$270,0)),"Not Mapped"))</f>
        <v>Kishor K</v>
      </c>
      <c r="D52" s="38" t="n">
        <v>6</v>
      </c>
      <c r="E52" s="38" t="n">
        <v>62</v>
      </c>
      <c r="F52" s="38" t="n">
        <v>0</v>
      </c>
      <c r="G52" s="38" t="n">
        <v>81</v>
      </c>
      <c r="H52" s="38" t="n">
        <v>45</v>
      </c>
      <c r="I52" s="38" t="n">
        <v>46</v>
      </c>
      <c r="J52" s="38" t="n">
        <v>240</v>
      </c>
      <c r="K52" s="38" t="n">
        <v>240</v>
      </c>
      <c r="L52" s="12"/>
      <c r="M52" s="12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customFormat="false" ht="15.75" hidden="false" customHeight="true" outlineLevel="0" collapsed="false">
      <c r="A53" s="38" t="s">
        <v>225</v>
      </c>
      <c r="B53" s="38" t="str">
        <f aca="false" t="array" ref="B53:B53">IF(A53="","",IFERROR(INDEX('CLM &amp; IM Mapping'!$B$2:$B$270,MATCH(TRIM(A53),'CLM &amp; IM Mapping'!$A$2:$A$270,0)),"Not Mapped"))</f>
        <v>Manjunatha V</v>
      </c>
      <c r="C53" s="38" t="str">
        <f aca="false" t="array" ref="C53:C53">IF(A53="","",IFERROR(INDEX('CLM &amp; IM Mapping'!$C$2:$C$270,MATCH(TRIM(A53),'CLM &amp; IM Mapping'!$A$2:$A$270,0)),"Not Mapped"))</f>
        <v>Un Mapped</v>
      </c>
      <c r="D53" s="38" t="n">
        <v>31</v>
      </c>
      <c r="E53" s="38" t="n">
        <v>79</v>
      </c>
      <c r="F53" s="38" t="n">
        <v>2</v>
      </c>
      <c r="G53" s="38" t="n">
        <v>13</v>
      </c>
      <c r="H53" s="38" t="n">
        <v>41</v>
      </c>
      <c r="I53" s="38" t="n">
        <v>74</v>
      </c>
      <c r="J53" s="38" t="n">
        <v>240</v>
      </c>
      <c r="K53" s="38" t="n">
        <v>142</v>
      </c>
      <c r="L53" s="12"/>
      <c r="M53" s="12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customFormat="false" ht="15.75" hidden="false" customHeight="true" outlineLevel="0" collapsed="false">
      <c r="A54" s="38" t="s">
        <v>45</v>
      </c>
      <c r="B54" s="38" t="str">
        <f aca="false" t="array" ref="B54:B54">IF(A54="","",IFERROR(INDEX('CLM &amp; IM Mapping'!$B$2:$B$270,MATCH(TRIM(A54),'CLM &amp; IM Mapping'!$A$2:$A$270,0)),"Not Mapped"))</f>
        <v>Sundaresh S</v>
      </c>
      <c r="C54" s="38" t="str">
        <f aca="false" t="array" ref="C54:C54">IF(A54="","",IFERROR(INDEX('CLM &amp; IM Mapping'!$C$2:$C$270,MATCH(TRIM(A54),'CLM &amp; IM Mapping'!$A$2:$A$270,0)),"Not Mapped"))</f>
        <v>Un Mapped</v>
      </c>
      <c r="D54" s="38" t="n">
        <v>13</v>
      </c>
      <c r="E54" s="38" t="n">
        <v>93</v>
      </c>
      <c r="F54" s="38" t="n">
        <v>39</v>
      </c>
      <c r="G54" s="38" t="n">
        <v>0</v>
      </c>
      <c r="H54" s="38" t="n">
        <v>0</v>
      </c>
      <c r="I54" s="38" t="n">
        <v>94</v>
      </c>
      <c r="J54" s="38" t="n">
        <v>239</v>
      </c>
      <c r="K54" s="38" t="n">
        <v>239</v>
      </c>
      <c r="L54" s="12"/>
      <c r="M54" s="12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customFormat="false" ht="15.75" hidden="false" customHeight="true" outlineLevel="0" collapsed="false">
      <c r="A55" s="38" t="s">
        <v>298</v>
      </c>
      <c r="B55" s="38" t="str">
        <f aca="false" t="array" ref="B55:B55">IF(A55="","",IFERROR(INDEX('CLM &amp; IM Mapping'!$B$2:$B$270,MATCH(TRIM(A55),'CLM &amp; IM Mapping'!$A$2:$A$270,0)),"Not Mapped"))</f>
        <v>Saddam Hussain</v>
      </c>
      <c r="C55" s="38" t="str">
        <f aca="false" t="array" ref="C55:C55">IF(A55="","",IFERROR(INDEX('CLM &amp; IM Mapping'!$C$2:$C$270,MATCH(TRIM(A55),'CLM &amp; IM Mapping'!$A$2:$A$270,0)),"Not Mapped"))</f>
        <v>Un Mapped</v>
      </c>
      <c r="D55" s="38" t="n">
        <v>10</v>
      </c>
      <c r="E55" s="38" t="n">
        <v>137</v>
      </c>
      <c r="F55" s="38" t="n">
        <v>6</v>
      </c>
      <c r="G55" s="38" t="n">
        <v>25</v>
      </c>
      <c r="H55" s="38" t="n">
        <v>23</v>
      </c>
      <c r="I55" s="38" t="n">
        <v>35</v>
      </c>
      <c r="J55" s="38" t="n">
        <v>236</v>
      </c>
      <c r="K55" s="38" t="n">
        <v>97</v>
      </c>
      <c r="L55" s="12"/>
      <c r="M55" s="12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customFormat="false" ht="15.75" hidden="false" customHeight="true" outlineLevel="0" collapsed="false">
      <c r="A56" s="38" t="s">
        <v>168</v>
      </c>
      <c r="B56" s="38" t="str">
        <f aca="false" t="array" ref="B56:B56">IF(A56="","",IFERROR(INDEX('CLM &amp; IM Mapping'!$B$2:$B$270,MATCH(TRIM(A56),'CLM &amp; IM Mapping'!$A$2:$A$270,0)),"Not Mapped"))</f>
        <v>Saddam Hussain</v>
      </c>
      <c r="C56" s="38" t="str">
        <f aca="false" t="array" ref="C56:C56">IF(A56="","",IFERROR(INDEX('CLM &amp; IM Mapping'!$C$2:$C$270,MATCH(TRIM(A56),'CLM &amp; IM Mapping'!$A$2:$A$270,0)),"Not Mapped"))</f>
        <v>Un Mapped</v>
      </c>
      <c r="D56" s="38" t="n">
        <v>48</v>
      </c>
      <c r="E56" s="38" t="n">
        <v>75</v>
      </c>
      <c r="F56" s="38" t="n">
        <v>78</v>
      </c>
      <c r="G56" s="38" t="n">
        <v>0</v>
      </c>
      <c r="H56" s="38" t="n">
        <v>9</v>
      </c>
      <c r="I56" s="38" t="n">
        <v>19</v>
      </c>
      <c r="J56" s="38" t="n">
        <v>229</v>
      </c>
      <c r="K56" s="38" t="n">
        <v>157</v>
      </c>
      <c r="L56" s="12"/>
      <c r="M56" s="12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customFormat="false" ht="15.75" hidden="false" customHeight="true" outlineLevel="0" collapsed="false">
      <c r="A57" s="38" t="s">
        <v>282</v>
      </c>
      <c r="B57" s="38" t="str">
        <f aca="false" t="array" ref="B57:B57">IF(A57="","",IFERROR(INDEX('CLM &amp; IM Mapping'!$B$2:$B$270,MATCH(TRIM(A57),'CLM &amp; IM Mapping'!$A$2:$A$270,0)),"Not Mapped"))</f>
        <v>Raghavendra Vernekar</v>
      </c>
      <c r="C57" s="38" t="str">
        <f aca="false" t="array" ref="C57:C57">IF(A57="","",IFERROR(INDEX('CLM &amp; IM Mapping'!$C$2:$C$270,MATCH(TRIM(A57),'CLM &amp; IM Mapping'!$A$2:$A$270,0)),"Not Mapped"))</f>
        <v>Prakash BS</v>
      </c>
      <c r="D57" s="38" t="n">
        <v>53</v>
      </c>
      <c r="E57" s="38" t="n">
        <v>42</v>
      </c>
      <c r="F57" s="38" t="n">
        <v>50</v>
      </c>
      <c r="G57" s="38" t="n">
        <v>12</v>
      </c>
      <c r="H57" s="38" t="n">
        <v>5</v>
      </c>
      <c r="I57" s="38" t="n">
        <v>67</v>
      </c>
      <c r="J57" s="38" t="n">
        <v>229</v>
      </c>
      <c r="K57" s="38" t="n">
        <v>213</v>
      </c>
      <c r="L57" s="12"/>
      <c r="M57" s="12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customFormat="false" ht="15.75" hidden="false" customHeight="true" outlineLevel="0" collapsed="false">
      <c r="A58" s="38" t="s">
        <v>285</v>
      </c>
      <c r="B58" s="38" t="str">
        <f aca="false" t="array" ref="B58:B58">IF(A58="","",IFERROR(INDEX('CLM &amp; IM Mapping'!$B$2:$B$270,MATCH(TRIM(A58),'CLM &amp; IM Mapping'!$A$2:$A$270,0)),"Not Mapped"))</f>
        <v>Saddam Hussain</v>
      </c>
      <c r="C58" s="38" t="str">
        <f aca="false" t="array" ref="C58:C58">IF(A58="","",IFERROR(INDEX('CLM &amp; IM Mapping'!$C$2:$C$270,MATCH(TRIM(A58),'CLM &amp; IM Mapping'!$A$2:$A$270,0)),"Not Mapped"))</f>
        <v>Un Mapped</v>
      </c>
      <c r="D58" s="38" t="n">
        <v>0</v>
      </c>
      <c r="E58" s="38" t="n">
        <v>58</v>
      </c>
      <c r="F58" s="38" t="n">
        <v>7</v>
      </c>
      <c r="G58" s="38" t="n">
        <v>69</v>
      </c>
      <c r="H58" s="38" t="n">
        <v>59</v>
      </c>
      <c r="I58" s="38" t="n">
        <v>31</v>
      </c>
      <c r="J58" s="38" t="n">
        <v>224</v>
      </c>
      <c r="K58" s="38" t="n">
        <v>187</v>
      </c>
      <c r="L58" s="12"/>
      <c r="M58" s="12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customFormat="false" ht="15.75" hidden="false" customHeight="true" outlineLevel="0" collapsed="false">
      <c r="A59" s="38" t="s">
        <v>35</v>
      </c>
      <c r="B59" s="38" t="str">
        <f aca="false" t="array" ref="B59:B59">IF(A59="","",IFERROR(INDEX('CLM &amp; IM Mapping'!$B$2:$B$270,MATCH(TRIM(A59),'CLM &amp; IM Mapping'!$A$2:$A$270,0)),"Not Mapped"))</f>
        <v>Keshav G</v>
      </c>
      <c r="C59" s="38" t="str">
        <f aca="false" t="array" ref="C59:C59">IF(A59="","",IFERROR(INDEX('CLM &amp; IM Mapping'!$C$2:$C$270,MATCH(TRIM(A59),'CLM &amp; IM Mapping'!$A$2:$A$270,0)),"Not Mapped"))</f>
        <v>Un Mapped</v>
      </c>
      <c r="D59" s="38" t="n">
        <v>0</v>
      </c>
      <c r="E59" s="38" t="n">
        <v>17</v>
      </c>
      <c r="F59" s="38" t="n">
        <v>0</v>
      </c>
      <c r="G59" s="38" t="n">
        <v>17</v>
      </c>
      <c r="H59" s="38" t="n">
        <v>185</v>
      </c>
      <c r="I59" s="38" t="n">
        <v>0</v>
      </c>
      <c r="J59" s="38" t="n">
        <v>219</v>
      </c>
      <c r="K59" s="38" t="n">
        <v>136</v>
      </c>
      <c r="L59" s="12"/>
      <c r="M59" s="12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customFormat="false" ht="15.75" hidden="false" customHeight="true" outlineLevel="0" collapsed="false">
      <c r="A60" s="38" t="s">
        <v>139</v>
      </c>
      <c r="B60" s="38" t="str">
        <f aca="false" t="array" ref="B60:B60">IF(A60="","",IFERROR(INDEX('CLM &amp; IM Mapping'!$B$2:$B$270,MATCH(TRIM(A60),'CLM &amp; IM Mapping'!$A$2:$A$270,0)),"Not Mapped"))</f>
        <v>Mohaideen DH</v>
      </c>
      <c r="C60" s="38" t="str">
        <f aca="false" t="array" ref="C60:C60">IF(A60="","",IFERROR(INDEX('CLM &amp; IM Mapping'!$C$2:$C$270,MATCH(TRIM(A60),'CLM &amp; IM Mapping'!$A$2:$A$270,0)),"Not Mapped"))</f>
        <v>Mohammed Akbar</v>
      </c>
      <c r="D60" s="38" t="n">
        <v>98</v>
      </c>
      <c r="E60" s="38" t="n">
        <v>48</v>
      </c>
      <c r="F60" s="38" t="n">
        <v>19</v>
      </c>
      <c r="G60" s="38" t="n">
        <v>3</v>
      </c>
      <c r="H60" s="38" t="n">
        <v>46</v>
      </c>
      <c r="I60" s="38" t="n">
        <v>4</v>
      </c>
      <c r="J60" s="38" t="n">
        <v>218</v>
      </c>
      <c r="K60" s="38" t="n">
        <v>215</v>
      </c>
      <c r="L60" s="12"/>
      <c r="M60" s="12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customFormat="false" ht="15.75" hidden="false" customHeight="true" outlineLevel="0" collapsed="false">
      <c r="A61" s="38" t="s">
        <v>76</v>
      </c>
      <c r="B61" s="38" t="str">
        <f aca="false" t="array" ref="B61:B61">IF(A61="","",IFERROR(INDEX('CLM &amp; IM Mapping'!$B$2:$B$270,MATCH(TRIM(A61),'CLM &amp; IM Mapping'!$A$2:$A$270,0)),"Not Mapped"))</f>
        <v>Ashwath S</v>
      </c>
      <c r="C61" s="38" t="str">
        <f aca="false" t="array" ref="C61:C61">IF(A61="","",IFERROR(INDEX('CLM &amp; IM Mapping'!$C$2:$C$270,MATCH(TRIM(A61),'CLM &amp; IM Mapping'!$A$2:$A$270,0)),"Not Mapped"))</f>
        <v>Kantha Kumar</v>
      </c>
      <c r="D61" s="38" t="n">
        <v>41</v>
      </c>
      <c r="E61" s="38" t="n">
        <v>111</v>
      </c>
      <c r="F61" s="38" t="n">
        <v>58</v>
      </c>
      <c r="G61" s="38" t="n">
        <v>2</v>
      </c>
      <c r="H61" s="38" t="n">
        <v>6</v>
      </c>
      <c r="I61" s="38" t="n">
        <v>0</v>
      </c>
      <c r="J61" s="38" t="n">
        <v>218</v>
      </c>
      <c r="K61" s="38" t="n">
        <v>212</v>
      </c>
      <c r="L61" s="12"/>
      <c r="M61" s="12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customFormat="false" ht="15.75" hidden="false" customHeight="true" outlineLevel="0" collapsed="false">
      <c r="A62" s="38" t="s">
        <v>299</v>
      </c>
      <c r="B62" s="38" t="str">
        <f aca="false" t="array" ref="B62:B62">IF(A62="","",IFERROR(INDEX('CLM &amp; IM Mapping'!$B$2:$B$270,MATCH(TRIM(A62),'CLM &amp; IM Mapping'!$A$2:$A$270,0)),"Not Mapped"))</f>
        <v>Balaji G</v>
      </c>
      <c r="C62" s="38" t="str">
        <f aca="false" t="array" ref="C62:C62">IF(A62="","",IFERROR(INDEX('CLM &amp; IM Mapping'!$C$2:$C$270,MATCH(TRIM(A62),'CLM &amp; IM Mapping'!$A$2:$A$270,0)),"Not Mapped"))</f>
        <v>Mohammed Akbar</v>
      </c>
      <c r="D62" s="38" t="n">
        <v>1</v>
      </c>
      <c r="E62" s="38" t="n">
        <v>97</v>
      </c>
      <c r="F62" s="38" t="n">
        <v>0</v>
      </c>
      <c r="G62" s="38" t="n">
        <v>18</v>
      </c>
      <c r="H62" s="38" t="n">
        <v>1</v>
      </c>
      <c r="I62" s="38" t="n">
        <v>91</v>
      </c>
      <c r="J62" s="38" t="n">
        <v>208</v>
      </c>
      <c r="K62" s="38" t="n">
        <v>208</v>
      </c>
      <c r="L62" s="12"/>
      <c r="M62" s="12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customFormat="false" ht="15.75" hidden="false" customHeight="true" outlineLevel="0" collapsed="false">
      <c r="A63" s="38" t="s">
        <v>60</v>
      </c>
      <c r="B63" s="38" t="str">
        <f aca="false" t="array" ref="B63:B63">IF(A63="","",IFERROR(INDEX('CLM &amp; IM Mapping'!$B$2:$B$270,MATCH(TRIM(A63),'CLM &amp; IM Mapping'!$A$2:$A$270,0)),"Not Mapped"))</f>
        <v>Adhavan Subramani</v>
      </c>
      <c r="C63" s="38" t="str">
        <f aca="false" t="array" ref="C63:C63">IF(A63="","",IFERROR(INDEX('CLM &amp; IM Mapping'!$C$2:$C$270,MATCH(TRIM(A63),'CLM &amp; IM Mapping'!$A$2:$A$270,0)),"Not Mapped"))</f>
        <v>Mohammed Akbar</v>
      </c>
      <c r="D63" s="38" t="n">
        <v>11</v>
      </c>
      <c r="E63" s="38" t="n">
        <v>88</v>
      </c>
      <c r="F63" s="38" t="n">
        <v>34</v>
      </c>
      <c r="G63" s="38" t="n">
        <v>5</v>
      </c>
      <c r="H63" s="38" t="n">
        <v>14</v>
      </c>
      <c r="I63" s="38" t="n">
        <v>55</v>
      </c>
      <c r="J63" s="38" t="n">
        <v>207</v>
      </c>
      <c r="K63" s="38" t="n">
        <v>207</v>
      </c>
      <c r="L63" s="12"/>
      <c r="M63" s="12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customFormat="false" ht="15.75" hidden="false" customHeight="true" outlineLevel="0" collapsed="false">
      <c r="A64" s="38" t="s">
        <v>242</v>
      </c>
      <c r="B64" s="38" t="str">
        <f aca="false" t="array" ref="B64:B64">IF(A64="","",IFERROR(INDEX('CLM &amp; IM Mapping'!$B$2:$B$270,MATCH(TRIM(A64),'CLM &amp; IM Mapping'!$A$2:$A$270,0)),"Not Mapped"))</f>
        <v>John Britto</v>
      </c>
      <c r="C64" s="38" t="str">
        <f aca="false" t="array" ref="C64:C64">IF(A64="","",IFERROR(INDEX('CLM &amp; IM Mapping'!$C$2:$C$270,MATCH(TRIM(A64),'CLM &amp; IM Mapping'!$A$2:$A$270,0)),"Not Mapped"))</f>
        <v>Aravind S</v>
      </c>
      <c r="D64" s="38" t="n">
        <v>3</v>
      </c>
      <c r="E64" s="38" t="n">
        <v>184</v>
      </c>
      <c r="F64" s="38" t="n">
        <v>10</v>
      </c>
      <c r="G64" s="38" t="n">
        <v>9</v>
      </c>
      <c r="H64" s="38" t="n">
        <v>0</v>
      </c>
      <c r="I64" s="38" t="n">
        <v>0</v>
      </c>
      <c r="J64" s="38" t="n">
        <v>206</v>
      </c>
      <c r="K64" s="38" t="n">
        <v>109</v>
      </c>
      <c r="L64" s="12"/>
      <c r="M64" s="12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customFormat="false" ht="15.75" hidden="false" customHeight="true" outlineLevel="0" collapsed="false">
      <c r="A65" s="38" t="s">
        <v>194</v>
      </c>
      <c r="B65" s="38" t="str">
        <f aca="false" t="array" ref="B65:B65">IF(A65="","",IFERROR(INDEX('CLM &amp; IM Mapping'!$B$2:$B$270,MATCH(TRIM(A65),'CLM &amp; IM Mapping'!$A$2:$A$270,0)),"Not Mapped"))</f>
        <v>Balaji G</v>
      </c>
      <c r="C65" s="38" t="str">
        <f aca="false" t="array" ref="C65:C65">IF(A65="","",IFERROR(INDEX('CLM &amp; IM Mapping'!$C$2:$C$270,MATCH(TRIM(A65),'CLM &amp; IM Mapping'!$A$2:$A$270,0)),"Not Mapped"))</f>
        <v>Mohammed Akbar</v>
      </c>
      <c r="D65" s="38" t="n">
        <v>37</v>
      </c>
      <c r="E65" s="38" t="n">
        <v>24</v>
      </c>
      <c r="F65" s="38" t="n">
        <v>80</v>
      </c>
      <c r="G65" s="38" t="n">
        <v>0</v>
      </c>
      <c r="H65" s="38" t="n">
        <v>33</v>
      </c>
      <c r="I65" s="38" t="n">
        <v>30</v>
      </c>
      <c r="J65" s="38" t="n">
        <v>204</v>
      </c>
      <c r="K65" s="38" t="n">
        <v>203</v>
      </c>
      <c r="L65" s="12"/>
      <c r="M65" s="12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customFormat="false" ht="15.75" hidden="false" customHeight="true" outlineLevel="0" collapsed="false">
      <c r="A66" s="38" t="s">
        <v>84</v>
      </c>
      <c r="B66" s="38" t="str">
        <f aca="false" t="array" ref="B66:B66">IF(A66="","",IFERROR(INDEX('CLM &amp; IM Mapping'!$B$2:$B$270,MATCH(TRIM(A66),'CLM &amp; IM Mapping'!$A$2:$A$270,0)),"Not Mapped"))</f>
        <v>Silambarasan E</v>
      </c>
      <c r="C66" s="38" t="str">
        <f aca="false" t="array" ref="C66:C66">IF(A66="","",IFERROR(INDEX('CLM &amp; IM Mapping'!$C$2:$C$270,MATCH(TRIM(A66),'CLM &amp; IM Mapping'!$A$2:$A$270,0)),"Not Mapped"))</f>
        <v>Arivind S</v>
      </c>
      <c r="D66" s="38" t="n">
        <v>0</v>
      </c>
      <c r="E66" s="38" t="n">
        <v>54</v>
      </c>
      <c r="F66" s="38" t="n">
        <v>0</v>
      </c>
      <c r="G66" s="38" t="n">
        <v>103</v>
      </c>
      <c r="H66" s="38" t="n">
        <v>11</v>
      </c>
      <c r="I66" s="38" t="n">
        <v>36</v>
      </c>
      <c r="J66" s="38" t="n">
        <v>204</v>
      </c>
      <c r="K66" s="38" t="n">
        <v>139</v>
      </c>
      <c r="L66" s="12"/>
      <c r="M66" s="12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customFormat="false" ht="15.75" hidden="false" customHeight="true" outlineLevel="0" collapsed="false">
      <c r="A67" s="38" t="s">
        <v>268</v>
      </c>
      <c r="B67" s="38" t="str">
        <f aca="false" t="array" ref="B67:B67">IF(A67="","",IFERROR(INDEX('CLM &amp; IM Mapping'!$B$2:$B$270,MATCH(TRIM(A67),'CLM &amp; IM Mapping'!$A$2:$A$270,0)),"Not Mapped"))</f>
        <v>Balaji G</v>
      </c>
      <c r="C67" s="38" t="str">
        <f aca="false" t="array" ref="C67:C67">IF(A67="","",IFERROR(INDEX('CLM &amp; IM Mapping'!$C$2:$C$270,MATCH(TRIM(A67),'CLM &amp; IM Mapping'!$A$2:$A$270,0)),"Not Mapped"))</f>
        <v>Mohammed Akbar</v>
      </c>
      <c r="D67" s="38" t="n">
        <v>0</v>
      </c>
      <c r="E67" s="38" t="n">
        <v>0</v>
      </c>
      <c r="F67" s="38" t="n">
        <v>0</v>
      </c>
      <c r="G67" s="38" t="n">
        <v>145</v>
      </c>
      <c r="H67" s="38" t="n">
        <v>56</v>
      </c>
      <c r="I67" s="38" t="n">
        <v>0</v>
      </c>
      <c r="J67" s="38" t="n">
        <v>201</v>
      </c>
      <c r="K67" s="38" t="n">
        <v>201</v>
      </c>
      <c r="L67" s="12"/>
      <c r="M67" s="12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customFormat="false" ht="15.75" hidden="false" customHeight="true" outlineLevel="0" collapsed="false">
      <c r="A68" s="38" t="s">
        <v>100</v>
      </c>
      <c r="B68" s="38" t="str">
        <f aca="false" t="array" ref="B68:B68">IF(A68="","",IFERROR(INDEX('CLM &amp; IM Mapping'!$B$2:$B$270,MATCH(TRIM(A68),'CLM &amp; IM Mapping'!$A$2:$A$270,0)),"Not Mapped"))</f>
        <v>Bangareppa CS</v>
      </c>
      <c r="C68" s="38" t="str">
        <f aca="false" t="array" ref="C68:C68">IF(A68="","",IFERROR(INDEX('CLM &amp; IM Mapping'!$C$2:$C$270,MATCH(TRIM(A68),'CLM &amp; IM Mapping'!$A$2:$A$270,0)),"Not Mapped"))</f>
        <v>Kishor K</v>
      </c>
      <c r="D68" s="38" t="n">
        <v>6</v>
      </c>
      <c r="E68" s="38" t="n">
        <v>195</v>
      </c>
      <c r="F68" s="38" t="n">
        <v>0</v>
      </c>
      <c r="G68" s="38" t="n">
        <v>0</v>
      </c>
      <c r="H68" s="38" t="n">
        <v>0</v>
      </c>
      <c r="I68" s="38" t="n">
        <v>0</v>
      </c>
      <c r="J68" s="38" t="n">
        <v>201</v>
      </c>
      <c r="K68" s="38" t="n">
        <v>15</v>
      </c>
      <c r="L68" s="12"/>
      <c r="M68" s="12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customFormat="false" ht="15.75" hidden="false" customHeight="true" outlineLevel="0" collapsed="false">
      <c r="A69" s="38" t="s">
        <v>112</v>
      </c>
      <c r="B69" s="38" t="str">
        <f aca="false" t="array" ref="B69:B69">IF(A69="","",IFERROR(INDEX('CLM &amp; IM Mapping'!$B$2:$B$270,MATCH(TRIM(A69),'CLM &amp; IM Mapping'!$A$2:$A$270,0)),"Not Mapped"))</f>
        <v>Akshay P</v>
      </c>
      <c r="C69" s="38" t="str">
        <f aca="false" t="array" ref="C69:C69">IF(A69="","",IFERROR(INDEX('CLM &amp; IM Mapping'!$C$2:$C$270,MATCH(TRIM(A69),'CLM &amp; IM Mapping'!$A$2:$A$270,0)),"Not Mapped"))</f>
        <v>Srittam Dhal</v>
      </c>
      <c r="D69" s="38" t="n">
        <v>29</v>
      </c>
      <c r="E69" s="38" t="n">
        <v>70</v>
      </c>
      <c r="F69" s="38" t="n">
        <v>53</v>
      </c>
      <c r="G69" s="38" t="n">
        <v>0</v>
      </c>
      <c r="H69" s="38" t="n">
        <v>0</v>
      </c>
      <c r="I69" s="38" t="n">
        <v>46</v>
      </c>
      <c r="J69" s="38" t="n">
        <v>198</v>
      </c>
      <c r="K69" s="38" t="n">
        <v>196</v>
      </c>
      <c r="L69" s="12"/>
      <c r="M69" s="12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customFormat="false" ht="15.75" hidden="false" customHeight="true" outlineLevel="0" collapsed="false">
      <c r="A70" s="38" t="s">
        <v>269</v>
      </c>
      <c r="B70" s="38" t="str">
        <f aca="false" t="array" ref="B70:B70">IF(A70="","",IFERROR(INDEX('CLM &amp; IM Mapping'!$B$2:$B$270,MATCH(TRIM(A70),'CLM &amp; IM Mapping'!$A$2:$A$270,0)),"Not Mapped"))</f>
        <v>Sundaresh S</v>
      </c>
      <c r="C70" s="38" t="str">
        <f aca="false" t="array" ref="C70:C70">IF(A70="","",IFERROR(INDEX('CLM &amp; IM Mapping'!$C$2:$C$270,MATCH(TRIM(A70),'CLM &amp; IM Mapping'!$A$2:$A$270,0)),"Not Mapped"))</f>
        <v>Un Mapped</v>
      </c>
      <c r="D70" s="38" t="n">
        <v>6</v>
      </c>
      <c r="E70" s="38" t="n">
        <v>54</v>
      </c>
      <c r="F70" s="38" t="n">
        <v>53</v>
      </c>
      <c r="G70" s="38" t="n">
        <v>65</v>
      </c>
      <c r="H70" s="38" t="n">
        <v>3</v>
      </c>
      <c r="I70" s="38" t="n">
        <v>16</v>
      </c>
      <c r="J70" s="38" t="n">
        <v>197</v>
      </c>
      <c r="K70" s="38" t="n">
        <v>197</v>
      </c>
      <c r="L70" s="12"/>
      <c r="M70" s="12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customFormat="false" ht="15.75" hidden="false" customHeight="true" outlineLevel="0" collapsed="false">
      <c r="A71" s="38" t="s">
        <v>121</v>
      </c>
      <c r="B71" s="38" t="str">
        <f aca="false" t="array" ref="B71:B71">IF(A71="","",IFERROR(INDEX('CLM &amp; IM Mapping'!$B$2:$B$270,MATCH(TRIM(A71),'CLM &amp; IM Mapping'!$A$2:$A$270,0)),"Not Mapped"))</f>
        <v>Raghavendra Vernekar</v>
      </c>
      <c r="C71" s="38" t="str">
        <f aca="false" t="array" ref="C71:C71">IF(A71="","",IFERROR(INDEX('CLM &amp; IM Mapping'!$C$2:$C$270,MATCH(TRIM(A71),'CLM &amp; IM Mapping'!$A$2:$A$270,0)),"Not Mapped"))</f>
        <v>Prakash BS</v>
      </c>
      <c r="D71" s="38" t="n">
        <v>61</v>
      </c>
      <c r="E71" s="38" t="n">
        <v>5</v>
      </c>
      <c r="F71" s="38" t="n">
        <v>32</v>
      </c>
      <c r="G71" s="38" t="n">
        <v>8</v>
      </c>
      <c r="H71" s="38" t="n">
        <v>5</v>
      </c>
      <c r="I71" s="38" t="n">
        <v>80</v>
      </c>
      <c r="J71" s="38" t="n">
        <v>191</v>
      </c>
      <c r="K71" s="38" t="n">
        <v>190</v>
      </c>
      <c r="L71" s="12"/>
      <c r="M71" s="12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customFormat="false" ht="15.75" hidden="false" customHeight="true" outlineLevel="0" collapsed="false">
      <c r="A72" s="38" t="s">
        <v>251</v>
      </c>
      <c r="B72" s="38" t="str">
        <f aca="false" t="array" ref="B72:B72">IF(A72="","",IFERROR(INDEX('CLM &amp; IM Mapping'!$B$2:$B$270,MATCH(TRIM(A72),'CLM &amp; IM Mapping'!$A$2:$A$270,0)),"Not Mapped"))</f>
        <v>Vijay M</v>
      </c>
      <c r="C72" s="38" t="str">
        <f aca="false" t="array" ref="C72:C72">IF(A72="","",IFERROR(INDEX('CLM &amp; IM Mapping'!$C$2:$C$270,MATCH(TRIM(A72),'CLM &amp; IM Mapping'!$A$2:$A$270,0)),"Not Mapped"))</f>
        <v>Kantha Kumar</v>
      </c>
      <c r="D72" s="38" t="n">
        <v>0</v>
      </c>
      <c r="E72" s="38" t="n">
        <v>28</v>
      </c>
      <c r="F72" s="38" t="n">
        <v>0</v>
      </c>
      <c r="G72" s="38" t="n">
        <v>88</v>
      </c>
      <c r="H72" s="38" t="n">
        <v>29</v>
      </c>
      <c r="I72" s="38" t="n">
        <v>44</v>
      </c>
      <c r="J72" s="38" t="n">
        <v>189</v>
      </c>
      <c r="K72" s="38" t="n">
        <v>186</v>
      </c>
      <c r="L72" s="12"/>
      <c r="M72" s="12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customFormat="false" ht="15.75" hidden="false" customHeight="true" outlineLevel="0" collapsed="false">
      <c r="A73" s="38" t="s">
        <v>193</v>
      </c>
      <c r="B73" s="38" t="str">
        <f aca="false" t="array" ref="B73:B73">IF(A73="","",IFERROR(INDEX('CLM &amp; IM Mapping'!$B$2:$B$270,MATCH(TRIM(A73),'CLM &amp; IM Mapping'!$A$2:$A$270,0)),"Not Mapped"))</f>
        <v>Richard Harris</v>
      </c>
      <c r="C73" s="38" t="str">
        <f aca="false" t="array" ref="C73:C73">IF(A73="","",IFERROR(INDEX('CLM &amp; IM Mapping'!$C$2:$C$270,MATCH(TRIM(A73),'CLM &amp; IM Mapping'!$A$2:$A$270,0)),"Not Mapped"))</f>
        <v>Kantha Kumar</v>
      </c>
      <c r="D73" s="38" t="n">
        <v>0</v>
      </c>
      <c r="E73" s="38" t="n">
        <v>31</v>
      </c>
      <c r="F73" s="38" t="n">
        <v>0</v>
      </c>
      <c r="G73" s="38" t="n">
        <v>129</v>
      </c>
      <c r="H73" s="38" t="n">
        <v>28</v>
      </c>
      <c r="I73" s="38" t="n">
        <v>0</v>
      </c>
      <c r="J73" s="38" t="n">
        <v>188</v>
      </c>
      <c r="K73" s="38" t="n">
        <v>122</v>
      </c>
      <c r="L73" s="12"/>
      <c r="M73" s="12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customFormat="false" ht="15.75" hidden="false" customHeight="true" outlineLevel="0" collapsed="false">
      <c r="A74" s="38" t="s">
        <v>289</v>
      </c>
      <c r="B74" s="38" t="str">
        <f aca="false" t="array" ref="B74:B74">IF(A74="","",IFERROR(INDEX('CLM &amp; IM Mapping'!$B$2:$B$270,MATCH(TRIM(A74),'CLM &amp; IM Mapping'!$A$2:$A$270,0)),"Not Mapped"))</f>
        <v>Manoj Kj</v>
      </c>
      <c r="C74" s="38" t="str">
        <f aca="false" t="array" ref="C74:C74">IF(A74="","",IFERROR(INDEX('CLM &amp; IM Mapping'!$C$2:$C$270,MATCH(TRIM(A74),'CLM &amp; IM Mapping'!$A$2:$A$270,0)),"Not Mapped"))</f>
        <v>Srittam Dhal</v>
      </c>
      <c r="D74" s="38" t="n">
        <v>2</v>
      </c>
      <c r="E74" s="38" t="n">
        <v>60</v>
      </c>
      <c r="F74" s="38" t="n">
        <v>0</v>
      </c>
      <c r="G74" s="38" t="n">
        <v>63</v>
      </c>
      <c r="H74" s="38" t="n">
        <v>27</v>
      </c>
      <c r="I74" s="38" t="n">
        <v>34</v>
      </c>
      <c r="J74" s="38" t="n">
        <v>186</v>
      </c>
      <c r="K74" s="38" t="n">
        <v>159</v>
      </c>
      <c r="L74" s="12"/>
      <c r="M74" s="12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customFormat="false" ht="15.75" hidden="false" customHeight="true" outlineLevel="0" collapsed="false">
      <c r="A75" s="38" t="s">
        <v>157</v>
      </c>
      <c r="B75" s="38" t="str">
        <f aca="false" t="array" ref="B75:B75">IF(A75="","",IFERROR(INDEX('CLM &amp; IM Mapping'!$B$2:$B$270,MATCH(TRIM(A75),'CLM &amp; IM Mapping'!$A$2:$A$270,0)),"Not Mapped"))</f>
        <v>Ashwath S</v>
      </c>
      <c r="C75" s="38" t="str">
        <f aca="false" t="array" ref="C75:C75">IF(A75="","",IFERROR(INDEX('CLM &amp; IM Mapping'!$C$2:$C$270,MATCH(TRIM(A75),'CLM &amp; IM Mapping'!$A$2:$A$270,0)),"Not Mapped"))</f>
        <v>Kantha Kumar</v>
      </c>
      <c r="D75" s="38" t="n">
        <v>0</v>
      </c>
      <c r="E75" s="38" t="n">
        <v>33</v>
      </c>
      <c r="F75" s="38" t="n">
        <v>0</v>
      </c>
      <c r="G75" s="38" t="n">
        <v>82</v>
      </c>
      <c r="H75" s="38" t="n">
        <v>49</v>
      </c>
      <c r="I75" s="38" t="n">
        <v>18</v>
      </c>
      <c r="J75" s="38" t="n">
        <v>182</v>
      </c>
      <c r="K75" s="38" t="n">
        <v>182</v>
      </c>
      <c r="L75" s="12"/>
      <c r="M75" s="12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customFormat="false" ht="15.75" hidden="false" customHeight="true" outlineLevel="0" collapsed="false">
      <c r="A76" s="38" t="s">
        <v>226</v>
      </c>
      <c r="B76" s="38" t="str">
        <f aca="false" t="array" ref="B76:B76">IF(A76="","",IFERROR(INDEX('CLM &amp; IM Mapping'!$B$2:$B$270,MATCH(TRIM(A76),'CLM &amp; IM Mapping'!$A$2:$A$270,0)),"Not Mapped"))</f>
        <v>Ashwath S</v>
      </c>
      <c r="C76" s="38" t="str">
        <f aca="false" t="array" ref="C76:C76">IF(A76="","",IFERROR(INDEX('CLM &amp; IM Mapping'!$C$2:$C$270,MATCH(TRIM(A76),'CLM &amp; IM Mapping'!$A$2:$A$270,0)),"Not Mapped"))</f>
        <v>Kantha Kumar</v>
      </c>
      <c r="D76" s="38" t="n">
        <v>32</v>
      </c>
      <c r="E76" s="38" t="n">
        <v>32</v>
      </c>
      <c r="F76" s="38" t="n">
        <v>2</v>
      </c>
      <c r="G76" s="38" t="n">
        <v>3</v>
      </c>
      <c r="H76" s="38" t="n">
        <v>21</v>
      </c>
      <c r="I76" s="38" t="n">
        <v>92</v>
      </c>
      <c r="J76" s="38" t="n">
        <v>182</v>
      </c>
      <c r="K76" s="38" t="n">
        <v>182</v>
      </c>
      <c r="L76" s="12"/>
      <c r="M76" s="12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customFormat="false" ht="15.75" hidden="false" customHeight="true" outlineLevel="0" collapsed="false">
      <c r="A77" s="38" t="s">
        <v>253</v>
      </c>
      <c r="B77" s="38" t="str">
        <f aca="false" t="array" ref="B77:B77">IF(A77="","",IFERROR(INDEX('CLM &amp; IM Mapping'!$B$2:$B$270,MATCH(TRIM(A77),'CLM &amp; IM Mapping'!$A$2:$A$270,0)),"Not Mapped"))</f>
        <v>Ashwath S</v>
      </c>
      <c r="C77" s="38" t="str">
        <f aca="false" t="array" ref="C77:C77">IF(A77="","",IFERROR(INDEX('CLM &amp; IM Mapping'!$C$2:$C$270,MATCH(TRIM(A77),'CLM &amp; IM Mapping'!$A$2:$A$270,0)),"Not Mapped"))</f>
        <v>Kantha Kumar</v>
      </c>
      <c r="D77" s="38" t="n">
        <v>12</v>
      </c>
      <c r="E77" s="38" t="n">
        <v>78</v>
      </c>
      <c r="F77" s="38" t="n">
        <v>14</v>
      </c>
      <c r="G77" s="38" t="n">
        <v>14</v>
      </c>
      <c r="H77" s="38" t="n">
        <v>37</v>
      </c>
      <c r="I77" s="38" t="n">
        <v>23</v>
      </c>
      <c r="J77" s="38" t="n">
        <v>178</v>
      </c>
      <c r="K77" s="38" t="n">
        <v>153</v>
      </c>
      <c r="L77" s="12"/>
      <c r="M77" s="12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customFormat="false" ht="15.75" hidden="false" customHeight="true" outlineLevel="0" collapsed="false">
      <c r="A78" s="38" t="s">
        <v>97</v>
      </c>
      <c r="B78" s="38" t="str">
        <f aca="false" t="array" ref="B78:B78">IF(A78="","",IFERROR(INDEX('CLM &amp; IM Mapping'!$B$2:$B$270,MATCH(TRIM(A78),'CLM &amp; IM Mapping'!$A$2:$A$270,0)),"Not Mapped"))</f>
        <v>Akshay P</v>
      </c>
      <c r="C78" s="38" t="str">
        <f aca="false" t="array" ref="C78:C78">IF(A78="","",IFERROR(INDEX('CLM &amp; IM Mapping'!$C$2:$C$270,MATCH(TRIM(A78),'CLM &amp; IM Mapping'!$A$2:$A$270,0)),"Not Mapped"))</f>
        <v>Srittam Dhal</v>
      </c>
      <c r="D78" s="38" t="n">
        <v>56</v>
      </c>
      <c r="E78" s="38" t="n">
        <v>82</v>
      </c>
      <c r="F78" s="38" t="n">
        <v>0</v>
      </c>
      <c r="G78" s="38" t="n">
        <v>10</v>
      </c>
      <c r="H78" s="38" t="n">
        <v>24</v>
      </c>
      <c r="I78" s="38" t="n">
        <v>6</v>
      </c>
      <c r="J78" s="38" t="n">
        <v>178</v>
      </c>
      <c r="K78" s="38" t="n">
        <v>151</v>
      </c>
      <c r="L78" s="12"/>
      <c r="M78" s="12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customFormat="false" ht="15.75" hidden="false" customHeight="true" outlineLevel="0" collapsed="false">
      <c r="A79" s="38" t="s">
        <v>77</v>
      </c>
      <c r="B79" s="38" t="str">
        <f aca="false" t="array" ref="B79:B79">IF(A79="","",IFERROR(INDEX('CLM &amp; IM Mapping'!$B$2:$B$270,MATCH(TRIM(A79),'CLM &amp; IM Mapping'!$A$2:$A$270,0)),"Not Mapped"))</f>
        <v>Akshay P</v>
      </c>
      <c r="C79" s="38" t="str">
        <f aca="false" t="array" ref="C79:C79">IF(A79="","",IFERROR(INDEX('CLM &amp; IM Mapping'!$C$2:$C$270,MATCH(TRIM(A79),'CLM &amp; IM Mapping'!$A$2:$A$270,0)),"Not Mapped"))</f>
        <v>Srittam Dhal</v>
      </c>
      <c r="D79" s="38" t="n">
        <v>0</v>
      </c>
      <c r="E79" s="38" t="n">
        <v>71</v>
      </c>
      <c r="F79" s="38" t="n">
        <v>0</v>
      </c>
      <c r="G79" s="38" t="n">
        <v>51</v>
      </c>
      <c r="H79" s="38" t="n">
        <v>13</v>
      </c>
      <c r="I79" s="38" t="n">
        <v>42</v>
      </c>
      <c r="J79" s="38" t="n">
        <v>177</v>
      </c>
      <c r="K79" s="38" t="n">
        <v>175</v>
      </c>
      <c r="L79" s="12"/>
      <c r="M79" s="12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customFormat="false" ht="15.75" hidden="false" customHeight="true" outlineLevel="0" collapsed="false">
      <c r="A80" s="38" t="s">
        <v>263</v>
      </c>
      <c r="B80" s="38" t="str">
        <f aca="false" t="array" ref="B80:B80">IF(A80="","",IFERROR(INDEX('CLM &amp; IM Mapping'!$B$2:$B$270,MATCH(TRIM(A80),'CLM &amp; IM Mapping'!$A$2:$A$270,0)),"Not Mapped"))</f>
        <v>Vishnu V</v>
      </c>
      <c r="C80" s="38" t="str">
        <f aca="false" t="array" ref="C80:C80">IF(A80="","",IFERROR(INDEX('CLM &amp; IM Mapping'!$C$2:$C$270,MATCH(TRIM(A80),'CLM &amp; IM Mapping'!$A$2:$A$270,0)),"Not Mapped"))</f>
        <v>Arivind S</v>
      </c>
      <c r="D80" s="38" t="n">
        <v>0</v>
      </c>
      <c r="E80" s="38" t="n">
        <v>0</v>
      </c>
      <c r="F80" s="38" t="n">
        <v>0</v>
      </c>
      <c r="G80" s="38" t="n">
        <v>0</v>
      </c>
      <c r="H80" s="38" t="n">
        <v>14</v>
      </c>
      <c r="I80" s="38" t="n">
        <v>163</v>
      </c>
      <c r="J80" s="38" t="n">
        <v>177</v>
      </c>
      <c r="K80" s="38" t="n">
        <v>177</v>
      </c>
      <c r="L80" s="12"/>
      <c r="M80" s="12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customFormat="false" ht="15.75" hidden="false" customHeight="true" outlineLevel="0" collapsed="false">
      <c r="A81" s="38" t="s">
        <v>206</v>
      </c>
      <c r="B81" s="38" t="str">
        <f aca="false" t="array" ref="B81:B81">IF(A81="","",IFERROR(INDEX('CLM &amp; IM Mapping'!$B$2:$B$270,MATCH(TRIM(A81),'CLM &amp; IM Mapping'!$A$2:$A$270,0)),"Not Mapped"))</f>
        <v>Raghavendra Vernekar</v>
      </c>
      <c r="C81" s="38" t="str">
        <f aca="false" t="array" ref="C81:C81">IF(A81="","",IFERROR(INDEX('CLM &amp; IM Mapping'!$C$2:$C$270,MATCH(TRIM(A81),'CLM &amp; IM Mapping'!$A$2:$A$270,0)),"Not Mapped"))</f>
        <v>Prakash BS</v>
      </c>
      <c r="D81" s="38" t="n">
        <v>11</v>
      </c>
      <c r="E81" s="38" t="n">
        <v>27</v>
      </c>
      <c r="F81" s="38" t="n">
        <v>10</v>
      </c>
      <c r="G81" s="38" t="n">
        <v>56</v>
      </c>
      <c r="H81" s="38" t="n">
        <v>0</v>
      </c>
      <c r="I81" s="38" t="n">
        <v>72</v>
      </c>
      <c r="J81" s="38" t="n">
        <v>176</v>
      </c>
      <c r="K81" s="38" t="n">
        <v>159</v>
      </c>
      <c r="L81" s="12"/>
      <c r="M81" s="12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customFormat="false" ht="15.75" hidden="false" customHeight="true" outlineLevel="0" collapsed="false">
      <c r="A82" s="38" t="s">
        <v>278</v>
      </c>
      <c r="B82" s="38" t="str">
        <f aca="false" t="array" ref="B82:B82">IF(A82="","",IFERROR(INDEX('CLM &amp; IM Mapping'!$B$2:$B$270,MATCH(TRIM(A82),'CLM &amp; IM Mapping'!$A$2:$A$270,0)),"Not Mapped"))</f>
        <v>Ravishankar gowda</v>
      </c>
      <c r="C82" s="38" t="str">
        <f aca="false" t="array" ref="C82:C82">IF(A82="","",IFERROR(INDEX('CLM &amp; IM Mapping'!$C$2:$C$270,MATCH(TRIM(A82),'CLM &amp; IM Mapping'!$A$2:$A$270,0)),"Not Mapped"))</f>
        <v>Kishor K</v>
      </c>
      <c r="D82" s="38" t="n">
        <v>48</v>
      </c>
      <c r="E82" s="38" t="n">
        <v>43</v>
      </c>
      <c r="F82" s="38" t="n">
        <v>18</v>
      </c>
      <c r="G82" s="38" t="n">
        <v>18</v>
      </c>
      <c r="H82" s="38" t="n">
        <v>0</v>
      </c>
      <c r="I82" s="38" t="n">
        <v>44</v>
      </c>
      <c r="J82" s="38" t="n">
        <v>171</v>
      </c>
      <c r="K82" s="38" t="n">
        <v>129</v>
      </c>
      <c r="L82" s="12"/>
      <c r="M82" s="12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customFormat="false" ht="15.75" hidden="false" customHeight="true" outlineLevel="0" collapsed="false">
      <c r="A83" s="38" t="s">
        <v>205</v>
      </c>
      <c r="B83" s="38" t="str">
        <f aca="false" t="array" ref="B83:B83">IF(A83="","",IFERROR(INDEX('CLM &amp; IM Mapping'!$B$2:$B$270,MATCH(TRIM(A83),'CLM &amp; IM Mapping'!$A$2:$A$270,0)),"Not Mapped"))</f>
        <v>Akshay P</v>
      </c>
      <c r="C83" s="38" t="str">
        <f aca="false" t="array" ref="C83:C83">IF(A83="","",IFERROR(INDEX('CLM &amp; IM Mapping'!$C$2:$C$270,MATCH(TRIM(A83),'CLM &amp; IM Mapping'!$A$2:$A$270,0)),"Not Mapped"))</f>
        <v>Srittam Dhal</v>
      </c>
      <c r="D83" s="38" t="n">
        <v>39</v>
      </c>
      <c r="E83" s="38" t="n">
        <v>82</v>
      </c>
      <c r="F83" s="38" t="n">
        <v>18</v>
      </c>
      <c r="G83" s="38" t="n">
        <v>6</v>
      </c>
      <c r="H83" s="38" t="n">
        <v>5</v>
      </c>
      <c r="I83" s="38" t="n">
        <v>20</v>
      </c>
      <c r="J83" s="38" t="n">
        <v>170</v>
      </c>
      <c r="K83" s="38" t="n">
        <v>101</v>
      </c>
      <c r="L83" s="12"/>
      <c r="M83" s="12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customFormat="false" ht="15.75" hidden="false" customHeight="true" outlineLevel="0" collapsed="false">
      <c r="A84" s="38" t="s">
        <v>61</v>
      </c>
      <c r="B84" s="38" t="str">
        <f aca="false" t="array" ref="B84:B84">IF(A84="","",IFERROR(INDEX('CLM &amp; IM Mapping'!$B$2:$B$270,MATCH(TRIM(A84),'CLM &amp; IM Mapping'!$A$2:$A$270,0)),"Not Mapped"))</f>
        <v>Balaji G</v>
      </c>
      <c r="C84" s="38" t="str">
        <f aca="false" t="array" ref="C84:C84">IF(A84="","",IFERROR(INDEX('CLM &amp; IM Mapping'!$C$2:$C$270,MATCH(TRIM(A84),'CLM &amp; IM Mapping'!$A$2:$A$270,0)),"Not Mapped"))</f>
        <v>Mohammed Akbar</v>
      </c>
      <c r="D84" s="38" t="n">
        <v>0</v>
      </c>
      <c r="E84" s="38" t="n">
        <v>42</v>
      </c>
      <c r="F84" s="38" t="n">
        <v>0</v>
      </c>
      <c r="G84" s="38" t="n">
        <v>12</v>
      </c>
      <c r="H84" s="38" t="n">
        <v>115</v>
      </c>
      <c r="I84" s="38" t="n">
        <v>1</v>
      </c>
      <c r="J84" s="38" t="n">
        <v>170</v>
      </c>
      <c r="K84" s="38" t="n">
        <v>155</v>
      </c>
      <c r="L84" s="12"/>
      <c r="M84" s="12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customFormat="false" ht="15.75" hidden="false" customHeight="true" outlineLevel="0" collapsed="false">
      <c r="A85" s="38" t="s">
        <v>291</v>
      </c>
      <c r="B85" s="38" t="str">
        <f aca="false" t="array" ref="B85:B85">IF(A85="","",IFERROR(INDEX('CLM &amp; IM Mapping'!$B$2:$B$270,MATCH(TRIM(A85),'CLM &amp; IM Mapping'!$A$2:$A$270,0)),"Not Mapped"))</f>
        <v>John Britto</v>
      </c>
      <c r="C85" s="38" t="str">
        <f aca="false" t="array" ref="C85:C85">IF(A85="","",IFERROR(INDEX('CLM &amp; IM Mapping'!$C$2:$C$270,MATCH(TRIM(A85),'CLM &amp; IM Mapping'!$A$2:$A$270,0)),"Not Mapped"))</f>
        <v>Aravind S</v>
      </c>
      <c r="D85" s="38" t="n">
        <v>13</v>
      </c>
      <c r="E85" s="38" t="n">
        <v>28</v>
      </c>
      <c r="F85" s="38" t="n">
        <v>6</v>
      </c>
      <c r="G85" s="38" t="n">
        <v>9</v>
      </c>
      <c r="H85" s="38" t="n">
        <v>1</v>
      </c>
      <c r="I85" s="38" t="n">
        <v>111</v>
      </c>
      <c r="J85" s="38" t="n">
        <v>168</v>
      </c>
      <c r="K85" s="38" t="n">
        <v>165</v>
      </c>
      <c r="L85" s="12"/>
      <c r="M85" s="12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customFormat="false" ht="15.75" hidden="false" customHeight="true" outlineLevel="0" collapsed="false">
      <c r="A86" s="38" t="s">
        <v>75</v>
      </c>
      <c r="B86" s="38" t="str">
        <f aca="false" t="array" ref="B86:B86">IF(A86="","",IFERROR(INDEX('CLM &amp; IM Mapping'!$B$2:$B$270,MATCH(TRIM(A86),'CLM &amp; IM Mapping'!$A$2:$A$270,0)),"Not Mapped"))</f>
        <v>Rizwan Ahmed</v>
      </c>
      <c r="C86" s="38" t="str">
        <f aca="false" t="array" ref="C86:C86">IF(A86="","",IFERROR(INDEX('CLM &amp; IM Mapping'!$C$2:$C$270,MATCH(TRIM(A86),'CLM &amp; IM Mapping'!$A$2:$A$270,0)),"Not Mapped"))</f>
        <v>Un Mapped</v>
      </c>
      <c r="D86" s="38" t="n">
        <v>2</v>
      </c>
      <c r="E86" s="38" t="n">
        <v>43</v>
      </c>
      <c r="F86" s="38" t="n">
        <v>0</v>
      </c>
      <c r="G86" s="38" t="n">
        <v>58</v>
      </c>
      <c r="H86" s="38" t="n">
        <v>9</v>
      </c>
      <c r="I86" s="38" t="n">
        <v>54</v>
      </c>
      <c r="J86" s="38" t="n">
        <v>166</v>
      </c>
      <c r="K86" s="38" t="n">
        <v>158</v>
      </c>
      <c r="L86" s="12"/>
      <c r="M86" s="12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customFormat="false" ht="15.75" hidden="false" customHeight="true" outlineLevel="0" collapsed="false">
      <c r="A87" s="38" t="s">
        <v>283</v>
      </c>
      <c r="B87" s="38" t="str">
        <f aca="false" t="array" ref="B87:B87">IF(A87="","",IFERROR(INDEX('CLM &amp; IM Mapping'!$B$2:$B$270,MATCH(TRIM(A87),'CLM &amp; IM Mapping'!$A$2:$A$270,0)),"Not Mapped"))</f>
        <v>Ravishankar gowda</v>
      </c>
      <c r="C87" s="38" t="str">
        <f aca="false" t="array" ref="C87:C87">IF(A87="","",IFERROR(INDEX('CLM &amp; IM Mapping'!$C$2:$C$270,MATCH(TRIM(A87),'CLM &amp; IM Mapping'!$A$2:$A$270,0)),"Not Mapped"))</f>
        <v>Kishor K</v>
      </c>
      <c r="D87" s="38" t="n">
        <v>38</v>
      </c>
      <c r="E87" s="38" t="n">
        <v>44</v>
      </c>
      <c r="F87" s="38" t="n">
        <v>18</v>
      </c>
      <c r="G87" s="38" t="n">
        <v>4</v>
      </c>
      <c r="H87" s="38" t="n">
        <v>0</v>
      </c>
      <c r="I87" s="38" t="n">
        <v>59</v>
      </c>
      <c r="J87" s="38" t="n">
        <v>163</v>
      </c>
      <c r="K87" s="38" t="n">
        <v>163</v>
      </c>
      <c r="L87" s="12"/>
      <c r="M87" s="12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customFormat="false" ht="15.75" hidden="false" customHeight="true" outlineLevel="0" collapsed="false">
      <c r="A88" s="38" t="s">
        <v>293</v>
      </c>
      <c r="B88" s="38" t="str">
        <f aca="false" t="array" ref="B88:B88">IF(A88="","",IFERROR(INDEX('CLM &amp; IM Mapping'!$B$2:$B$270,MATCH(TRIM(A88),'CLM &amp; IM Mapping'!$A$2:$A$270,0)),"Not Mapped"))</f>
        <v>Sundaresh S</v>
      </c>
      <c r="C88" s="38" t="str">
        <f aca="false" t="array" ref="C88:C88">IF(A88="","",IFERROR(INDEX('CLM &amp; IM Mapping'!$C$2:$C$270,MATCH(TRIM(A88),'CLM &amp; IM Mapping'!$A$2:$A$270,0)),"Not Mapped"))</f>
        <v>Un Mapped</v>
      </c>
      <c r="D88" s="38" t="n">
        <v>0</v>
      </c>
      <c r="E88" s="38" t="n">
        <v>34</v>
      </c>
      <c r="F88" s="38" t="n">
        <v>59</v>
      </c>
      <c r="G88" s="38" t="n">
        <v>31</v>
      </c>
      <c r="H88" s="38" t="n">
        <v>34</v>
      </c>
      <c r="I88" s="38" t="n">
        <v>0</v>
      </c>
      <c r="J88" s="38" t="n">
        <v>158</v>
      </c>
      <c r="K88" s="38" t="n">
        <v>158</v>
      </c>
      <c r="L88" s="12"/>
      <c r="M88" s="12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customFormat="false" ht="15.75" hidden="false" customHeight="true" outlineLevel="0" collapsed="false">
      <c r="A89" s="38" t="s">
        <v>272</v>
      </c>
      <c r="B89" s="38" t="str">
        <f aca="false" t="array" ref="B89:B89">IF(A89="","",IFERROR(INDEX('CLM &amp; IM Mapping'!$B$2:$B$270,MATCH(TRIM(A89),'CLM &amp; IM Mapping'!$A$2:$A$270,0)),"Not Mapped"))</f>
        <v>Balaji G</v>
      </c>
      <c r="C89" s="38" t="str">
        <f aca="false" t="array" ref="C89:C89">IF(A89="","",IFERROR(INDEX('CLM &amp; IM Mapping'!$C$2:$C$270,MATCH(TRIM(A89),'CLM &amp; IM Mapping'!$A$2:$A$270,0)),"Not Mapped"))</f>
        <v>Mohammed Akbar</v>
      </c>
      <c r="D89" s="38" t="n">
        <v>80</v>
      </c>
      <c r="E89" s="38" t="n">
        <v>53</v>
      </c>
      <c r="F89" s="38" t="n">
        <v>18</v>
      </c>
      <c r="G89" s="38" t="n">
        <v>0</v>
      </c>
      <c r="H89" s="38" t="n">
        <v>2</v>
      </c>
      <c r="I89" s="38" t="n">
        <v>5</v>
      </c>
      <c r="J89" s="38" t="n">
        <v>158</v>
      </c>
      <c r="K89" s="38" t="n">
        <v>157</v>
      </c>
      <c r="L89" s="12"/>
      <c r="M89" s="12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customFormat="false" ht="15.75" hidden="false" customHeight="true" outlineLevel="0" collapsed="false">
      <c r="A90" s="38" t="s">
        <v>187</v>
      </c>
      <c r="B90" s="38" t="str">
        <f aca="false" t="array" ref="B90:B90">IF(A90="","",IFERROR(INDEX('CLM &amp; IM Mapping'!$B$2:$B$270,MATCH(TRIM(A90),'CLM &amp; IM Mapping'!$A$2:$A$270,0)),"Not Mapped"))</f>
        <v>Akshay P</v>
      </c>
      <c r="C90" s="38" t="str">
        <f aca="false" t="array" ref="C90:C90">IF(A90="","",IFERROR(INDEX('CLM &amp; IM Mapping'!$C$2:$C$270,MATCH(TRIM(A90),'CLM &amp; IM Mapping'!$A$2:$A$270,0)),"Not Mapped"))</f>
        <v>Srittam Dhal</v>
      </c>
      <c r="D90" s="38" t="n">
        <v>31</v>
      </c>
      <c r="E90" s="38" t="n">
        <v>47</v>
      </c>
      <c r="F90" s="38" t="n">
        <v>5</v>
      </c>
      <c r="G90" s="38" t="n">
        <v>4</v>
      </c>
      <c r="H90" s="38" t="n">
        <v>0</v>
      </c>
      <c r="I90" s="38" t="n">
        <v>70</v>
      </c>
      <c r="J90" s="38" t="n">
        <v>157</v>
      </c>
      <c r="K90" s="38" t="n">
        <v>157</v>
      </c>
      <c r="L90" s="12"/>
      <c r="M90" s="12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customFormat="false" ht="15.75" hidden="false" customHeight="true" outlineLevel="0" collapsed="false">
      <c r="A91" s="38" t="s">
        <v>91</v>
      </c>
      <c r="B91" s="38" t="str">
        <f aca="false" t="array" ref="B91:B91">IF(A91="","",IFERROR(INDEX('CLM &amp; IM Mapping'!$B$2:$B$270,MATCH(TRIM(A91),'CLM &amp; IM Mapping'!$A$2:$A$270,0)),"Not Mapped"))</f>
        <v>Girish N</v>
      </c>
      <c r="C91" s="38" t="str">
        <f aca="false" t="array" ref="C91:C91">IF(A91="","",IFERROR(INDEX('CLM &amp; IM Mapping'!$C$2:$C$270,MATCH(TRIM(A91),'CLM &amp; IM Mapping'!$A$2:$A$270,0)),"Not Mapped"))</f>
        <v>Un Mapped</v>
      </c>
      <c r="D91" s="38" t="n">
        <v>0</v>
      </c>
      <c r="E91" s="38" t="n">
        <v>0</v>
      </c>
      <c r="F91" s="38" t="n">
        <v>0</v>
      </c>
      <c r="G91" s="38" t="n">
        <v>68</v>
      </c>
      <c r="H91" s="38" t="n">
        <v>62</v>
      </c>
      <c r="I91" s="38" t="n">
        <v>26</v>
      </c>
      <c r="J91" s="38" t="n">
        <v>156</v>
      </c>
      <c r="K91" s="38" t="n">
        <v>122</v>
      </c>
      <c r="L91" s="12"/>
      <c r="M91" s="12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customFormat="false" ht="15.75" hidden="false" customHeight="true" outlineLevel="0" collapsed="false">
      <c r="A92" s="38" t="s">
        <v>156</v>
      </c>
      <c r="B92" s="38" t="str">
        <f aca="false" t="array" ref="B92:B92">IF(A92="","",IFERROR(INDEX('CLM &amp; IM Mapping'!$B$2:$B$270,MATCH(TRIM(A92),'CLM &amp; IM Mapping'!$A$2:$A$270,0)),"Not Mapped"))</f>
        <v>Ashwath S</v>
      </c>
      <c r="C92" s="38" t="str">
        <f aca="false" t="array" ref="C92:C92">IF(A92="","",IFERROR(INDEX('CLM &amp; IM Mapping'!$C$2:$C$270,MATCH(TRIM(A92),'CLM &amp; IM Mapping'!$A$2:$A$270,0)),"Not Mapped"))</f>
        <v>Kantha Kumar</v>
      </c>
      <c r="D92" s="38" t="n">
        <v>16</v>
      </c>
      <c r="E92" s="38" t="n">
        <v>44</v>
      </c>
      <c r="F92" s="38" t="n">
        <v>11</v>
      </c>
      <c r="G92" s="38" t="n">
        <v>5</v>
      </c>
      <c r="H92" s="38" t="n">
        <v>8</v>
      </c>
      <c r="I92" s="38" t="n">
        <v>70</v>
      </c>
      <c r="J92" s="38" t="n">
        <v>154</v>
      </c>
      <c r="K92" s="38" t="n">
        <v>111</v>
      </c>
      <c r="L92" s="12"/>
      <c r="M92" s="12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customFormat="false" ht="15.75" hidden="false" customHeight="true" outlineLevel="0" collapsed="false">
      <c r="A93" s="38" t="s">
        <v>180</v>
      </c>
      <c r="B93" s="38" t="str">
        <f aca="false" t="array" ref="B93:B93">IF(A93="","",IFERROR(INDEX('CLM &amp; IM Mapping'!$B$2:$B$270,MATCH(TRIM(A93),'CLM &amp; IM Mapping'!$A$2:$A$270,0)),"Not Mapped"))</f>
        <v>Ashwath S</v>
      </c>
      <c r="C93" s="38" t="str">
        <f aca="false" t="array" ref="C93:C93">IF(A93="","",IFERROR(INDEX('CLM &amp; IM Mapping'!$C$2:$C$270,MATCH(TRIM(A93),'CLM &amp; IM Mapping'!$A$2:$A$270,0)),"Not Mapped"))</f>
        <v>Kantha Kumar</v>
      </c>
      <c r="D93" s="38" t="n">
        <v>47</v>
      </c>
      <c r="E93" s="38" t="n">
        <v>67</v>
      </c>
      <c r="F93" s="38" t="n">
        <v>35</v>
      </c>
      <c r="G93" s="38" t="n">
        <v>1</v>
      </c>
      <c r="H93" s="38" t="n">
        <v>4</v>
      </c>
      <c r="I93" s="38" t="n">
        <v>0</v>
      </c>
      <c r="J93" s="38" t="n">
        <v>154</v>
      </c>
      <c r="K93" s="38" t="n">
        <v>100</v>
      </c>
      <c r="L93" s="12"/>
      <c r="M93" s="12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customFormat="false" ht="15.75" hidden="false" customHeight="true" outlineLevel="0" collapsed="false">
      <c r="A94" s="38" t="s">
        <v>284</v>
      </c>
      <c r="B94" s="38" t="str">
        <f aca="false" t="array" ref="B94:B94">IF(A94="","",IFERROR(INDEX('CLM &amp; IM Mapping'!$B$2:$B$270,MATCH(TRIM(A94),'CLM &amp; IM Mapping'!$A$2:$A$270,0)),"Not Mapped"))</f>
        <v>Manjunatha V</v>
      </c>
      <c r="C94" s="38" t="str">
        <f aca="false" t="array" ref="C94:C94">IF(A94="","",IFERROR(INDEX('CLM &amp; IM Mapping'!$C$2:$C$270,MATCH(TRIM(A94),'CLM &amp; IM Mapping'!$A$2:$A$270,0)),"Not Mapped"))</f>
        <v>Un Mapped</v>
      </c>
      <c r="D94" s="38" t="n">
        <v>2</v>
      </c>
      <c r="E94" s="38" t="n">
        <v>35</v>
      </c>
      <c r="F94" s="38" t="n">
        <v>4</v>
      </c>
      <c r="G94" s="38" t="n">
        <v>24</v>
      </c>
      <c r="H94" s="38" t="n">
        <v>36</v>
      </c>
      <c r="I94" s="38" t="n">
        <v>52</v>
      </c>
      <c r="J94" s="38" t="n">
        <v>153</v>
      </c>
      <c r="K94" s="38" t="n">
        <v>151</v>
      </c>
      <c r="L94" s="12"/>
      <c r="M94" s="12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customFormat="false" ht="15.75" hidden="false" customHeight="true" outlineLevel="0" collapsed="false">
      <c r="A95" s="38" t="s">
        <v>189</v>
      </c>
      <c r="B95" s="38" t="str">
        <f aca="false" t="array" ref="B95:B95">IF(A95="","",IFERROR(INDEX('CLM &amp; IM Mapping'!$B$2:$B$270,MATCH(TRIM(A95),'CLM &amp; IM Mapping'!$A$2:$A$270,0)),"Not Mapped"))</f>
        <v>Saddam Hussain</v>
      </c>
      <c r="C95" s="38" t="str">
        <f aca="false" t="array" ref="C95:C95">IF(A95="","",IFERROR(INDEX('CLM &amp; IM Mapping'!$C$2:$C$270,MATCH(TRIM(A95),'CLM &amp; IM Mapping'!$A$2:$A$270,0)),"Not Mapped"))</f>
        <v>Un Mapped</v>
      </c>
      <c r="D95" s="38" t="n">
        <v>5</v>
      </c>
      <c r="E95" s="38" t="n">
        <v>33</v>
      </c>
      <c r="F95" s="38" t="n">
        <v>0</v>
      </c>
      <c r="G95" s="38" t="n">
        <v>36</v>
      </c>
      <c r="H95" s="38" t="n">
        <v>18</v>
      </c>
      <c r="I95" s="38" t="n">
        <v>58</v>
      </c>
      <c r="J95" s="38" t="n">
        <v>150</v>
      </c>
      <c r="K95" s="38" t="n">
        <v>136</v>
      </c>
      <c r="L95" s="12"/>
      <c r="M95" s="12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customFormat="false" ht="15.75" hidden="false" customHeight="true" outlineLevel="0" collapsed="false">
      <c r="A96" s="38" t="s">
        <v>203</v>
      </c>
      <c r="B96" s="38" t="str">
        <f aca="false" t="array" ref="B96:B96">IF(A96="","",IFERROR(INDEX('CLM &amp; IM Mapping'!$B$2:$B$270,MATCH(TRIM(A96),'CLM &amp; IM Mapping'!$A$2:$A$270,0)),"Not Mapped"))</f>
        <v>Bangareppa CS</v>
      </c>
      <c r="C96" s="38" t="str">
        <f aca="false" t="array" ref="C96:C96">IF(A96="","",IFERROR(INDEX('CLM &amp; IM Mapping'!$C$2:$C$270,MATCH(TRIM(A96),'CLM &amp; IM Mapping'!$A$2:$A$270,0)),"Not Mapped"))</f>
        <v>Kishor K</v>
      </c>
      <c r="D96" s="38" t="n">
        <v>2</v>
      </c>
      <c r="E96" s="38" t="n">
        <v>67</v>
      </c>
      <c r="F96" s="38" t="n">
        <v>34</v>
      </c>
      <c r="G96" s="38" t="n">
        <v>20</v>
      </c>
      <c r="H96" s="38" t="n">
        <v>3</v>
      </c>
      <c r="I96" s="38" t="n">
        <v>23</v>
      </c>
      <c r="J96" s="38" t="n">
        <v>149</v>
      </c>
      <c r="K96" s="38" t="n">
        <v>144</v>
      </c>
      <c r="L96" s="12"/>
      <c r="M96" s="12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customFormat="false" ht="15.75" hidden="false" customHeight="true" outlineLevel="0" collapsed="false">
      <c r="A97" s="38" t="s">
        <v>233</v>
      </c>
      <c r="B97" s="38" t="str">
        <f aca="false" t="array" ref="B97:B97">IF(A97="","",IFERROR(INDEX('CLM &amp; IM Mapping'!$B$2:$B$270,MATCH(TRIM(A97),'CLM &amp; IM Mapping'!$A$2:$A$270,0)),"Not Mapped"))</f>
        <v>Balaji G</v>
      </c>
      <c r="C97" s="38" t="str">
        <f aca="false" t="array" ref="C97:C97">IF(A97="","",IFERROR(INDEX('CLM &amp; IM Mapping'!$C$2:$C$270,MATCH(TRIM(A97),'CLM &amp; IM Mapping'!$A$2:$A$270,0)),"Not Mapped"))</f>
        <v>Mohammed Akbar</v>
      </c>
      <c r="D97" s="38" t="n">
        <v>47</v>
      </c>
      <c r="E97" s="38" t="n">
        <v>55</v>
      </c>
      <c r="F97" s="38" t="n">
        <v>40</v>
      </c>
      <c r="G97" s="38" t="n">
        <v>2</v>
      </c>
      <c r="H97" s="38" t="n">
        <v>0</v>
      </c>
      <c r="I97" s="38" t="n">
        <v>0</v>
      </c>
      <c r="J97" s="38" t="n">
        <v>144</v>
      </c>
      <c r="K97" s="38" t="n">
        <v>144</v>
      </c>
      <c r="L97" s="12"/>
      <c r="M97" s="12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customFormat="false" ht="15.75" hidden="false" customHeight="true" outlineLevel="0" collapsed="false">
      <c r="A98" s="38" t="s">
        <v>51</v>
      </c>
      <c r="B98" s="38" t="str">
        <f aca="false" t="array" ref="B98:B98">IF(A98="","",IFERROR(INDEX('CLM &amp; IM Mapping'!$B$2:$B$270,MATCH(TRIM(A98),'CLM &amp; IM Mapping'!$A$2:$A$270,0)),"Not Mapped"))</f>
        <v>Raghavendra Vernekar</v>
      </c>
      <c r="C98" s="38" t="str">
        <f aca="false" t="array" ref="C98:C98">IF(A98="","",IFERROR(INDEX('CLM &amp; IM Mapping'!$C$2:$C$270,MATCH(TRIM(A98),'CLM &amp; IM Mapping'!$A$2:$A$270,0)),"Not Mapped"))</f>
        <v>Prakash BS</v>
      </c>
      <c r="D98" s="38" t="n">
        <v>55</v>
      </c>
      <c r="E98" s="38" t="n">
        <v>39</v>
      </c>
      <c r="F98" s="38" t="n">
        <v>2</v>
      </c>
      <c r="G98" s="38" t="n">
        <v>23</v>
      </c>
      <c r="H98" s="38" t="n">
        <v>16</v>
      </c>
      <c r="I98" s="38" t="n">
        <v>7</v>
      </c>
      <c r="J98" s="38" t="n">
        <v>142</v>
      </c>
      <c r="K98" s="38" t="n">
        <v>116</v>
      </c>
      <c r="L98" s="12"/>
      <c r="M98" s="12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customFormat="false" ht="15.75" hidden="false" customHeight="true" outlineLevel="0" collapsed="false">
      <c r="A99" s="38" t="s">
        <v>101</v>
      </c>
      <c r="B99" s="38" t="str">
        <f aca="false" t="array" ref="B99:B99">IF(A99="","",IFERROR(INDEX('CLM &amp; IM Mapping'!$B$2:$B$270,MATCH(TRIM(A99),'CLM &amp; IM Mapping'!$A$2:$A$270,0)),"Not Mapped"))</f>
        <v>Silambarasan E</v>
      </c>
      <c r="C99" s="38" t="str">
        <f aca="false" t="array" ref="C99:C99">IF(A99="","",IFERROR(INDEX('CLM &amp; IM Mapping'!$C$2:$C$270,MATCH(TRIM(A99),'CLM &amp; IM Mapping'!$A$2:$A$270,0)),"Not Mapped"))</f>
        <v>Arivind S</v>
      </c>
      <c r="D99" s="38" t="n">
        <v>0</v>
      </c>
      <c r="E99" s="38" t="n">
        <v>3</v>
      </c>
      <c r="F99" s="38" t="n">
        <v>0</v>
      </c>
      <c r="G99" s="38" t="n">
        <v>35</v>
      </c>
      <c r="H99" s="38" t="n">
        <v>78</v>
      </c>
      <c r="I99" s="38" t="n">
        <v>26</v>
      </c>
      <c r="J99" s="38" t="n">
        <v>142</v>
      </c>
      <c r="K99" s="38" t="n">
        <v>142</v>
      </c>
      <c r="L99" s="12"/>
      <c r="M99" s="12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customFormat="false" ht="15.75" hidden="false" customHeight="true" outlineLevel="0" collapsed="false">
      <c r="A100" s="38" t="s">
        <v>134</v>
      </c>
      <c r="B100" s="38" t="str">
        <f aca="false" t="array" ref="B100:B100">IF(A100="","",IFERROR(INDEX('CLM &amp; IM Mapping'!$B$2:$B$270,MATCH(TRIM(A100),'CLM &amp; IM Mapping'!$A$2:$A$270,0)),"Not Mapped"))</f>
        <v>Balaji G</v>
      </c>
      <c r="C100" s="38" t="str">
        <f aca="false" t="array" ref="C100:C100">IF(A100="","",IFERROR(INDEX('CLM &amp; IM Mapping'!$C$2:$C$270,MATCH(TRIM(A100),'CLM &amp; IM Mapping'!$A$2:$A$270,0)),"Not Mapped"))</f>
        <v>Mohammed Akbar</v>
      </c>
      <c r="D100" s="38" t="n">
        <v>0</v>
      </c>
      <c r="E100" s="38" t="n">
        <v>0</v>
      </c>
      <c r="F100" s="38" t="n">
        <v>0</v>
      </c>
      <c r="G100" s="38" t="n">
        <v>129</v>
      </c>
      <c r="H100" s="38" t="n">
        <v>12</v>
      </c>
      <c r="I100" s="38" t="n">
        <v>0</v>
      </c>
      <c r="J100" s="38" t="n">
        <v>141</v>
      </c>
      <c r="K100" s="38" t="n">
        <v>141</v>
      </c>
      <c r="L100" s="12"/>
      <c r="M100" s="12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customFormat="false" ht="15.75" hidden="false" customHeight="true" outlineLevel="0" collapsed="false">
      <c r="A101" s="38" t="s">
        <v>217</v>
      </c>
      <c r="B101" s="38" t="str">
        <f aca="false" t="array" ref="B101:B101">IF(A101="","",IFERROR(INDEX('CLM &amp; IM Mapping'!$B$2:$B$270,MATCH(TRIM(A101),'CLM &amp; IM Mapping'!$A$2:$A$270,0)),"Not Mapped"))</f>
        <v>Richard Harris</v>
      </c>
      <c r="C101" s="38" t="str">
        <f aca="false" t="array" ref="C101:C101">IF(A101="","",IFERROR(INDEX('CLM &amp; IM Mapping'!$C$2:$C$270,MATCH(TRIM(A101),'CLM &amp; IM Mapping'!$A$2:$A$270,0)),"Not Mapped"))</f>
        <v>Kantha Kumar</v>
      </c>
      <c r="D101" s="38" t="n">
        <v>72</v>
      </c>
      <c r="E101" s="38" t="n">
        <v>1</v>
      </c>
      <c r="F101" s="38" t="n">
        <v>21</v>
      </c>
      <c r="G101" s="38" t="n">
        <v>0</v>
      </c>
      <c r="H101" s="38" t="n">
        <v>2</v>
      </c>
      <c r="I101" s="38" t="n">
        <v>45</v>
      </c>
      <c r="J101" s="38" t="n">
        <v>141</v>
      </c>
      <c r="K101" s="38" t="n">
        <v>141</v>
      </c>
      <c r="L101" s="12"/>
      <c r="M101" s="12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customFormat="false" ht="15.75" hidden="false" customHeight="true" outlineLevel="0" collapsed="false">
      <c r="A102" s="38" t="s">
        <v>74</v>
      </c>
      <c r="B102" s="38" t="str">
        <f aca="false" t="array" ref="B102:B102">IF(A102="","",IFERROR(INDEX('CLM &amp; IM Mapping'!$B$2:$B$270,MATCH(TRIM(A102),'CLM &amp; IM Mapping'!$A$2:$A$270,0)),"Not Mapped"))</f>
        <v>Manoj Kj</v>
      </c>
      <c r="C102" s="38" t="str">
        <f aca="false" t="array" ref="C102:C102">IF(A102="","",IFERROR(INDEX('CLM &amp; IM Mapping'!$C$2:$C$270,MATCH(TRIM(A102),'CLM &amp; IM Mapping'!$A$2:$A$270,0)),"Not Mapped"))</f>
        <v>Srittam Dhal</v>
      </c>
      <c r="D102" s="38" t="n">
        <v>0</v>
      </c>
      <c r="E102" s="38" t="n">
        <v>60</v>
      </c>
      <c r="F102" s="38" t="n">
        <v>0</v>
      </c>
      <c r="G102" s="38" t="n">
        <v>27</v>
      </c>
      <c r="H102" s="38" t="n">
        <v>6</v>
      </c>
      <c r="I102" s="38" t="n">
        <v>47</v>
      </c>
      <c r="J102" s="38" t="n">
        <v>140</v>
      </c>
      <c r="K102" s="38" t="n">
        <v>140</v>
      </c>
      <c r="L102" s="12"/>
      <c r="M102" s="12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customFormat="false" ht="15.75" hidden="false" customHeight="true" outlineLevel="0" collapsed="false">
      <c r="A103" s="38" t="s">
        <v>245</v>
      </c>
      <c r="B103" s="38" t="str">
        <f aca="false" t="array" ref="B103:B103">IF(A103="","",IFERROR(INDEX('CLM &amp; IM Mapping'!$B$2:$B$270,MATCH(TRIM(A103),'CLM &amp; IM Mapping'!$A$2:$A$270,0)),"Not Mapped"))</f>
        <v>Ashwath S</v>
      </c>
      <c r="C103" s="38" t="str">
        <f aca="false" t="array" ref="C103:C103">IF(A103="","",IFERROR(INDEX('CLM &amp; IM Mapping'!$C$2:$C$270,MATCH(TRIM(A103),'CLM &amp; IM Mapping'!$A$2:$A$270,0)),"Not Mapped"))</f>
        <v>Kantha Kumar</v>
      </c>
      <c r="D103" s="38" t="n">
        <v>52</v>
      </c>
      <c r="E103" s="38" t="n">
        <v>50</v>
      </c>
      <c r="F103" s="38" t="n">
        <v>1</v>
      </c>
      <c r="G103" s="38" t="n">
        <v>1</v>
      </c>
      <c r="H103" s="38" t="n">
        <v>15</v>
      </c>
      <c r="I103" s="38" t="n">
        <v>20</v>
      </c>
      <c r="J103" s="38" t="n">
        <v>139</v>
      </c>
      <c r="K103" s="38" t="n">
        <v>132</v>
      </c>
      <c r="L103" s="12"/>
      <c r="M103" s="12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customFormat="false" ht="15.75" hidden="false" customHeight="true" outlineLevel="0" collapsed="false">
      <c r="A104" s="38" t="s">
        <v>273</v>
      </c>
      <c r="B104" s="38" t="str">
        <f aca="false" t="array" ref="B104:B104">IF(A104="","",IFERROR(INDEX('CLM &amp; IM Mapping'!$B$2:$B$270,MATCH(TRIM(A104),'CLM &amp; IM Mapping'!$A$2:$A$270,0)),"Not Mapped"))</f>
        <v>Santhosha M</v>
      </c>
      <c r="C104" s="38" t="str">
        <f aca="false" t="array" ref="C104:C104">IF(A104="","",IFERROR(INDEX('CLM &amp; IM Mapping'!$C$2:$C$270,MATCH(TRIM(A104),'CLM &amp; IM Mapping'!$A$2:$A$270,0)),"Not Mapped"))</f>
        <v>Aravind S</v>
      </c>
      <c r="D104" s="38" t="n">
        <v>0</v>
      </c>
      <c r="E104" s="38" t="n">
        <v>63</v>
      </c>
      <c r="F104" s="38" t="n">
        <v>0</v>
      </c>
      <c r="G104" s="38" t="n">
        <v>54</v>
      </c>
      <c r="H104" s="38" t="n">
        <v>15</v>
      </c>
      <c r="I104" s="38" t="n">
        <v>7</v>
      </c>
      <c r="J104" s="38" t="n">
        <v>139</v>
      </c>
      <c r="K104" s="38" t="n">
        <v>106</v>
      </c>
      <c r="L104" s="12"/>
      <c r="M104" s="12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customFormat="false" ht="15.75" hidden="false" customHeight="true" outlineLevel="0" collapsed="false">
      <c r="A105" s="38" t="s">
        <v>235</v>
      </c>
      <c r="B105" s="38" t="str">
        <f aca="false" t="array" ref="B105:B105">IF(A105="","",IFERROR(INDEX('CLM &amp; IM Mapping'!$B$2:$B$270,MATCH(TRIM(A105),'CLM &amp; IM Mapping'!$A$2:$A$270,0)),"Not Mapped"))</f>
        <v>Balaji G</v>
      </c>
      <c r="C105" s="38" t="str">
        <f aca="false" t="array" ref="C105:C105">IF(A105="","",IFERROR(INDEX('CLM &amp; IM Mapping'!$C$2:$C$270,MATCH(TRIM(A105),'CLM &amp; IM Mapping'!$A$2:$A$270,0)),"Not Mapped"))</f>
        <v>Mohammed Akbar</v>
      </c>
      <c r="D105" s="38" t="n">
        <v>16</v>
      </c>
      <c r="E105" s="38" t="n">
        <v>39</v>
      </c>
      <c r="F105" s="38" t="n">
        <v>1</v>
      </c>
      <c r="G105" s="38" t="n">
        <v>45</v>
      </c>
      <c r="H105" s="38" t="n">
        <v>37</v>
      </c>
      <c r="I105" s="38" t="n">
        <v>0</v>
      </c>
      <c r="J105" s="38" t="n">
        <v>138</v>
      </c>
      <c r="K105" s="38" t="n">
        <v>138</v>
      </c>
      <c r="L105" s="12"/>
      <c r="M105" s="12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customFormat="false" ht="15.75" hidden="false" customHeight="true" outlineLevel="0" collapsed="false">
      <c r="A106" s="38" t="s">
        <v>149</v>
      </c>
      <c r="B106" s="38" t="str">
        <f aca="false" t="array" ref="B106:B106">IF(A106="","",IFERROR(INDEX('CLM &amp; IM Mapping'!$B$2:$B$270,MATCH(TRIM(A106),'CLM &amp; IM Mapping'!$A$2:$A$270,0)),"Not Mapped"))</f>
        <v>Ashwath S</v>
      </c>
      <c r="C106" s="38" t="str">
        <f aca="false" t="array" ref="C106:C106">IF(A106="","",IFERROR(INDEX('CLM &amp; IM Mapping'!$C$2:$C$270,MATCH(TRIM(A106),'CLM &amp; IM Mapping'!$A$2:$A$270,0)),"Not Mapped"))</f>
        <v>Kantha Kumar</v>
      </c>
      <c r="D106" s="38" t="n">
        <v>8</v>
      </c>
      <c r="E106" s="38" t="n">
        <v>14</v>
      </c>
      <c r="F106" s="38" t="n">
        <v>6</v>
      </c>
      <c r="G106" s="38" t="n">
        <v>5</v>
      </c>
      <c r="H106" s="38" t="n">
        <v>103</v>
      </c>
      <c r="I106" s="38" t="n">
        <v>0</v>
      </c>
      <c r="J106" s="38" t="n">
        <v>136</v>
      </c>
      <c r="K106" s="38" t="n">
        <v>122</v>
      </c>
      <c r="L106" s="12"/>
      <c r="M106" s="12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customFormat="false" ht="15.75" hidden="false" customHeight="true" outlineLevel="0" collapsed="false">
      <c r="A107" s="38" t="s">
        <v>133</v>
      </c>
      <c r="B107" s="38" t="str">
        <f aca="false" t="array" ref="B107:B107">IF(A107="","",IFERROR(INDEX('CLM &amp; IM Mapping'!$B$2:$B$270,MATCH(TRIM(A107),'CLM &amp; IM Mapping'!$A$2:$A$270,0)),"Not Mapped"))</f>
        <v>Balaji G</v>
      </c>
      <c r="C107" s="38" t="str">
        <f aca="false" t="array" ref="C107:C107">IF(A107="","",IFERROR(INDEX('CLM &amp; IM Mapping'!$C$2:$C$270,MATCH(TRIM(A107),'CLM &amp; IM Mapping'!$A$2:$A$270,0)),"Not Mapped"))</f>
        <v>Mohammed Akbar</v>
      </c>
      <c r="D107" s="38" t="n">
        <v>30</v>
      </c>
      <c r="E107" s="38" t="n">
        <v>60</v>
      </c>
      <c r="F107" s="38" t="n">
        <v>0</v>
      </c>
      <c r="G107" s="38" t="n">
        <v>9</v>
      </c>
      <c r="H107" s="38" t="n">
        <v>12</v>
      </c>
      <c r="I107" s="38" t="n">
        <v>21</v>
      </c>
      <c r="J107" s="38" t="n">
        <v>132</v>
      </c>
      <c r="K107" s="38" t="n">
        <v>132</v>
      </c>
      <c r="L107" s="12"/>
      <c r="M107" s="12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customFormat="false" ht="15.75" hidden="false" customHeight="true" outlineLevel="0" collapsed="false">
      <c r="A108" s="38" t="s">
        <v>119</v>
      </c>
      <c r="B108" s="38" t="str">
        <f aca="false" t="array" ref="B108:B108">IF(A108="","",IFERROR(INDEX('CLM &amp; IM Mapping'!$B$2:$B$270,MATCH(TRIM(A108),'CLM &amp; IM Mapping'!$A$2:$A$270,0)),"Not Mapped"))</f>
        <v>Vishnu V</v>
      </c>
      <c r="C108" s="38" t="str">
        <f aca="false" t="array" ref="C108:C108">IF(A108="","",IFERROR(INDEX('CLM &amp; IM Mapping'!$C$2:$C$270,MATCH(TRIM(A108),'CLM &amp; IM Mapping'!$A$2:$A$270,0)),"Not Mapped"))</f>
        <v>Arivind S</v>
      </c>
      <c r="D108" s="38" t="n">
        <v>28</v>
      </c>
      <c r="E108" s="38" t="n">
        <v>66</v>
      </c>
      <c r="F108" s="38" t="n">
        <v>31</v>
      </c>
      <c r="G108" s="38" t="n">
        <v>4</v>
      </c>
      <c r="H108" s="38" t="n">
        <v>0</v>
      </c>
      <c r="I108" s="38" t="n">
        <v>0</v>
      </c>
      <c r="J108" s="38" t="n">
        <v>129</v>
      </c>
      <c r="K108" s="38" t="n">
        <v>129</v>
      </c>
      <c r="L108" s="12"/>
      <c r="M108" s="12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customFormat="false" ht="15.75" hidden="false" customHeight="true" outlineLevel="0" collapsed="false">
      <c r="A109" s="38" t="s">
        <v>88</v>
      </c>
      <c r="B109" s="38" t="str">
        <f aca="false" t="array" ref="B109:B109">IF(A109="","",IFERROR(INDEX('CLM &amp; IM Mapping'!$B$2:$B$270,MATCH(TRIM(A109),'CLM &amp; IM Mapping'!$A$2:$A$270,0)),"Not Mapped"))</f>
        <v>Richard Harris</v>
      </c>
      <c r="C109" s="38" t="str">
        <f aca="false" t="array" ref="C109:C109">IF(A109="","",IFERROR(INDEX('CLM &amp; IM Mapping'!$C$2:$C$270,MATCH(TRIM(A109),'CLM &amp; IM Mapping'!$A$2:$A$270,0)),"Not Mapped"))</f>
        <v>Kantha Kumar</v>
      </c>
      <c r="D109" s="38" t="n">
        <v>20</v>
      </c>
      <c r="E109" s="38" t="n">
        <v>19</v>
      </c>
      <c r="F109" s="38" t="n">
        <v>4</v>
      </c>
      <c r="G109" s="38" t="n">
        <v>49</v>
      </c>
      <c r="H109" s="38" t="n">
        <v>15</v>
      </c>
      <c r="I109" s="38" t="n">
        <v>16</v>
      </c>
      <c r="J109" s="38" t="n">
        <v>123</v>
      </c>
      <c r="K109" s="38" t="n">
        <v>119</v>
      </c>
      <c r="L109" s="12"/>
      <c r="M109" s="12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customFormat="false" ht="15.75" hidden="false" customHeight="true" outlineLevel="0" collapsed="false">
      <c r="A110" s="38" t="s">
        <v>69</v>
      </c>
      <c r="B110" s="38" t="str">
        <f aca="false" t="array" ref="B110:B110">IF(A110="","",IFERROR(INDEX('CLM &amp; IM Mapping'!$B$2:$B$270,MATCH(TRIM(A110),'CLM &amp; IM Mapping'!$A$2:$A$270,0)),"Not Mapped"))</f>
        <v>Sundaresh S</v>
      </c>
      <c r="C110" s="38" t="str">
        <f aca="false" t="array" ref="C110:C110">IF(A110="","",IFERROR(INDEX('CLM &amp; IM Mapping'!$C$2:$C$270,MATCH(TRIM(A110),'CLM &amp; IM Mapping'!$A$2:$A$270,0)),"Not Mapped"))</f>
        <v>Un Mapped</v>
      </c>
      <c r="D110" s="38" t="n">
        <v>10</v>
      </c>
      <c r="E110" s="38" t="n">
        <v>34</v>
      </c>
      <c r="F110" s="38" t="n">
        <v>0</v>
      </c>
      <c r="G110" s="38" t="n">
        <v>14</v>
      </c>
      <c r="H110" s="38" t="n">
        <v>0</v>
      </c>
      <c r="I110" s="38" t="n">
        <v>64</v>
      </c>
      <c r="J110" s="38" t="n">
        <v>122</v>
      </c>
      <c r="K110" s="38" t="n">
        <v>111</v>
      </c>
      <c r="L110" s="12"/>
      <c r="M110" s="12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customFormat="false" ht="15.75" hidden="false" customHeight="true" outlineLevel="0" collapsed="false">
      <c r="A111" s="38" t="s">
        <v>266</v>
      </c>
      <c r="B111" s="38" t="str">
        <f aca="false" t="array" ref="B111:B111">IF(A111="","",IFERROR(INDEX('CLM &amp; IM Mapping'!$B$2:$B$270,MATCH(TRIM(A111),'CLM &amp; IM Mapping'!$A$2:$A$270,0)),"Not Mapped"))</f>
        <v>Sundaresh S</v>
      </c>
      <c r="C111" s="38" t="str">
        <f aca="false" t="array" ref="C111:C111">IF(A111="","",IFERROR(INDEX('CLM &amp; IM Mapping'!$C$2:$C$270,MATCH(TRIM(A111),'CLM &amp; IM Mapping'!$A$2:$A$270,0)),"Not Mapped"))</f>
        <v>Un Mapped</v>
      </c>
      <c r="D111" s="38" t="n">
        <v>7</v>
      </c>
      <c r="E111" s="38" t="n">
        <v>50</v>
      </c>
      <c r="F111" s="38" t="n">
        <v>21</v>
      </c>
      <c r="G111" s="38" t="n">
        <v>12</v>
      </c>
      <c r="H111" s="38" t="n">
        <v>2</v>
      </c>
      <c r="I111" s="38" t="n">
        <v>30</v>
      </c>
      <c r="J111" s="38" t="n">
        <v>122</v>
      </c>
      <c r="K111" s="38" t="n">
        <v>122</v>
      </c>
      <c r="L111" s="12"/>
      <c r="M111" s="12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customFormat="false" ht="15.75" hidden="false" customHeight="true" outlineLevel="0" collapsed="false">
      <c r="A112" s="38" t="s">
        <v>208</v>
      </c>
      <c r="B112" s="38" t="str">
        <f aca="false" t="array" ref="B112:B112">IF(A112="","",IFERROR(INDEX('CLM &amp; IM Mapping'!$B$2:$B$270,MATCH(TRIM(A112),'CLM &amp; IM Mapping'!$A$2:$A$270,0)),"Not Mapped"))</f>
        <v>Bangareppa CS</v>
      </c>
      <c r="C112" s="38" t="str">
        <f aca="false" t="array" ref="C112:C112">IF(A112="","",IFERROR(INDEX('CLM &amp; IM Mapping'!$C$2:$C$270,MATCH(TRIM(A112),'CLM &amp; IM Mapping'!$A$2:$A$270,0)),"Not Mapped"))</f>
        <v>Kishor K</v>
      </c>
      <c r="D112" s="38" t="n">
        <v>8</v>
      </c>
      <c r="E112" s="38" t="n">
        <v>16</v>
      </c>
      <c r="F112" s="38" t="n">
        <v>3</v>
      </c>
      <c r="G112" s="38" t="n">
        <v>21</v>
      </c>
      <c r="H112" s="38" t="n">
        <v>45</v>
      </c>
      <c r="I112" s="38" t="n">
        <v>26</v>
      </c>
      <c r="J112" s="38" t="n">
        <v>119</v>
      </c>
      <c r="K112" s="38" t="n">
        <v>117</v>
      </c>
      <c r="L112" s="12"/>
      <c r="M112" s="12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customFormat="false" ht="15.75" hidden="false" customHeight="true" outlineLevel="0" collapsed="false">
      <c r="A113" s="38" t="s">
        <v>214</v>
      </c>
      <c r="B113" s="38" t="str">
        <f aca="false" t="array" ref="B113:B113">IF(A113="","",IFERROR(INDEX('CLM &amp; IM Mapping'!$B$2:$B$270,MATCH(TRIM(A113),'CLM &amp; IM Mapping'!$A$2:$A$270,0)),"Not Mapped"))</f>
        <v>Ravishankar gowda</v>
      </c>
      <c r="C113" s="38" t="str">
        <f aca="false" t="array" ref="C113:C113">IF(A113="","",IFERROR(INDEX('CLM &amp; IM Mapping'!$C$2:$C$270,MATCH(TRIM(A113),'CLM &amp; IM Mapping'!$A$2:$A$270,0)),"Not Mapped"))</f>
        <v>Kishor K</v>
      </c>
      <c r="D113" s="38" t="n">
        <v>15</v>
      </c>
      <c r="E113" s="38" t="n">
        <v>27</v>
      </c>
      <c r="F113" s="38" t="n">
        <v>2</v>
      </c>
      <c r="G113" s="38" t="n">
        <v>27</v>
      </c>
      <c r="H113" s="38" t="n">
        <v>0</v>
      </c>
      <c r="I113" s="38" t="n">
        <v>47</v>
      </c>
      <c r="J113" s="38" t="n">
        <v>118</v>
      </c>
      <c r="K113" s="38" t="n">
        <v>101</v>
      </c>
      <c r="L113" s="12"/>
      <c r="M113" s="12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customFormat="false" ht="15.75" hidden="false" customHeight="true" outlineLevel="0" collapsed="false">
      <c r="A114" s="38" t="s">
        <v>228</v>
      </c>
      <c r="B114" s="38" t="str">
        <f aca="false" t="array" ref="B114:B114">IF(A114="","",IFERROR(INDEX('CLM &amp; IM Mapping'!$B$2:$B$270,MATCH(TRIM(A114),'CLM &amp; IM Mapping'!$A$2:$A$270,0)),"Not Mapped"))</f>
        <v>Silambarasan E</v>
      </c>
      <c r="C114" s="38" t="str">
        <f aca="false" t="array" ref="C114:C114">IF(A114="","",IFERROR(INDEX('CLM &amp; IM Mapping'!$C$2:$C$270,MATCH(TRIM(A114),'CLM &amp; IM Mapping'!$A$2:$A$270,0)),"Not Mapped"))</f>
        <v>Arivind S</v>
      </c>
      <c r="D114" s="38" t="n">
        <v>1</v>
      </c>
      <c r="E114" s="38" t="n">
        <v>5</v>
      </c>
      <c r="F114" s="38" t="n">
        <v>3</v>
      </c>
      <c r="G114" s="38" t="n">
        <v>33</v>
      </c>
      <c r="H114" s="38" t="n">
        <v>18</v>
      </c>
      <c r="I114" s="38" t="n">
        <v>56</v>
      </c>
      <c r="J114" s="38" t="n">
        <v>116</v>
      </c>
      <c r="K114" s="38" t="n">
        <v>105</v>
      </c>
      <c r="L114" s="12"/>
      <c r="M114" s="12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customFormat="false" ht="15.75" hidden="false" customHeight="true" outlineLevel="0" collapsed="false">
      <c r="A115" s="38" t="s">
        <v>87</v>
      </c>
      <c r="B115" s="38" t="str">
        <f aca="false" t="array" ref="B115:B115">IF(A115="","",IFERROR(INDEX('CLM &amp; IM Mapping'!$B$2:$B$270,MATCH(TRIM(A115),'CLM &amp; IM Mapping'!$A$2:$A$270,0)),"Not Mapped"))</f>
        <v>Silambarasan E</v>
      </c>
      <c r="C115" s="38" t="str">
        <f aca="false" t="array" ref="C115:C115">IF(A115="","",IFERROR(INDEX('CLM &amp; IM Mapping'!$C$2:$C$270,MATCH(TRIM(A115),'CLM &amp; IM Mapping'!$A$2:$A$270,0)),"Not Mapped"))</f>
        <v>Arivind S</v>
      </c>
      <c r="D115" s="38" t="n">
        <v>0</v>
      </c>
      <c r="E115" s="38" t="n">
        <v>10</v>
      </c>
      <c r="F115" s="38" t="n">
        <v>3</v>
      </c>
      <c r="G115" s="38" t="n">
        <v>64</v>
      </c>
      <c r="H115" s="38" t="n">
        <v>25</v>
      </c>
      <c r="I115" s="38" t="n">
        <v>14</v>
      </c>
      <c r="J115" s="38" t="n">
        <v>116</v>
      </c>
      <c r="K115" s="38" t="n">
        <v>51</v>
      </c>
      <c r="L115" s="12"/>
      <c r="M115" s="12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customFormat="false" ht="15.75" hidden="false" customHeight="true" outlineLevel="0" collapsed="false">
      <c r="A116" s="38" t="s">
        <v>34</v>
      </c>
      <c r="B116" s="38" t="str">
        <f aca="false" t="array" ref="B116:B116">IF(A116="","",IFERROR(INDEX('CLM &amp; IM Mapping'!$B$2:$B$270,MATCH(TRIM(A116),'CLM &amp; IM Mapping'!$A$2:$A$270,0)),"Not Mapped"))</f>
        <v>Richard Harris</v>
      </c>
      <c r="C116" s="38" t="str">
        <f aca="false" t="array" ref="C116:C116">IF(A116="","",IFERROR(INDEX('CLM &amp; IM Mapping'!$C$2:$C$270,MATCH(TRIM(A116),'CLM &amp; IM Mapping'!$A$2:$A$270,0)),"Not Mapped"))</f>
        <v>Kantha Kumar</v>
      </c>
      <c r="D116" s="38" t="n">
        <v>0</v>
      </c>
      <c r="E116" s="38" t="n">
        <v>38</v>
      </c>
      <c r="F116" s="38" t="n">
        <v>0</v>
      </c>
      <c r="G116" s="38" t="n">
        <v>75</v>
      </c>
      <c r="H116" s="38"/>
      <c r="I116" s="38" t="n">
        <v>0</v>
      </c>
      <c r="J116" s="38" t="n">
        <v>113</v>
      </c>
      <c r="K116" s="38" t="n">
        <v>103</v>
      </c>
      <c r="L116" s="12"/>
      <c r="M116" s="12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customFormat="false" ht="15.75" hidden="false" customHeight="true" outlineLevel="0" collapsed="false">
      <c r="A117" s="38" t="s">
        <v>49</v>
      </c>
      <c r="B117" s="38" t="str">
        <f aca="false" t="array" ref="B117:B117">IF(A117="","",IFERROR(INDEX('CLM &amp; IM Mapping'!$B$2:$B$270,MATCH(TRIM(A117),'CLM &amp; IM Mapping'!$A$2:$A$270,0)),"Not Mapped"))</f>
        <v>Balaji G</v>
      </c>
      <c r="C117" s="38" t="str">
        <f aca="false" t="array" ref="C117:C117">IF(A117="","",IFERROR(INDEX('CLM &amp; IM Mapping'!$C$2:$C$270,MATCH(TRIM(A117),'CLM &amp; IM Mapping'!$A$2:$A$270,0)),"Not Mapped"))</f>
        <v>Mohammed Akbar</v>
      </c>
      <c r="D117" s="38" t="n">
        <v>26</v>
      </c>
      <c r="E117" s="38" t="n">
        <v>28</v>
      </c>
      <c r="F117" s="38" t="n">
        <v>4</v>
      </c>
      <c r="G117" s="38" t="n">
        <v>19</v>
      </c>
      <c r="H117" s="38" t="n">
        <v>6</v>
      </c>
      <c r="I117" s="38" t="n">
        <v>28</v>
      </c>
      <c r="J117" s="38" t="n">
        <v>111</v>
      </c>
      <c r="K117" s="38" t="n">
        <v>105</v>
      </c>
      <c r="L117" s="12"/>
      <c r="M117" s="12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customFormat="false" ht="15.75" hidden="false" customHeight="true" outlineLevel="0" collapsed="false">
      <c r="A118" s="38" t="s">
        <v>171</v>
      </c>
      <c r="B118" s="38" t="str">
        <f aca="false" t="array" ref="B118:B118">IF(A118="","",IFERROR(INDEX('CLM &amp; IM Mapping'!$B$2:$B$270,MATCH(TRIM(A118),'CLM &amp; IM Mapping'!$A$2:$A$270,0)),"Not Mapped"))</f>
        <v>Saddam Hussain</v>
      </c>
      <c r="C118" s="38" t="str">
        <f aca="false" t="array" ref="C118:C118">IF(A118="","",IFERROR(INDEX('CLM &amp; IM Mapping'!$C$2:$C$270,MATCH(TRIM(A118),'CLM &amp; IM Mapping'!$A$2:$A$270,0)),"Not Mapped"))</f>
        <v>Un Mapped</v>
      </c>
      <c r="D118" s="38" t="n">
        <v>0</v>
      </c>
      <c r="E118" s="38" t="n">
        <v>19</v>
      </c>
      <c r="F118" s="38" t="n">
        <v>0</v>
      </c>
      <c r="G118" s="38" t="n">
        <v>27</v>
      </c>
      <c r="H118" s="38" t="n">
        <v>0</v>
      </c>
      <c r="I118" s="38" t="n">
        <v>65</v>
      </c>
      <c r="J118" s="38" t="n">
        <v>111</v>
      </c>
      <c r="K118" s="38" t="n">
        <v>111</v>
      </c>
      <c r="L118" s="12"/>
      <c r="M118" s="12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customFormat="false" ht="15.75" hidden="false" customHeight="true" outlineLevel="0" collapsed="false">
      <c r="A119" s="38" t="s">
        <v>220</v>
      </c>
      <c r="B119" s="38" t="str">
        <f aca="false" t="array" ref="B119:B119">IF(A119="","",IFERROR(INDEX('CLM &amp; IM Mapping'!$B$2:$B$270,MATCH(TRIM(A119),'CLM &amp; IM Mapping'!$A$2:$A$270,0)),"Not Mapped"))</f>
        <v>Girish N</v>
      </c>
      <c r="C119" s="38" t="str">
        <f aca="false" t="array" ref="C119:C119">IF(A119="","",IFERROR(INDEX('CLM &amp; IM Mapping'!$C$2:$C$270,MATCH(TRIM(A119),'CLM &amp; IM Mapping'!$A$2:$A$270,0)),"Not Mapped"))</f>
        <v>Un Mapped</v>
      </c>
      <c r="D119" s="38" t="n">
        <v>1</v>
      </c>
      <c r="E119" s="38" t="n">
        <v>35</v>
      </c>
      <c r="F119" s="38" t="n">
        <v>2</v>
      </c>
      <c r="G119" s="38" t="n">
        <v>21</v>
      </c>
      <c r="H119" s="38" t="n">
        <v>1</v>
      </c>
      <c r="I119" s="38" t="n">
        <v>50</v>
      </c>
      <c r="J119" s="38" t="n">
        <v>110</v>
      </c>
      <c r="K119" s="38" t="n">
        <v>108</v>
      </c>
      <c r="L119" s="12"/>
      <c r="M119" s="12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customFormat="false" ht="15.75" hidden="false" customHeight="true" outlineLevel="0" collapsed="false">
      <c r="A120" s="38" t="s">
        <v>154</v>
      </c>
      <c r="B120" s="38" t="str">
        <f aca="false" t="array" ref="B120:B120">IF(A120="","",IFERROR(INDEX('CLM &amp; IM Mapping'!$B$2:$B$270,MATCH(TRIM(A120),'CLM &amp; IM Mapping'!$A$2:$A$270,0)),"Not Mapped"))</f>
        <v>Akshay P</v>
      </c>
      <c r="C120" s="38" t="str">
        <f aca="false" t="array" ref="C120:C120">IF(A120="","",IFERROR(INDEX('CLM &amp; IM Mapping'!$C$2:$C$270,MATCH(TRIM(A120),'CLM &amp; IM Mapping'!$A$2:$A$270,0)),"Not Mapped"))</f>
        <v>Srittam Dhal</v>
      </c>
      <c r="D120" s="38" t="n">
        <v>22</v>
      </c>
      <c r="E120" s="38" t="n">
        <v>46</v>
      </c>
      <c r="F120" s="38" t="n">
        <v>8</v>
      </c>
      <c r="G120" s="38" t="n">
        <v>25</v>
      </c>
      <c r="H120" s="38" t="n">
        <v>8</v>
      </c>
      <c r="I120" s="38" t="n">
        <v>0</v>
      </c>
      <c r="J120" s="38" t="n">
        <v>109</v>
      </c>
      <c r="K120" s="38" t="n">
        <v>98</v>
      </c>
      <c r="L120" s="12"/>
      <c r="M120" s="12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customFormat="false" ht="15.75" hidden="false" customHeight="true" outlineLevel="0" collapsed="false">
      <c r="A121" s="38" t="s">
        <v>135</v>
      </c>
      <c r="B121" s="38" t="str">
        <f aca="false" t="array" ref="B121:B121">IF(A121="","",IFERROR(INDEX('CLM &amp; IM Mapping'!$B$2:$B$270,MATCH(TRIM(A121),'CLM &amp; IM Mapping'!$A$2:$A$270,0)),"Not Mapped"))</f>
        <v>Sundaresh S</v>
      </c>
      <c r="C121" s="38" t="str">
        <f aca="false" t="array" ref="C121:C121">IF(A121="","",IFERROR(INDEX('CLM &amp; IM Mapping'!$C$2:$C$270,MATCH(TRIM(A121),'CLM &amp; IM Mapping'!$A$2:$A$270,0)),"Not Mapped"))</f>
        <v>Un Mapped</v>
      </c>
      <c r="D121" s="38" t="n">
        <v>0</v>
      </c>
      <c r="E121" s="38" t="n">
        <v>16</v>
      </c>
      <c r="F121" s="38" t="n">
        <v>1</v>
      </c>
      <c r="G121" s="38" t="n">
        <v>34</v>
      </c>
      <c r="H121" s="38" t="n">
        <v>26</v>
      </c>
      <c r="I121" s="38" t="n">
        <v>32</v>
      </c>
      <c r="J121" s="38" t="n">
        <v>109</v>
      </c>
      <c r="K121" s="38" t="n">
        <v>108</v>
      </c>
      <c r="L121" s="12"/>
      <c r="M121" s="12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customFormat="false" ht="15.75" hidden="false" customHeight="true" outlineLevel="0" collapsed="false">
      <c r="A122" s="38" t="s">
        <v>173</v>
      </c>
      <c r="B122" s="38" t="str">
        <f aca="false" t="array" ref="B122:B122">IF(A122="","",IFERROR(INDEX('CLM &amp; IM Mapping'!$B$2:$B$270,MATCH(TRIM(A122),'CLM &amp; IM Mapping'!$A$2:$A$270,0)),"Not Mapped"))</f>
        <v>Vishnu V</v>
      </c>
      <c r="C122" s="38" t="str">
        <f aca="false" t="array" ref="C122:C122">IF(A122="","",IFERROR(INDEX('CLM &amp; IM Mapping'!$C$2:$C$270,MATCH(TRIM(A122),'CLM &amp; IM Mapping'!$A$2:$A$270,0)),"Not Mapped"))</f>
        <v>Arivind S</v>
      </c>
      <c r="D122" s="38" t="n">
        <v>5</v>
      </c>
      <c r="E122" s="38" t="n">
        <v>63</v>
      </c>
      <c r="F122" s="38" t="n">
        <v>36</v>
      </c>
      <c r="G122" s="38" t="n">
        <v>1</v>
      </c>
      <c r="H122" s="38" t="n">
        <v>1</v>
      </c>
      <c r="I122" s="38" t="n">
        <v>2</v>
      </c>
      <c r="J122" s="38" t="n">
        <v>108</v>
      </c>
      <c r="K122" s="38" t="n">
        <v>74</v>
      </c>
      <c r="L122" s="12"/>
      <c r="M122" s="12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customFormat="false" ht="15.75" hidden="false" customHeight="true" outlineLevel="0" collapsed="false">
      <c r="A123" s="38" t="s">
        <v>92</v>
      </c>
      <c r="B123" s="38" t="str">
        <f aca="false" t="array" ref="B123:B123">IF(A123="","",IFERROR(INDEX('CLM &amp; IM Mapping'!$B$2:$B$270,MATCH(TRIM(A123),'CLM &amp; IM Mapping'!$A$2:$A$270,0)),"Not Mapped"))</f>
        <v>Adhavan Subramani</v>
      </c>
      <c r="C123" s="38" t="str">
        <f aca="false" t="array" ref="C123:C123">IF(A123="","",IFERROR(INDEX('CLM &amp; IM Mapping'!$C$2:$C$270,MATCH(TRIM(A123),'CLM &amp; IM Mapping'!$A$2:$A$270,0)),"Not Mapped"))</f>
        <v>Mohammed Akbar</v>
      </c>
      <c r="D123" s="38" t="n">
        <v>0</v>
      </c>
      <c r="E123" s="38" t="n">
        <v>1</v>
      </c>
      <c r="F123" s="38" t="n">
        <v>0</v>
      </c>
      <c r="G123" s="38" t="n">
        <v>40</v>
      </c>
      <c r="H123" s="38" t="n">
        <v>65</v>
      </c>
      <c r="I123" s="38" t="n">
        <v>0</v>
      </c>
      <c r="J123" s="38" t="n">
        <v>106</v>
      </c>
      <c r="K123" s="38" t="n">
        <v>106</v>
      </c>
      <c r="L123" s="12"/>
      <c r="M123" s="12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customFormat="false" ht="15.75" hidden="false" customHeight="true" outlineLevel="0" collapsed="false">
      <c r="A124" s="38" t="s">
        <v>30</v>
      </c>
      <c r="B124" s="38" t="str">
        <f aca="false" t="array" ref="B124:B124">IF(A124="","",IFERROR(INDEX('CLM &amp; IM Mapping'!$B$2:$B$270,MATCH(TRIM(A124),'CLM &amp; IM Mapping'!$A$2:$A$270,0)),"Not Mapped"))</f>
        <v>Rizwan Ahmed</v>
      </c>
      <c r="C124" s="38" t="str">
        <f aca="false" t="array" ref="C124:C124">IF(A124="","",IFERROR(INDEX('CLM &amp; IM Mapping'!$C$2:$C$270,MATCH(TRIM(A124),'CLM &amp; IM Mapping'!$A$2:$A$270,0)),"Not Mapped"))</f>
        <v>Un Mapped</v>
      </c>
      <c r="D124" s="38" t="n">
        <v>0</v>
      </c>
      <c r="E124" s="38" t="n">
        <v>15</v>
      </c>
      <c r="F124" s="38"/>
      <c r="G124" s="38" t="n">
        <v>11</v>
      </c>
      <c r="H124" s="38" t="n">
        <v>24</v>
      </c>
      <c r="I124" s="38" t="n">
        <v>53</v>
      </c>
      <c r="J124" s="38" t="n">
        <v>103</v>
      </c>
      <c r="K124" s="38" t="n">
        <v>84</v>
      </c>
      <c r="L124" s="12"/>
      <c r="M124" s="12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customFormat="false" ht="15.75" hidden="false" customHeight="true" outlineLevel="0" collapsed="false">
      <c r="A125" s="38" t="s">
        <v>94</v>
      </c>
      <c r="B125" s="38" t="str">
        <f aca="false" t="array" ref="B125:B125">IF(A125="","",IFERROR(INDEX('CLM &amp; IM Mapping'!$B$2:$B$270,MATCH(TRIM(A125),'CLM &amp; IM Mapping'!$A$2:$A$270,0)),"Not Mapped"))</f>
        <v>Adhavan Subramani</v>
      </c>
      <c r="C125" s="38" t="str">
        <f aca="false" t="array" ref="C125:C125">IF(A125="","",IFERROR(INDEX('CLM &amp; IM Mapping'!$C$2:$C$270,MATCH(TRIM(A125),'CLM &amp; IM Mapping'!$A$2:$A$270,0)),"Not Mapped"))</f>
        <v>Mohammed Akbar</v>
      </c>
      <c r="D125" s="38" t="n">
        <v>0</v>
      </c>
      <c r="E125" s="38" t="n">
        <v>0</v>
      </c>
      <c r="F125" s="38" t="n">
        <v>0</v>
      </c>
      <c r="G125" s="38" t="n">
        <v>42</v>
      </c>
      <c r="H125" s="38" t="n">
        <v>1</v>
      </c>
      <c r="I125" s="38" t="n">
        <v>60</v>
      </c>
      <c r="J125" s="38" t="n">
        <v>103</v>
      </c>
      <c r="K125" s="38" t="n">
        <v>96</v>
      </c>
      <c r="L125" s="12"/>
      <c r="M125" s="12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customFormat="false" ht="15.75" hidden="false" customHeight="true" outlineLevel="0" collapsed="false">
      <c r="A126" s="38" t="s">
        <v>150</v>
      </c>
      <c r="B126" s="38" t="str">
        <f aca="false" t="array" ref="B126:B126">IF(A126="","",IFERROR(INDEX('CLM &amp; IM Mapping'!$B$2:$B$270,MATCH(TRIM(A126),'CLM &amp; IM Mapping'!$A$2:$A$270,0)),"Not Mapped"))</f>
        <v>Manjunatha V</v>
      </c>
      <c r="C126" s="38" t="str">
        <f aca="false" t="array" ref="C126:C126">IF(A126="","",IFERROR(INDEX('CLM &amp; IM Mapping'!$C$2:$C$270,MATCH(TRIM(A126),'CLM &amp; IM Mapping'!$A$2:$A$270,0)),"Not Mapped"))</f>
        <v>Un Mapped</v>
      </c>
      <c r="D126" s="38" t="n">
        <v>28</v>
      </c>
      <c r="E126" s="38" t="n">
        <v>39</v>
      </c>
      <c r="F126" s="38" t="n">
        <v>2</v>
      </c>
      <c r="G126" s="38" t="n">
        <v>8</v>
      </c>
      <c r="H126" s="38" t="n">
        <v>10</v>
      </c>
      <c r="I126" s="38" t="n">
        <v>12</v>
      </c>
      <c r="J126" s="38" t="n">
        <v>99</v>
      </c>
      <c r="K126" s="38" t="n">
        <v>77</v>
      </c>
      <c r="L126" s="12"/>
      <c r="M126" s="12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customFormat="false" ht="15.75" hidden="false" customHeight="true" outlineLevel="0" collapsed="false">
      <c r="A127" s="38" t="s">
        <v>238</v>
      </c>
      <c r="B127" s="38" t="str">
        <f aca="false" t="array" ref="B127:B127">IF(A127="","",IFERROR(INDEX('CLM &amp; IM Mapping'!$B$2:$B$270,MATCH(TRIM(A127),'CLM &amp; IM Mapping'!$A$2:$A$270,0)),"Not Mapped"))</f>
        <v>Vijay M</v>
      </c>
      <c r="C127" s="38" t="str">
        <f aca="false" t="array" ref="C127:C127">IF(A127="","",IFERROR(INDEX('CLM &amp; IM Mapping'!$C$2:$C$270,MATCH(TRIM(A127),'CLM &amp; IM Mapping'!$A$2:$A$270,0)),"Not Mapped"))</f>
        <v>Kantha Kumar</v>
      </c>
      <c r="D127" s="38" t="n">
        <v>0</v>
      </c>
      <c r="E127" s="38" t="n">
        <v>11</v>
      </c>
      <c r="F127" s="38" t="n">
        <v>0</v>
      </c>
      <c r="G127" s="38" t="n">
        <v>43</v>
      </c>
      <c r="H127" s="38" t="n">
        <v>27</v>
      </c>
      <c r="I127" s="38" t="n">
        <v>18</v>
      </c>
      <c r="J127" s="38" t="n">
        <v>99</v>
      </c>
      <c r="K127" s="38" t="n">
        <v>99</v>
      </c>
      <c r="L127" s="12"/>
      <c r="M127" s="12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customFormat="false" ht="15.75" hidden="false" customHeight="true" outlineLevel="0" collapsed="false">
      <c r="A128" s="38" t="s">
        <v>50</v>
      </c>
      <c r="B128" s="38" t="str">
        <f aca="false" t="array" ref="B128:B128">IF(A128="","",IFERROR(INDEX('CLM &amp; IM Mapping'!$B$2:$B$270,MATCH(TRIM(A128),'CLM &amp; IM Mapping'!$A$2:$A$270,0)),"Not Mapped"))</f>
        <v>Ashwath S</v>
      </c>
      <c r="C128" s="38" t="str">
        <f aca="false" t="array" ref="C128:C128">IF(A128="","",IFERROR(INDEX('CLM &amp; IM Mapping'!$C$2:$C$270,MATCH(TRIM(A128),'CLM &amp; IM Mapping'!$A$2:$A$270,0)),"Not Mapped"))</f>
        <v>Kantha Kumar</v>
      </c>
      <c r="D128" s="38" t="n">
        <v>2</v>
      </c>
      <c r="E128" s="38" t="n">
        <v>29</v>
      </c>
      <c r="F128" s="38" t="n">
        <v>11</v>
      </c>
      <c r="G128" s="38" t="n">
        <v>19</v>
      </c>
      <c r="H128" s="38" t="n">
        <v>15</v>
      </c>
      <c r="I128" s="38" t="n">
        <v>20</v>
      </c>
      <c r="J128" s="38" t="n">
        <v>96</v>
      </c>
      <c r="K128" s="38" t="n">
        <v>95</v>
      </c>
      <c r="L128" s="12"/>
      <c r="M128" s="12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customFormat="false" ht="15.75" hidden="false" customHeight="true" outlineLevel="0" collapsed="false">
      <c r="A129" s="38" t="s">
        <v>58</v>
      </c>
      <c r="B129" s="38" t="str">
        <f aca="false" t="array" ref="B129:B129">IF(A129="","",IFERROR(INDEX('CLM &amp; IM Mapping'!$B$2:$B$270,MATCH(TRIM(A129),'CLM &amp; IM Mapping'!$A$2:$A$270,0)),"Not Mapped"))</f>
        <v>Narasimhamurthy R</v>
      </c>
      <c r="C129" s="38" t="str">
        <f aca="false" t="array" ref="C129:C129">IF(A129="","",IFERROR(INDEX('CLM &amp; IM Mapping'!$C$2:$C$270,MATCH(TRIM(A129),'CLM &amp; IM Mapping'!$A$2:$A$270,0)),"Not Mapped"))</f>
        <v>Kishor K</v>
      </c>
      <c r="D129" s="38" t="n">
        <v>11</v>
      </c>
      <c r="E129" s="38" t="n">
        <v>0</v>
      </c>
      <c r="F129" s="38" t="n">
        <v>0</v>
      </c>
      <c r="G129" s="38" t="n">
        <v>46</v>
      </c>
      <c r="H129" s="38" t="n">
        <v>29</v>
      </c>
      <c r="I129" s="38" t="n">
        <v>9</v>
      </c>
      <c r="J129" s="38" t="n">
        <v>95</v>
      </c>
      <c r="K129" s="38" t="n">
        <v>93</v>
      </c>
      <c r="L129" s="12"/>
      <c r="M129" s="12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customFormat="false" ht="15.75" hidden="false" customHeight="true" outlineLevel="0" collapsed="false">
      <c r="A130" s="38" t="s">
        <v>248</v>
      </c>
      <c r="B130" s="38" t="str">
        <f aca="false" t="array" ref="B130:B130">IF(A130="","",IFERROR(INDEX('CLM &amp; IM Mapping'!$B$2:$B$270,MATCH(TRIM(A130),'CLM &amp; IM Mapping'!$A$2:$A$270,0)),"Not Mapped"))</f>
        <v>Rizwan Ahmed</v>
      </c>
      <c r="C130" s="38" t="str">
        <f aca="false" t="array" ref="C130:C130">IF(A130="","",IFERROR(INDEX('CLM &amp; IM Mapping'!$C$2:$C$270,MATCH(TRIM(A130),'CLM &amp; IM Mapping'!$A$2:$A$270,0)),"Not Mapped"))</f>
        <v>Un Mapped</v>
      </c>
      <c r="D130" s="38" t="n">
        <v>4</v>
      </c>
      <c r="E130" s="38" t="n">
        <v>26</v>
      </c>
      <c r="F130" s="38" t="n">
        <v>0</v>
      </c>
      <c r="G130" s="38" t="n">
        <v>52</v>
      </c>
      <c r="H130" s="38" t="n">
        <v>6</v>
      </c>
      <c r="I130" s="38" t="n">
        <v>7</v>
      </c>
      <c r="J130" s="38" t="n">
        <v>95</v>
      </c>
      <c r="K130" s="38" t="n">
        <v>83</v>
      </c>
      <c r="L130" s="12"/>
      <c r="M130" s="12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customFormat="false" ht="15.75" hidden="false" customHeight="true" outlineLevel="0" collapsed="false">
      <c r="A131" s="38" t="s">
        <v>140</v>
      </c>
      <c r="B131" s="38" t="str">
        <f aca="false" t="array" ref="B131:B131">IF(A131="","",IFERROR(INDEX('CLM &amp; IM Mapping'!$B$2:$B$270,MATCH(TRIM(A131),'CLM &amp; IM Mapping'!$A$2:$A$270,0)),"Not Mapped"))</f>
        <v>Suhas N</v>
      </c>
      <c r="C131" s="38" t="str">
        <f aca="false" t="array" ref="C131:C131">IF(A131="","",IFERROR(INDEX('CLM &amp; IM Mapping'!$C$2:$C$270,MATCH(TRIM(A131),'CLM &amp; IM Mapping'!$A$2:$A$270,0)),"Not Mapped"))</f>
        <v>Aravind S</v>
      </c>
      <c r="D131" s="38" t="n">
        <v>0</v>
      </c>
      <c r="E131" s="38" t="n">
        <v>77</v>
      </c>
      <c r="F131" s="38" t="n">
        <v>0</v>
      </c>
      <c r="G131" s="38" t="n">
        <v>12</v>
      </c>
      <c r="H131" s="38" t="n">
        <v>6</v>
      </c>
      <c r="I131" s="38" t="n">
        <v>0</v>
      </c>
      <c r="J131" s="38" t="n">
        <v>95</v>
      </c>
      <c r="K131" s="38" t="n">
        <v>95</v>
      </c>
      <c r="L131" s="12"/>
      <c r="M131" s="12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customFormat="false" ht="15.75" hidden="false" customHeight="true" outlineLevel="0" collapsed="false">
      <c r="A132" s="38" t="s">
        <v>41</v>
      </c>
      <c r="B132" s="38" t="str">
        <f aca="false" t="array" ref="B132:B132">IF(A132="","",IFERROR(INDEX('CLM &amp; IM Mapping'!$B$2:$B$270,MATCH(TRIM(A132),'CLM &amp; IM Mapping'!$A$2:$A$270,0)),"Not Mapped"))</f>
        <v>Narasimhamurthy R</v>
      </c>
      <c r="C132" s="38" t="str">
        <f aca="false" t="array" ref="C132:C132">IF(A132="","",IFERROR(INDEX('CLM &amp; IM Mapping'!$C$2:$C$270,MATCH(TRIM(A132),'CLM &amp; IM Mapping'!$A$2:$A$270,0)),"Not Mapped"))</f>
        <v>Kishor K</v>
      </c>
      <c r="D132" s="38" t="n">
        <v>21</v>
      </c>
      <c r="E132" s="38" t="n">
        <v>14</v>
      </c>
      <c r="F132" s="38" t="n">
        <v>8</v>
      </c>
      <c r="G132" s="38" t="n">
        <v>3</v>
      </c>
      <c r="H132" s="38" t="n">
        <v>10</v>
      </c>
      <c r="I132" s="38" t="n">
        <v>39</v>
      </c>
      <c r="J132" s="38" t="n">
        <v>95</v>
      </c>
      <c r="K132" s="38" t="n">
        <v>95</v>
      </c>
      <c r="L132" s="12"/>
      <c r="M132" s="12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customFormat="false" ht="15.75" hidden="false" customHeight="true" outlineLevel="0" collapsed="false">
      <c r="A133" s="38" t="s">
        <v>126</v>
      </c>
      <c r="B133" s="38" t="str">
        <f aca="false" t="array" ref="B133:B133">IF(A133="","",IFERROR(INDEX('CLM &amp; IM Mapping'!$B$2:$B$270,MATCH(TRIM(A133),'CLM &amp; IM Mapping'!$A$2:$A$270,0)),"Not Mapped"))</f>
        <v>Balaji G</v>
      </c>
      <c r="C133" s="38" t="str">
        <f aca="false" t="array" ref="C133:C133">IF(A133="","",IFERROR(INDEX('CLM &amp; IM Mapping'!$C$2:$C$270,MATCH(TRIM(A133),'CLM &amp; IM Mapping'!$A$2:$A$270,0)),"Not Mapped"))</f>
        <v>Mohammed Akbar</v>
      </c>
      <c r="D133" s="38" t="n">
        <v>0</v>
      </c>
      <c r="E133" s="38" t="n">
        <v>0</v>
      </c>
      <c r="F133" s="38" t="n">
        <v>0</v>
      </c>
      <c r="G133" s="38" t="n">
        <v>19</v>
      </c>
      <c r="H133" s="38" t="n">
        <v>13</v>
      </c>
      <c r="I133" s="38" t="n">
        <v>62</v>
      </c>
      <c r="J133" s="38" t="n">
        <v>94</v>
      </c>
      <c r="K133" s="38" t="n">
        <v>90</v>
      </c>
      <c r="L133" s="12"/>
      <c r="M133" s="12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customFormat="false" ht="15.75" hidden="false" customHeight="true" outlineLevel="0" collapsed="false">
      <c r="A134" s="38" t="s">
        <v>65</v>
      </c>
      <c r="B134" s="38" t="str">
        <f aca="false" t="array" ref="B134:B134">IF(A134="","",IFERROR(INDEX('CLM &amp; IM Mapping'!$B$2:$B$270,MATCH(TRIM(A134),'CLM &amp; IM Mapping'!$A$2:$A$270,0)),"Not Mapped"))</f>
        <v>Saddam Hussain</v>
      </c>
      <c r="C134" s="38" t="str">
        <f aca="false" t="array" ref="C134:C134">IF(A134="","",IFERROR(INDEX('CLM &amp; IM Mapping'!$C$2:$C$270,MATCH(TRIM(A134),'CLM &amp; IM Mapping'!$A$2:$A$270,0)),"Not Mapped"))</f>
        <v>Un Mapped</v>
      </c>
      <c r="D134" s="38" t="n">
        <v>5</v>
      </c>
      <c r="E134" s="38" t="n">
        <v>19</v>
      </c>
      <c r="F134" s="38" t="n">
        <v>47</v>
      </c>
      <c r="G134" s="38" t="n">
        <v>8</v>
      </c>
      <c r="H134" s="38" t="n">
        <v>14</v>
      </c>
      <c r="I134" s="38" t="n">
        <v>1</v>
      </c>
      <c r="J134" s="38" t="n">
        <v>94</v>
      </c>
      <c r="K134" s="38" t="n">
        <v>93</v>
      </c>
      <c r="L134" s="12"/>
      <c r="M134" s="12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customFormat="false" ht="15.75" hidden="false" customHeight="true" outlineLevel="0" collapsed="false">
      <c r="A135" s="38" t="s">
        <v>118</v>
      </c>
      <c r="B135" s="38" t="str">
        <f aca="false" t="array" ref="B135:B135">IF(A135="","",IFERROR(INDEX('CLM &amp; IM Mapping'!$B$2:$B$270,MATCH(TRIM(A135),'CLM &amp; IM Mapping'!$A$2:$A$270,0)),"Not Mapped"))</f>
        <v>Akshay P</v>
      </c>
      <c r="C135" s="38" t="str">
        <f aca="false" t="array" ref="C135:C135">IF(A135="","",IFERROR(INDEX('CLM &amp; IM Mapping'!$C$2:$C$270,MATCH(TRIM(A135),'CLM &amp; IM Mapping'!$A$2:$A$270,0)),"Not Mapped"))</f>
        <v>Srittam Dhal</v>
      </c>
      <c r="D135" s="38" t="n">
        <v>0</v>
      </c>
      <c r="E135" s="38" t="n">
        <v>7</v>
      </c>
      <c r="F135" s="38" t="n">
        <v>0</v>
      </c>
      <c r="G135" s="38" t="n">
        <v>22</v>
      </c>
      <c r="H135" s="38" t="n">
        <v>29</v>
      </c>
      <c r="I135" s="38" t="n">
        <v>35</v>
      </c>
      <c r="J135" s="38" t="n">
        <v>93</v>
      </c>
      <c r="K135" s="38" t="n">
        <v>93</v>
      </c>
      <c r="L135" s="12"/>
      <c r="M135" s="12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customFormat="false" ht="15.75" hidden="false" customHeight="true" outlineLevel="0" collapsed="false">
      <c r="A136" s="38" t="s">
        <v>296</v>
      </c>
      <c r="B136" s="38" t="str">
        <f aca="false" t="array" ref="B136:B136">IF(A136="","",IFERROR(INDEX('CLM &amp; IM Mapping'!$B$2:$B$270,MATCH(TRIM(A136),'CLM &amp; IM Mapping'!$A$2:$A$270,0)),"Not Mapped"))</f>
        <v>Sundaresh S</v>
      </c>
      <c r="C136" s="38" t="str">
        <f aca="false" t="array" ref="C136:C136">IF(A136="","",IFERROR(INDEX('CLM &amp; IM Mapping'!$C$2:$C$270,MATCH(TRIM(A136),'CLM &amp; IM Mapping'!$A$2:$A$270,0)),"Not Mapped"))</f>
        <v>Un Mapped</v>
      </c>
      <c r="D136" s="38" t="n">
        <v>48</v>
      </c>
      <c r="E136" s="38" t="n">
        <v>18</v>
      </c>
      <c r="F136" s="38" t="n">
        <v>0</v>
      </c>
      <c r="G136" s="38" t="n">
        <v>1</v>
      </c>
      <c r="H136" s="38" t="n">
        <v>0</v>
      </c>
      <c r="I136" s="38" t="n">
        <v>24</v>
      </c>
      <c r="J136" s="38" t="n">
        <v>91</v>
      </c>
      <c r="K136" s="38" t="n">
        <v>91</v>
      </c>
      <c r="L136" s="12"/>
      <c r="M136" s="12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customFormat="false" ht="15.75" hidden="false" customHeight="true" outlineLevel="0" collapsed="false">
      <c r="A137" s="38" t="s">
        <v>141</v>
      </c>
      <c r="B137" s="38" t="str">
        <f aca="false" t="array" ref="B137:B137">IF(A137="","",IFERROR(INDEX('CLM &amp; IM Mapping'!$B$2:$B$270,MATCH(TRIM(A137),'CLM &amp; IM Mapping'!$A$2:$A$270,0)),"Not Mapped"))</f>
        <v>Manoj Kj</v>
      </c>
      <c r="C137" s="38" t="str">
        <f aca="false" t="array" ref="C137:C137">IF(A137="","",IFERROR(INDEX('CLM &amp; IM Mapping'!$C$2:$C$270,MATCH(TRIM(A137),'CLM &amp; IM Mapping'!$A$2:$A$270,0)),"Not Mapped"))</f>
        <v>Srittam Dhal</v>
      </c>
      <c r="D137" s="38" t="n">
        <v>16</v>
      </c>
      <c r="E137" s="38" t="n">
        <v>4</v>
      </c>
      <c r="F137" s="38" t="n">
        <v>4</v>
      </c>
      <c r="G137" s="38" t="n">
        <v>21</v>
      </c>
      <c r="H137" s="38" t="n">
        <v>6</v>
      </c>
      <c r="I137" s="38" t="n">
        <v>39</v>
      </c>
      <c r="J137" s="38" t="n">
        <v>90</v>
      </c>
      <c r="K137" s="38" t="n">
        <v>90</v>
      </c>
      <c r="L137" s="12"/>
      <c r="M137" s="12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customFormat="false" ht="15.75" hidden="false" customHeight="true" outlineLevel="0" collapsed="false">
      <c r="A138" s="38" t="s">
        <v>267</v>
      </c>
      <c r="B138" s="38" t="str">
        <f aca="false" t="array" ref="B138:B138">IF(A138="","",IFERROR(INDEX('CLM &amp; IM Mapping'!$B$2:$B$270,MATCH(TRIM(A138),'CLM &amp; IM Mapping'!$A$2:$A$270,0)),"Not Mapped"))</f>
        <v>Raghavendra Vernekar</v>
      </c>
      <c r="C138" s="38" t="str">
        <f aca="false" t="array" ref="C138:C138">IF(A138="","",IFERROR(INDEX('CLM &amp; IM Mapping'!$C$2:$C$270,MATCH(TRIM(A138),'CLM &amp; IM Mapping'!$A$2:$A$270,0)),"Not Mapped"))</f>
        <v>Prakash BS</v>
      </c>
      <c r="D138" s="38" t="n">
        <v>3</v>
      </c>
      <c r="E138" s="38" t="n">
        <v>15</v>
      </c>
      <c r="F138" s="38" t="n">
        <v>0</v>
      </c>
      <c r="G138" s="38" t="n">
        <v>28</v>
      </c>
      <c r="H138" s="38" t="n">
        <v>14</v>
      </c>
      <c r="I138" s="38" t="n">
        <v>30</v>
      </c>
      <c r="J138" s="38" t="n">
        <v>90</v>
      </c>
      <c r="K138" s="38" t="n">
        <v>90</v>
      </c>
      <c r="L138" s="12"/>
      <c r="M138" s="12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customFormat="false" ht="15.75" hidden="false" customHeight="true" outlineLevel="0" collapsed="false">
      <c r="A139" s="38" t="s">
        <v>89</v>
      </c>
      <c r="B139" s="38" t="str">
        <f aca="false" t="array" ref="B139:B139">IF(A139="","",IFERROR(INDEX('CLM &amp; IM Mapping'!$B$2:$B$270,MATCH(TRIM(A139),'CLM &amp; IM Mapping'!$A$2:$A$270,0)),"Not Mapped"))</f>
        <v>Girish N</v>
      </c>
      <c r="C139" s="38" t="str">
        <f aca="false" t="array" ref="C139:C139">IF(A139="","",IFERROR(INDEX('CLM &amp; IM Mapping'!$C$2:$C$270,MATCH(TRIM(A139),'CLM &amp; IM Mapping'!$A$2:$A$270,0)),"Not Mapped"))</f>
        <v>Un Mapped</v>
      </c>
      <c r="D139" s="38" t="n">
        <v>0</v>
      </c>
      <c r="E139" s="38" t="n">
        <v>3</v>
      </c>
      <c r="F139" s="38" t="n">
        <v>0</v>
      </c>
      <c r="G139" s="38" t="n">
        <v>30</v>
      </c>
      <c r="H139" s="38" t="n">
        <v>1</v>
      </c>
      <c r="I139" s="38" t="n">
        <v>55</v>
      </c>
      <c r="J139" s="38" t="n">
        <v>89</v>
      </c>
      <c r="K139" s="38" t="n">
        <v>89</v>
      </c>
      <c r="L139" s="12"/>
      <c r="M139" s="12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customFormat="false" ht="15.75" hidden="false" customHeight="true" outlineLevel="0" collapsed="false">
      <c r="A140" s="38" t="s">
        <v>152</v>
      </c>
      <c r="B140" s="38" t="str">
        <f aca="false" t="array" ref="B140:B140">IF(A140="","",IFERROR(INDEX('CLM &amp; IM Mapping'!$B$2:$B$270,MATCH(TRIM(A140),'CLM &amp; IM Mapping'!$A$2:$A$270,0)),"Not Mapped"))</f>
        <v>Basil Scariya</v>
      </c>
      <c r="C140" s="38" t="str">
        <f aca="false" t="array" ref="C140:C140">IF(A140="","",IFERROR(INDEX('CLM &amp; IM Mapping'!$C$2:$C$270,MATCH(TRIM(A140),'CLM &amp; IM Mapping'!$A$2:$A$270,0)),"Not Mapped"))</f>
        <v>Prakash BS</v>
      </c>
      <c r="D140" s="38" t="n">
        <v>18</v>
      </c>
      <c r="E140" s="38" t="n">
        <v>5</v>
      </c>
      <c r="F140" s="38" t="n">
        <v>0</v>
      </c>
      <c r="G140" s="38" t="n">
        <v>26</v>
      </c>
      <c r="H140" s="38"/>
      <c r="I140" s="38" t="n">
        <v>38</v>
      </c>
      <c r="J140" s="38" t="n">
        <v>87</v>
      </c>
      <c r="K140" s="38" t="n">
        <v>80</v>
      </c>
      <c r="L140" s="12"/>
      <c r="M140" s="12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customFormat="false" ht="15.75" hidden="false" customHeight="true" outlineLevel="0" collapsed="false">
      <c r="A141" s="38" t="s">
        <v>160</v>
      </c>
      <c r="B141" s="38" t="str">
        <f aca="false" t="array" ref="B141:B141">IF(A141="","",IFERROR(INDEX('CLM &amp; IM Mapping'!$B$2:$B$270,MATCH(TRIM(A141),'CLM &amp; IM Mapping'!$A$2:$A$270,0)),"Not Mapped"))</f>
        <v>Suhas N</v>
      </c>
      <c r="C141" s="38" t="str">
        <f aca="false" t="array" ref="C141:C141">IF(A141="","",IFERROR(INDEX('CLM &amp; IM Mapping'!$C$2:$C$270,MATCH(TRIM(A141),'CLM &amp; IM Mapping'!$A$2:$A$270,0)),"Not Mapped"))</f>
        <v>Aravind S</v>
      </c>
      <c r="D141" s="38" t="n">
        <v>22</v>
      </c>
      <c r="E141" s="38" t="n">
        <v>25</v>
      </c>
      <c r="F141" s="38" t="n">
        <v>0</v>
      </c>
      <c r="G141" s="38" t="n">
        <v>29</v>
      </c>
      <c r="H141" s="38" t="n">
        <v>0</v>
      </c>
      <c r="I141" s="38" t="n">
        <v>10</v>
      </c>
      <c r="J141" s="38" t="n">
        <v>86</v>
      </c>
      <c r="K141" s="38" t="n">
        <v>64</v>
      </c>
      <c r="L141" s="12"/>
      <c r="M141" s="12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customFormat="false" ht="15.75" hidden="false" customHeight="true" outlineLevel="0" collapsed="false">
      <c r="A142" s="38" t="s">
        <v>155</v>
      </c>
      <c r="B142" s="38" t="str">
        <f aca="false" t="array" ref="B142:B142">IF(A142="","",IFERROR(INDEX('CLM &amp; IM Mapping'!$B$2:$B$270,MATCH(TRIM(A142),'CLM &amp; IM Mapping'!$A$2:$A$270,0)),"Not Mapped"))</f>
        <v>John Britto</v>
      </c>
      <c r="C142" s="38" t="str">
        <f aca="false" t="array" ref="C142:C142">IF(A142="","",IFERROR(INDEX('CLM &amp; IM Mapping'!$C$2:$C$270,MATCH(TRIM(A142),'CLM &amp; IM Mapping'!$A$2:$A$270,0)),"Not Mapped"))</f>
        <v>Aravind S</v>
      </c>
      <c r="D142" s="38" t="n">
        <v>0</v>
      </c>
      <c r="E142" s="38" t="n">
        <v>56</v>
      </c>
      <c r="F142" s="38" t="n">
        <v>0</v>
      </c>
      <c r="G142" s="38" t="n">
        <v>4</v>
      </c>
      <c r="H142" s="38" t="n">
        <v>24</v>
      </c>
      <c r="I142" s="38" t="n">
        <v>0</v>
      </c>
      <c r="J142" s="38" t="n">
        <v>84</v>
      </c>
      <c r="K142" s="38" t="n">
        <v>82</v>
      </c>
      <c r="L142" s="12"/>
      <c r="M142" s="12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customFormat="false" ht="15.75" hidden="false" customHeight="true" outlineLevel="0" collapsed="false">
      <c r="A143" s="38" t="s">
        <v>142</v>
      </c>
      <c r="B143" s="38" t="str">
        <f aca="false" t="array" ref="B143:B143">IF(A143="","",IFERROR(INDEX('CLM &amp; IM Mapping'!$B$2:$B$270,MATCH(TRIM(A143),'CLM &amp; IM Mapping'!$A$2:$A$270,0)),"Not Mapped"))</f>
        <v>Balaji G</v>
      </c>
      <c r="C143" s="38" t="str">
        <f aca="false" t="array" ref="C143:C143">IF(A143="","",IFERROR(INDEX('CLM &amp; IM Mapping'!$C$2:$C$270,MATCH(TRIM(A143),'CLM &amp; IM Mapping'!$A$2:$A$270,0)),"Not Mapped"))</f>
        <v>Mohammed Akbar</v>
      </c>
      <c r="D143" s="38" t="n">
        <v>0</v>
      </c>
      <c r="E143" s="38" t="n">
        <v>0</v>
      </c>
      <c r="F143" s="38" t="n">
        <v>0</v>
      </c>
      <c r="G143" s="38" t="n">
        <v>2</v>
      </c>
      <c r="H143" s="38" t="n">
        <v>30</v>
      </c>
      <c r="I143" s="38" t="n">
        <v>50</v>
      </c>
      <c r="J143" s="38" t="n">
        <v>82</v>
      </c>
      <c r="K143" s="38" t="n">
        <v>82</v>
      </c>
      <c r="L143" s="12"/>
      <c r="M143" s="12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customFormat="false" ht="15.75" hidden="false" customHeight="true" outlineLevel="0" collapsed="false">
      <c r="A144" s="38" t="s">
        <v>132</v>
      </c>
      <c r="B144" s="38" t="str">
        <f aca="false" t="array" ref="B144:B144">IF(A144="","",IFERROR(INDEX('CLM &amp; IM Mapping'!$B$2:$B$270,MATCH(TRIM(A144),'CLM &amp; IM Mapping'!$A$2:$A$270,0)),"Not Mapped"))</f>
        <v>Rizwan Ahmed</v>
      </c>
      <c r="C144" s="38" t="str">
        <f aca="false" t="array" ref="C144:C144">IF(A144="","",IFERROR(INDEX('CLM &amp; IM Mapping'!$C$2:$C$270,MATCH(TRIM(A144),'CLM &amp; IM Mapping'!$A$2:$A$270,0)),"Not Mapped"))</f>
        <v>Un Mapped</v>
      </c>
      <c r="D144" s="38" t="n">
        <v>15</v>
      </c>
      <c r="E144" s="38" t="n">
        <v>35</v>
      </c>
      <c r="F144" s="38" t="n">
        <v>19</v>
      </c>
      <c r="G144" s="38" t="n">
        <v>13</v>
      </c>
      <c r="H144" s="38" t="n">
        <v>0</v>
      </c>
      <c r="I144" s="38" t="n">
        <v>0</v>
      </c>
      <c r="J144" s="38" t="n">
        <v>82</v>
      </c>
      <c r="K144" s="38" t="n">
        <v>55</v>
      </c>
      <c r="L144" s="12"/>
      <c r="M144" s="12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customFormat="false" ht="15.75" hidden="false" customHeight="true" outlineLevel="0" collapsed="false">
      <c r="A145" s="38" t="s">
        <v>258</v>
      </c>
      <c r="B145" s="38" t="str">
        <f aca="false" t="array" ref="B145:B145">IF(A145="","",IFERROR(INDEX('CLM &amp; IM Mapping'!$B$2:$B$270,MATCH(TRIM(A145),'CLM &amp; IM Mapping'!$A$2:$A$270,0)),"Not Mapped"))</f>
        <v>Bangareppa CS</v>
      </c>
      <c r="C145" s="38" t="str">
        <f aca="false" t="array" ref="C145:C145">IF(A145="","",IFERROR(INDEX('CLM &amp; IM Mapping'!$C$2:$C$270,MATCH(TRIM(A145),'CLM &amp; IM Mapping'!$A$2:$A$270,0)),"Not Mapped"))</f>
        <v>Kishor K</v>
      </c>
      <c r="D145" s="38" t="n">
        <v>0</v>
      </c>
      <c r="E145" s="38" t="n">
        <v>14</v>
      </c>
      <c r="F145" s="38" t="n">
        <v>14</v>
      </c>
      <c r="G145" s="38" t="n">
        <v>10</v>
      </c>
      <c r="H145" s="38" t="n">
        <v>12</v>
      </c>
      <c r="I145" s="38" t="n">
        <v>31</v>
      </c>
      <c r="J145" s="38" t="n">
        <v>81</v>
      </c>
      <c r="K145" s="38" t="n">
        <v>80</v>
      </c>
      <c r="L145" s="12"/>
      <c r="M145" s="12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customFormat="false" ht="15.75" hidden="false" customHeight="true" outlineLevel="0" collapsed="false">
      <c r="A146" s="38" t="s">
        <v>39</v>
      </c>
      <c r="B146" s="38" t="str">
        <f aca="false" t="array" ref="B146:B146">IF(A146="","",IFERROR(INDEX('CLM &amp; IM Mapping'!$B$2:$B$270,MATCH(TRIM(A146),'CLM &amp; IM Mapping'!$A$2:$A$270,0)),"Not Mapped"))</f>
        <v>Girish N</v>
      </c>
      <c r="C146" s="38" t="str">
        <f aca="false" t="array" ref="C146:C146">IF(A146="","",IFERROR(INDEX('CLM &amp; IM Mapping'!$C$2:$C$270,MATCH(TRIM(A146),'CLM &amp; IM Mapping'!$A$2:$A$270,0)),"Not Mapped"))</f>
        <v>Un Mapped</v>
      </c>
      <c r="D146" s="38" t="n">
        <v>0</v>
      </c>
      <c r="E146" s="38" t="n">
        <v>7</v>
      </c>
      <c r="F146" s="38" t="n">
        <v>9</v>
      </c>
      <c r="G146" s="38" t="n">
        <v>50</v>
      </c>
      <c r="H146" s="38" t="n">
        <v>0</v>
      </c>
      <c r="I146" s="38" t="n">
        <v>14</v>
      </c>
      <c r="J146" s="38" t="n">
        <v>80</v>
      </c>
      <c r="K146" s="38" t="n">
        <v>80</v>
      </c>
      <c r="L146" s="12"/>
      <c r="M146" s="12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customFormat="false" ht="15.75" hidden="false" customHeight="true" outlineLevel="0" collapsed="false">
      <c r="A147" s="38" t="s">
        <v>213</v>
      </c>
      <c r="B147" s="38" t="str">
        <f aca="false" t="array" ref="B147:B147">IF(A147="","",IFERROR(INDEX('CLM &amp; IM Mapping'!$B$2:$B$270,MATCH(TRIM(A147),'CLM &amp; IM Mapping'!$A$2:$A$270,0)),"Not Mapped"))</f>
        <v>Rizwan Ahmed</v>
      </c>
      <c r="C147" s="38" t="str">
        <f aca="false" t="array" ref="C147:C147">IF(A147="","",IFERROR(INDEX('CLM &amp; IM Mapping'!$C$2:$C$270,MATCH(TRIM(A147),'CLM &amp; IM Mapping'!$A$2:$A$270,0)),"Not Mapped"))</f>
        <v>Un Mapped</v>
      </c>
      <c r="D147" s="38" t="n">
        <v>1</v>
      </c>
      <c r="E147" s="38" t="n">
        <v>3</v>
      </c>
      <c r="F147" s="38" t="n">
        <v>0</v>
      </c>
      <c r="G147" s="38" t="n">
        <v>9</v>
      </c>
      <c r="H147" s="38" t="n">
        <v>19</v>
      </c>
      <c r="I147" s="38" t="n">
        <v>48</v>
      </c>
      <c r="J147" s="38" t="n">
        <v>80</v>
      </c>
      <c r="K147" s="38" t="n">
        <v>79</v>
      </c>
      <c r="L147" s="12"/>
      <c r="M147" s="12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customFormat="false" ht="15.75" hidden="false" customHeight="true" outlineLevel="0" collapsed="false">
      <c r="A148" s="38" t="s">
        <v>151</v>
      </c>
      <c r="B148" s="38" t="str">
        <f aca="false" t="array" ref="B148:B148">IF(A148="","",IFERROR(INDEX('CLM &amp; IM Mapping'!$B$2:$B$270,MATCH(TRIM(A148),'CLM &amp; IM Mapping'!$A$2:$A$270,0)),"Not Mapped"))</f>
        <v>Manoj Kj</v>
      </c>
      <c r="C148" s="38" t="str">
        <f aca="false" t="array" ref="C148:C148">IF(A148="","",IFERROR(INDEX('CLM &amp; IM Mapping'!$C$2:$C$270,MATCH(TRIM(A148),'CLM &amp; IM Mapping'!$A$2:$A$270,0)),"Not Mapped"))</f>
        <v>Srittam Dhal</v>
      </c>
      <c r="D148" s="38" t="n">
        <v>0</v>
      </c>
      <c r="E148" s="38" t="n">
        <v>1</v>
      </c>
      <c r="F148" s="38" t="n">
        <v>0</v>
      </c>
      <c r="G148" s="38" t="n">
        <v>8</v>
      </c>
      <c r="H148" s="38" t="n">
        <v>17</v>
      </c>
      <c r="I148" s="38" t="n">
        <v>53</v>
      </c>
      <c r="J148" s="38" t="n">
        <v>79</v>
      </c>
      <c r="K148" s="38" t="n">
        <v>79</v>
      </c>
      <c r="L148" s="12"/>
      <c r="M148" s="12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customFormat="false" ht="15.75" hidden="false" customHeight="true" outlineLevel="0" collapsed="false">
      <c r="A149" s="38" t="s">
        <v>107</v>
      </c>
      <c r="B149" s="38" t="str">
        <f aca="false" t="array" ref="B149:B149">IF(A149="","",IFERROR(INDEX('CLM &amp; IM Mapping'!$B$2:$B$270,MATCH(TRIM(A149),'CLM &amp; IM Mapping'!$A$2:$A$270,0)),"Not Mapped"))</f>
        <v>Manoj Kj</v>
      </c>
      <c r="C149" s="38" t="str">
        <f aca="false" t="array" ref="C149:C149">IF(A149="","",IFERROR(INDEX('CLM &amp; IM Mapping'!$C$2:$C$270,MATCH(TRIM(A149),'CLM &amp; IM Mapping'!$A$2:$A$270,0)),"Not Mapped"))</f>
        <v>Srittam Dhal</v>
      </c>
      <c r="D149" s="38" t="n">
        <v>0</v>
      </c>
      <c r="E149" s="38" t="n">
        <v>1</v>
      </c>
      <c r="F149" s="38" t="n">
        <v>0</v>
      </c>
      <c r="G149" s="38" t="n">
        <v>24</v>
      </c>
      <c r="H149" s="38" t="n">
        <v>54</v>
      </c>
      <c r="I149" s="38" t="n">
        <v>0</v>
      </c>
      <c r="J149" s="38" t="n">
        <v>79</v>
      </c>
      <c r="K149" s="38"/>
      <c r="L149" s="12"/>
      <c r="M149" s="12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customFormat="false" ht="15.75" hidden="false" customHeight="true" outlineLevel="0" collapsed="false">
      <c r="A150" s="38" t="s">
        <v>256</v>
      </c>
      <c r="B150" s="38" t="str">
        <f aca="false" t="array" ref="B150:B150">IF(A150="","",IFERROR(INDEX('CLM &amp; IM Mapping'!$B$2:$B$270,MATCH(TRIM(A150),'CLM &amp; IM Mapping'!$A$2:$A$270,0)),"Not Mapped"))</f>
        <v>Suhas N</v>
      </c>
      <c r="C150" s="38" t="str">
        <f aca="false" t="array" ref="C150:C150">IF(A150="","",IFERROR(INDEX('CLM &amp; IM Mapping'!$C$2:$C$270,MATCH(TRIM(A150),'CLM &amp; IM Mapping'!$A$2:$A$270,0)),"Not Mapped"))</f>
        <v>Aravind S</v>
      </c>
      <c r="D150" s="38" t="n">
        <v>6</v>
      </c>
      <c r="E150" s="38" t="n">
        <v>52</v>
      </c>
      <c r="F150" s="38" t="n">
        <v>13</v>
      </c>
      <c r="G150" s="38" t="n">
        <v>1</v>
      </c>
      <c r="H150" s="38" t="n">
        <v>0</v>
      </c>
      <c r="I150" s="38" t="n">
        <v>7</v>
      </c>
      <c r="J150" s="38" t="n">
        <v>79</v>
      </c>
      <c r="K150" s="38" t="n">
        <v>78</v>
      </c>
      <c r="L150" s="12"/>
      <c r="M150" s="12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customFormat="false" ht="15.75" hidden="false" customHeight="true" outlineLevel="0" collapsed="false">
      <c r="A151" s="38" t="s">
        <v>59</v>
      </c>
      <c r="B151" s="38" t="str">
        <f aca="false" t="array" ref="B151:B151">IF(A151="","",IFERROR(INDEX('CLM &amp; IM Mapping'!$B$2:$B$270,MATCH(TRIM(A151),'CLM &amp; IM Mapping'!$A$2:$A$270,0)),"Not Mapped"))</f>
        <v>Adhavan Subramani</v>
      </c>
      <c r="C151" s="38" t="str">
        <f aca="false" t="array" ref="C151:C151">IF(A151="","",IFERROR(INDEX('CLM &amp; IM Mapping'!$C$2:$C$270,MATCH(TRIM(A151),'CLM &amp; IM Mapping'!$A$2:$A$270,0)),"Not Mapped"))</f>
        <v>Mohammed Akbar</v>
      </c>
      <c r="D151" s="38" t="n">
        <v>28</v>
      </c>
      <c r="E151" s="38" t="n">
        <v>14</v>
      </c>
      <c r="F151" s="38" t="n">
        <v>0</v>
      </c>
      <c r="G151" s="38" t="n">
        <v>9</v>
      </c>
      <c r="H151" s="38" t="n">
        <v>22</v>
      </c>
      <c r="I151" s="38" t="n">
        <v>4</v>
      </c>
      <c r="J151" s="38" t="n">
        <v>77</v>
      </c>
      <c r="K151" s="38" t="n">
        <v>77</v>
      </c>
      <c r="L151" s="12"/>
      <c r="M151" s="12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customFormat="false" ht="15.75" hidden="false" customHeight="true" outlineLevel="0" collapsed="false">
      <c r="A152" s="38" t="s">
        <v>137</v>
      </c>
      <c r="B152" s="38" t="str">
        <f aca="false" t="array" ref="B152:B152">IF(A152="","",IFERROR(INDEX('CLM &amp; IM Mapping'!$B$2:$B$270,MATCH(TRIM(A152),'CLM &amp; IM Mapping'!$A$2:$A$270,0)),"Not Mapped"))</f>
        <v>Akshay P</v>
      </c>
      <c r="C152" s="38" t="str">
        <f aca="false" t="array" ref="C152:C152">IF(A152="","",IFERROR(INDEX('CLM &amp; IM Mapping'!$C$2:$C$270,MATCH(TRIM(A152),'CLM &amp; IM Mapping'!$A$2:$A$270,0)),"Not Mapped"))</f>
        <v>Srittam Dhal</v>
      </c>
      <c r="D152" s="38" t="n">
        <v>4</v>
      </c>
      <c r="E152" s="38" t="n">
        <v>53</v>
      </c>
      <c r="F152" s="38" t="n">
        <v>1</v>
      </c>
      <c r="G152" s="38" t="n">
        <v>8</v>
      </c>
      <c r="H152" s="38" t="n">
        <v>6</v>
      </c>
      <c r="I152" s="38" t="n">
        <v>4</v>
      </c>
      <c r="J152" s="38" t="n">
        <v>76</v>
      </c>
      <c r="K152" s="38" t="n">
        <v>65</v>
      </c>
      <c r="L152" s="12"/>
      <c r="M152" s="12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customFormat="false" ht="15.75" hidden="false" customHeight="true" outlineLevel="0" collapsed="false">
      <c r="A153" s="38" t="s">
        <v>294</v>
      </c>
      <c r="B153" s="38" t="str">
        <f aca="false" t="array" ref="B153:B153">IF(A153="","",IFERROR(INDEX('CLM &amp; IM Mapping'!$B$2:$B$270,MATCH(TRIM(A153),'CLM &amp; IM Mapping'!$A$2:$A$270,0)),"Not Mapped"))</f>
        <v>Balaji G</v>
      </c>
      <c r="C153" s="38" t="str">
        <f aca="false" t="array" ref="C153:C153">IF(A153="","",IFERROR(INDEX('CLM &amp; IM Mapping'!$C$2:$C$270,MATCH(TRIM(A153),'CLM &amp; IM Mapping'!$A$2:$A$270,0)),"Not Mapped"))</f>
        <v>Mohammed Akbar</v>
      </c>
      <c r="D153" s="38" t="n">
        <v>13</v>
      </c>
      <c r="E153" s="38" t="n">
        <v>19</v>
      </c>
      <c r="F153" s="38" t="n">
        <v>1</v>
      </c>
      <c r="G153" s="38" t="n">
        <v>9</v>
      </c>
      <c r="H153" s="38" t="n">
        <v>30</v>
      </c>
      <c r="I153" s="38" t="n">
        <v>3</v>
      </c>
      <c r="J153" s="38" t="n">
        <v>75</v>
      </c>
      <c r="K153" s="38" t="n">
        <v>74</v>
      </c>
      <c r="L153" s="12"/>
      <c r="M153" s="12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customFormat="false" ht="15.75" hidden="false" customHeight="true" outlineLevel="0" collapsed="false">
      <c r="A154" s="38" t="s">
        <v>144</v>
      </c>
      <c r="B154" s="38" t="str">
        <f aca="false" t="array" ref="B154:B154">IF(A154="","",IFERROR(INDEX('CLM &amp; IM Mapping'!$B$2:$B$270,MATCH(TRIM(A154),'CLM &amp; IM Mapping'!$A$2:$A$270,0)),"Not Mapped"))</f>
        <v>Bangareppa CS</v>
      </c>
      <c r="C154" s="38" t="str">
        <f aca="false" t="array" ref="C154:C154">IF(A154="","",IFERROR(INDEX('CLM &amp; IM Mapping'!$C$2:$C$270,MATCH(TRIM(A154),'CLM &amp; IM Mapping'!$A$2:$A$270,0)),"Not Mapped"))</f>
        <v>Kishor K</v>
      </c>
      <c r="D154" s="38" t="n">
        <v>9</v>
      </c>
      <c r="E154" s="38" t="n">
        <v>37</v>
      </c>
      <c r="F154" s="38" t="n">
        <v>26</v>
      </c>
      <c r="G154" s="38" t="n">
        <v>3</v>
      </c>
      <c r="H154" s="38" t="n">
        <v>0</v>
      </c>
      <c r="I154" s="38" t="n">
        <v>0</v>
      </c>
      <c r="J154" s="38" t="n">
        <v>75</v>
      </c>
      <c r="K154" s="38" t="n">
        <v>54</v>
      </c>
      <c r="L154" s="12"/>
      <c r="M154" s="12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customFormat="false" ht="15.75" hidden="false" customHeight="true" outlineLevel="0" collapsed="false">
      <c r="A155" s="38" t="s">
        <v>179</v>
      </c>
      <c r="B155" s="38" t="str">
        <f aca="false" t="array" ref="B155:B155">IF(A155="","",IFERROR(INDEX('CLM &amp; IM Mapping'!$B$2:$B$270,MATCH(TRIM(A155),'CLM &amp; IM Mapping'!$A$2:$A$270,0)),"Not Mapped"))</f>
        <v>Santhosha M</v>
      </c>
      <c r="C155" s="38" t="str">
        <f aca="false" t="array" ref="C155:C155">IF(A155="","",IFERROR(INDEX('CLM &amp; IM Mapping'!$C$2:$C$270,MATCH(TRIM(A155),'CLM &amp; IM Mapping'!$A$2:$A$270,0)),"Not Mapped"))</f>
        <v>Aravind S</v>
      </c>
      <c r="D155" s="38" t="n">
        <v>12</v>
      </c>
      <c r="E155" s="38" t="n">
        <v>28</v>
      </c>
      <c r="F155" s="38" t="n">
        <v>29</v>
      </c>
      <c r="G155" s="38" t="n">
        <v>1</v>
      </c>
      <c r="H155" s="38" t="n">
        <v>3</v>
      </c>
      <c r="I155" s="38" t="n">
        <v>1</v>
      </c>
      <c r="J155" s="38" t="n">
        <v>74</v>
      </c>
      <c r="K155" s="38" t="n">
        <v>68</v>
      </c>
      <c r="L155" s="12"/>
      <c r="M155" s="12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customFormat="false" ht="15.75" hidden="false" customHeight="true" outlineLevel="0" collapsed="false">
      <c r="A156" s="38" t="s">
        <v>124</v>
      </c>
      <c r="B156" s="38" t="str">
        <f aca="false" t="array" ref="B156:B156">IF(A156="","",IFERROR(INDEX('CLM &amp; IM Mapping'!$B$2:$B$270,MATCH(TRIM(A156),'CLM &amp; IM Mapping'!$A$2:$A$270,0)),"Not Mapped"))</f>
        <v>Majid Kakatikar</v>
      </c>
      <c r="C156" s="38" t="str">
        <f aca="false" t="array" ref="C156:C156">IF(A156="","",IFERROR(INDEX('CLM &amp; IM Mapping'!$C$2:$C$270,MATCH(TRIM(A156),'CLM &amp; IM Mapping'!$A$2:$A$270,0)),"Not Mapped"))</f>
        <v>Kishor K</v>
      </c>
      <c r="D156" s="38" t="n">
        <v>6</v>
      </c>
      <c r="E156" s="38" t="n">
        <v>40</v>
      </c>
      <c r="F156" s="38" t="n">
        <v>15</v>
      </c>
      <c r="G156" s="38" t="n">
        <v>4</v>
      </c>
      <c r="H156" s="38" t="n">
        <v>9</v>
      </c>
      <c r="I156" s="38" t="n">
        <v>0</v>
      </c>
      <c r="J156" s="38" t="n">
        <v>74</v>
      </c>
      <c r="K156" s="38" t="n">
        <v>71</v>
      </c>
      <c r="L156" s="12"/>
      <c r="M156" s="12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customFormat="false" ht="15.75" hidden="false" customHeight="true" outlineLevel="0" collapsed="false">
      <c r="A157" s="38" t="s">
        <v>129</v>
      </c>
      <c r="B157" s="38" t="str">
        <f aca="false" t="array" ref="B157:B157">IF(A157="","",IFERROR(INDEX('CLM &amp; IM Mapping'!$B$2:$B$270,MATCH(TRIM(A157),'CLM &amp; IM Mapping'!$A$2:$A$270,0)),"Not Mapped"))</f>
        <v>Vishnu V</v>
      </c>
      <c r="C157" s="38" t="str">
        <f aca="false" t="array" ref="C157:C157">IF(A157="","",IFERROR(INDEX('CLM &amp; IM Mapping'!$C$2:$C$270,MATCH(TRIM(A157),'CLM &amp; IM Mapping'!$A$2:$A$270,0)),"Not Mapped"))</f>
        <v>Arivind S</v>
      </c>
      <c r="D157" s="38" t="n">
        <v>0</v>
      </c>
      <c r="E157" s="38" t="n">
        <v>26</v>
      </c>
      <c r="F157" s="38" t="n">
        <v>1</v>
      </c>
      <c r="G157" s="38" t="n">
        <v>24</v>
      </c>
      <c r="H157" s="38" t="n">
        <v>6</v>
      </c>
      <c r="I157" s="38" t="n">
        <v>16</v>
      </c>
      <c r="J157" s="38" t="n">
        <v>73</v>
      </c>
      <c r="K157" s="38" t="n">
        <v>73</v>
      </c>
      <c r="L157" s="12"/>
      <c r="M157" s="12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customFormat="false" ht="15.75" hidden="false" customHeight="true" outlineLevel="0" collapsed="false">
      <c r="A158" s="38" t="s">
        <v>79</v>
      </c>
      <c r="B158" s="38" t="str">
        <f aca="false" t="array" ref="B158:B158">IF(A158="","",IFERROR(INDEX('CLM &amp; IM Mapping'!$B$2:$B$270,MATCH(TRIM(A158),'CLM &amp; IM Mapping'!$A$2:$A$270,0)),"Not Mapped"))</f>
        <v>Ashwath S</v>
      </c>
      <c r="C158" s="38" t="str">
        <f aca="false" t="array" ref="C158:C158">IF(A158="","",IFERROR(INDEX('CLM &amp; IM Mapping'!$C$2:$C$270,MATCH(TRIM(A158),'CLM &amp; IM Mapping'!$A$2:$A$270,0)),"Not Mapped"))</f>
        <v>Kantha Kumar</v>
      </c>
      <c r="D158" s="38" t="n">
        <v>8</v>
      </c>
      <c r="E158" s="38" t="n">
        <v>20</v>
      </c>
      <c r="F158" s="38" t="n">
        <v>0</v>
      </c>
      <c r="G158" s="38" t="n">
        <v>14</v>
      </c>
      <c r="H158" s="38" t="n">
        <v>21</v>
      </c>
      <c r="I158" s="38" t="n">
        <v>10</v>
      </c>
      <c r="J158" s="38" t="n">
        <v>73</v>
      </c>
      <c r="K158" s="38" t="n">
        <v>73</v>
      </c>
      <c r="L158" s="12"/>
      <c r="M158" s="12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customFormat="false" ht="15.75" hidden="false" customHeight="true" outlineLevel="0" collapsed="false">
      <c r="A159" s="38" t="s">
        <v>241</v>
      </c>
      <c r="B159" s="38" t="str">
        <f aca="false" t="array" ref="B159:B159">IF(A159="","",IFERROR(INDEX('CLM &amp; IM Mapping'!$B$2:$B$270,MATCH(TRIM(A159),'CLM &amp; IM Mapping'!$A$2:$A$270,0)),"Not Mapped"))</f>
        <v>Sundaresh S</v>
      </c>
      <c r="C159" s="38" t="str">
        <f aca="false" t="array" ref="C159:C159">IF(A159="","",IFERROR(INDEX('CLM &amp; IM Mapping'!$C$2:$C$270,MATCH(TRIM(A159),'CLM &amp; IM Mapping'!$A$2:$A$270,0)),"Not Mapped"))</f>
        <v>Un Mapped</v>
      </c>
      <c r="D159" s="38" t="n">
        <v>0</v>
      </c>
      <c r="E159" s="38" t="n">
        <v>48</v>
      </c>
      <c r="F159" s="38" t="n">
        <v>1</v>
      </c>
      <c r="G159" s="38" t="n">
        <v>9</v>
      </c>
      <c r="H159" s="38" t="n">
        <v>12</v>
      </c>
      <c r="I159" s="38" t="n">
        <v>3</v>
      </c>
      <c r="J159" s="38" t="n">
        <v>73</v>
      </c>
      <c r="K159" s="38" t="n">
        <v>66</v>
      </c>
      <c r="L159" s="12"/>
      <c r="M159" s="12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customFormat="false" ht="15.75" hidden="false" customHeight="true" outlineLevel="0" collapsed="false">
      <c r="A160" s="38" t="s">
        <v>190</v>
      </c>
      <c r="B160" s="38" t="str">
        <f aca="false" t="array" ref="B160:B160">IF(A160="","",IFERROR(INDEX('CLM &amp; IM Mapping'!$B$2:$B$270,MATCH(TRIM(A160),'CLM &amp; IM Mapping'!$A$2:$A$270,0)),"Not Mapped"))</f>
        <v>Sundaresh S</v>
      </c>
      <c r="C160" s="38" t="str">
        <f aca="false" t="array" ref="C160:C160">IF(A160="","",IFERROR(INDEX('CLM &amp; IM Mapping'!$C$2:$C$270,MATCH(TRIM(A160),'CLM &amp; IM Mapping'!$A$2:$A$270,0)),"Not Mapped"))</f>
        <v>Un Mapped</v>
      </c>
      <c r="D160" s="38" t="n">
        <v>3</v>
      </c>
      <c r="E160" s="38" t="n">
        <v>37</v>
      </c>
      <c r="F160" s="38" t="n">
        <v>0</v>
      </c>
      <c r="G160" s="38" t="n">
        <v>5</v>
      </c>
      <c r="H160" s="38" t="n">
        <v>8</v>
      </c>
      <c r="I160" s="38" t="n">
        <v>20</v>
      </c>
      <c r="J160" s="38" t="n">
        <v>73</v>
      </c>
      <c r="K160" s="38" t="n">
        <v>72</v>
      </c>
      <c r="L160" s="12"/>
      <c r="M160" s="12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customFormat="false" ht="15.75" hidden="false" customHeight="true" outlineLevel="0" collapsed="false">
      <c r="A161" s="38" t="s">
        <v>277</v>
      </c>
      <c r="B161" s="38" t="str">
        <f aca="false" t="array" ref="B161:B161">IF(A161="","",IFERROR(INDEX('CLM &amp; IM Mapping'!$B$2:$B$270,MATCH(TRIM(A161),'CLM &amp; IM Mapping'!$A$2:$A$270,0)),"Not Mapped"))</f>
        <v>Adhavan Subramani</v>
      </c>
      <c r="C161" s="38" t="str">
        <f aca="false" t="array" ref="C161:C161">IF(A161="","",IFERROR(INDEX('CLM &amp; IM Mapping'!$C$2:$C$270,MATCH(TRIM(A161),'CLM &amp; IM Mapping'!$A$2:$A$270,0)),"Not Mapped"))</f>
        <v>Mohammed Akbar</v>
      </c>
      <c r="D161" s="38" t="n">
        <v>0</v>
      </c>
      <c r="E161" s="38" t="n">
        <v>6</v>
      </c>
      <c r="F161" s="38" t="n">
        <v>0</v>
      </c>
      <c r="G161" s="38" t="n">
        <v>0</v>
      </c>
      <c r="H161" s="38" t="n">
        <v>3</v>
      </c>
      <c r="I161" s="38" t="n">
        <v>63</v>
      </c>
      <c r="J161" s="38" t="n">
        <v>72</v>
      </c>
      <c r="K161" s="38" t="n">
        <v>67</v>
      </c>
      <c r="L161" s="12"/>
      <c r="M161" s="12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customFormat="false" ht="15.75" hidden="false" customHeight="true" outlineLevel="0" collapsed="false">
      <c r="A162" s="38" t="s">
        <v>243</v>
      </c>
      <c r="B162" s="38" t="str">
        <f aca="false" t="array" ref="B162:B162">IF(A162="","",IFERROR(INDEX('CLM &amp; IM Mapping'!$B$2:$B$270,MATCH(TRIM(A162),'CLM &amp; IM Mapping'!$A$2:$A$270,0)),"Not Mapped"))</f>
        <v>Manjunatha V</v>
      </c>
      <c r="C162" s="38" t="str">
        <f aca="false" t="array" ref="C162:C162">IF(A162="","",IFERROR(INDEX('CLM &amp; IM Mapping'!$C$2:$C$270,MATCH(TRIM(A162),'CLM &amp; IM Mapping'!$A$2:$A$270,0)),"Not Mapped"))</f>
        <v>Un Mapped</v>
      </c>
      <c r="D162" s="38" t="n">
        <v>17</v>
      </c>
      <c r="E162" s="38" t="n">
        <v>8</v>
      </c>
      <c r="F162" s="38" t="n">
        <v>5</v>
      </c>
      <c r="G162" s="38" t="n">
        <v>7</v>
      </c>
      <c r="H162" s="38" t="n">
        <v>0</v>
      </c>
      <c r="I162" s="38" t="n">
        <v>33</v>
      </c>
      <c r="J162" s="38" t="n">
        <v>70</v>
      </c>
      <c r="K162" s="38" t="n">
        <v>66</v>
      </c>
      <c r="L162" s="12"/>
      <c r="M162" s="12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customFormat="false" ht="15.75" hidden="false" customHeight="true" outlineLevel="0" collapsed="false">
      <c r="A163" s="38" t="s">
        <v>255</v>
      </c>
      <c r="B163" s="38" t="str">
        <f aca="false" t="array" ref="B163:B163">IF(A163="","",IFERROR(INDEX('CLM &amp; IM Mapping'!$B$2:$B$270,MATCH(TRIM(A163),'CLM &amp; IM Mapping'!$A$2:$A$270,0)),"Not Mapped"))</f>
        <v>Vishnu V</v>
      </c>
      <c r="C163" s="38" t="str">
        <f aca="false" t="array" ref="C163:C163">IF(A163="","",IFERROR(INDEX('CLM &amp; IM Mapping'!$C$2:$C$270,MATCH(TRIM(A163),'CLM &amp; IM Mapping'!$A$2:$A$270,0)),"Not Mapped"))</f>
        <v>Arivind S</v>
      </c>
      <c r="D163" s="38" t="n">
        <v>8</v>
      </c>
      <c r="E163" s="38" t="n">
        <v>51</v>
      </c>
      <c r="F163" s="38" t="n">
        <v>9</v>
      </c>
      <c r="G163" s="38" t="n">
        <v>0</v>
      </c>
      <c r="H163" s="38" t="n">
        <v>1</v>
      </c>
      <c r="I163" s="38" t="n">
        <v>0</v>
      </c>
      <c r="J163" s="38" t="n">
        <v>69</v>
      </c>
      <c r="K163" s="38" t="n">
        <v>42</v>
      </c>
      <c r="L163" s="12"/>
      <c r="M163" s="12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customFormat="false" ht="15.75" hidden="false" customHeight="true" outlineLevel="0" collapsed="false">
      <c r="A164" s="38" t="s">
        <v>300</v>
      </c>
      <c r="B164" s="38" t="str">
        <f aca="false" t="array" ref="B164:B164">IF(A164="","",IFERROR(INDEX('CLM &amp; IM Mapping'!$B$2:$B$270,MATCH(TRIM(A164),'CLM &amp; IM Mapping'!$A$2:$A$270,0)),"Not Mapped"))</f>
        <v>Arun Raj</v>
      </c>
      <c r="C164" s="38" t="str">
        <f aca="false" t="array" ref="C164:C164">IF(A164="","",IFERROR(INDEX('CLM &amp; IM Mapping'!$C$2:$C$270,MATCH(TRIM(A164),'CLM &amp; IM Mapping'!$A$2:$A$270,0)),"Not Mapped"))</f>
        <v>Simon Manoharan</v>
      </c>
      <c r="D164" s="38" t="n">
        <v>0</v>
      </c>
      <c r="E164" s="38" t="n">
        <v>0</v>
      </c>
      <c r="F164" s="38"/>
      <c r="G164" s="38" t="n">
        <v>58</v>
      </c>
      <c r="H164" s="38" t="n">
        <v>11</v>
      </c>
      <c r="I164" s="38"/>
      <c r="J164" s="38" t="n">
        <v>69</v>
      </c>
      <c r="K164" s="38" t="n">
        <v>0</v>
      </c>
      <c r="L164" s="12"/>
      <c r="M164" s="12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customFormat="false" ht="15.75" hidden="false" customHeight="true" outlineLevel="0" collapsed="false">
      <c r="A165" s="38" t="s">
        <v>44</v>
      </c>
      <c r="B165" s="38" t="str">
        <f aca="false" t="array" ref="B165:B165">IF(A165="","",IFERROR(INDEX('CLM &amp; IM Mapping'!$B$2:$B$270,MATCH(TRIM(A165),'CLM &amp; IM Mapping'!$A$2:$A$270,0)),"Not Mapped"))</f>
        <v>Silambarasan E</v>
      </c>
      <c r="C165" s="38" t="str">
        <f aca="false" t="array" ref="C165:C165">IF(A165="","",IFERROR(INDEX('CLM &amp; IM Mapping'!$C$2:$C$270,MATCH(TRIM(A165),'CLM &amp; IM Mapping'!$A$2:$A$270,0)),"Not Mapped"))</f>
        <v>Arivind S</v>
      </c>
      <c r="D165" s="38" t="n">
        <v>0</v>
      </c>
      <c r="E165" s="38" t="n">
        <v>35</v>
      </c>
      <c r="F165" s="38" t="n">
        <v>0</v>
      </c>
      <c r="G165" s="38" t="n">
        <v>21</v>
      </c>
      <c r="H165" s="38" t="n">
        <v>7</v>
      </c>
      <c r="I165" s="38" t="n">
        <v>4</v>
      </c>
      <c r="J165" s="38" t="n">
        <v>67</v>
      </c>
      <c r="K165" s="38" t="n">
        <v>66</v>
      </c>
      <c r="L165" s="12"/>
      <c r="M165" s="12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customFormat="false" ht="15.75" hidden="false" customHeight="true" outlineLevel="0" collapsed="false">
      <c r="A166" s="38" t="s">
        <v>138</v>
      </c>
      <c r="B166" s="38" t="str">
        <f aca="false" t="array" ref="B166:B166">IF(A166="","",IFERROR(INDEX('CLM &amp; IM Mapping'!$B$2:$B$270,MATCH(TRIM(A166),'CLM &amp; IM Mapping'!$A$2:$A$270,0)),"Not Mapped"))</f>
        <v>Ashwath S</v>
      </c>
      <c r="C166" s="38" t="str">
        <f aca="false" t="array" ref="C166:C166">IF(A166="","",IFERROR(INDEX('CLM &amp; IM Mapping'!$C$2:$C$270,MATCH(TRIM(A166),'CLM &amp; IM Mapping'!$A$2:$A$270,0)),"Not Mapped"))</f>
        <v>Kantha Kumar</v>
      </c>
      <c r="D166" s="38" t="n">
        <v>8</v>
      </c>
      <c r="E166" s="38" t="n">
        <v>3</v>
      </c>
      <c r="F166" s="38" t="n">
        <v>14</v>
      </c>
      <c r="G166" s="38" t="n">
        <v>8</v>
      </c>
      <c r="H166" s="38" t="n">
        <v>0</v>
      </c>
      <c r="I166" s="38" t="n">
        <v>34</v>
      </c>
      <c r="J166" s="38" t="n">
        <v>67</v>
      </c>
      <c r="K166" s="38" t="n">
        <v>67</v>
      </c>
      <c r="L166" s="12"/>
      <c r="M166" s="12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customFormat="false" ht="15.75" hidden="false" customHeight="true" outlineLevel="0" collapsed="false">
      <c r="A167" s="38" t="s">
        <v>288</v>
      </c>
      <c r="B167" s="38" t="str">
        <f aca="false" t="array" ref="B167:B167">IF(A167="","",IFERROR(INDEX('CLM &amp; IM Mapping'!$B$2:$B$270,MATCH(TRIM(A167),'CLM &amp; IM Mapping'!$A$2:$A$270,0)),"Not Mapped"))</f>
        <v>Sundaresh S</v>
      </c>
      <c r="C167" s="38" t="str">
        <f aca="false" t="array" ref="C167:C167">IF(A167="","",IFERROR(INDEX('CLM &amp; IM Mapping'!$C$2:$C$270,MATCH(TRIM(A167),'CLM &amp; IM Mapping'!$A$2:$A$270,0)),"Not Mapped"))</f>
        <v>Un Mapped</v>
      </c>
      <c r="D167" s="38" t="n">
        <v>11</v>
      </c>
      <c r="E167" s="38" t="n">
        <v>22</v>
      </c>
      <c r="F167" s="38" t="n">
        <v>3</v>
      </c>
      <c r="G167" s="38" t="n">
        <v>8</v>
      </c>
      <c r="H167" s="38" t="n">
        <v>6</v>
      </c>
      <c r="I167" s="38" t="n">
        <v>16</v>
      </c>
      <c r="J167" s="38" t="n">
        <v>66</v>
      </c>
      <c r="K167" s="38" t="n">
        <v>65</v>
      </c>
      <c r="L167" s="12"/>
      <c r="M167" s="12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customFormat="false" ht="15.75" hidden="false" customHeight="true" outlineLevel="0" collapsed="false">
      <c r="A168" s="38" t="s">
        <v>178</v>
      </c>
      <c r="B168" s="38" t="str">
        <f aca="false" t="array" ref="B168:B168">IF(A168="","",IFERROR(INDEX('CLM &amp; IM Mapping'!$B$2:$B$270,MATCH(TRIM(A168),'CLM &amp; IM Mapping'!$A$2:$A$270,0)),"Not Mapped"))</f>
        <v>Santhosha M</v>
      </c>
      <c r="C168" s="38" t="str">
        <f aca="false" t="array" ref="C168:C168">IF(A168="","",IFERROR(INDEX('CLM &amp; IM Mapping'!$C$2:$C$270,MATCH(TRIM(A168),'CLM &amp; IM Mapping'!$A$2:$A$270,0)),"Not Mapped"))</f>
        <v>Aravind S</v>
      </c>
      <c r="D168" s="38" t="n">
        <v>13</v>
      </c>
      <c r="E168" s="38" t="n">
        <v>40</v>
      </c>
      <c r="F168" s="38" t="n">
        <v>0</v>
      </c>
      <c r="G168" s="38" t="n">
        <v>5</v>
      </c>
      <c r="H168" s="38" t="n">
        <v>6</v>
      </c>
      <c r="I168" s="38" t="n">
        <v>0</v>
      </c>
      <c r="J168" s="38" t="n">
        <v>64</v>
      </c>
      <c r="K168" s="38" t="n">
        <v>57</v>
      </c>
      <c r="L168" s="12"/>
      <c r="M168" s="12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customFormat="false" ht="15.75" hidden="false" customHeight="true" outlineLevel="0" collapsed="false">
      <c r="A169" s="38" t="s">
        <v>230</v>
      </c>
      <c r="B169" s="38" t="str">
        <f aca="false" t="array" ref="B169:B169">IF(A169="","",IFERROR(INDEX('CLM &amp; IM Mapping'!$B$2:$B$270,MATCH(TRIM(A169),'CLM &amp; IM Mapping'!$A$2:$A$270,0)),"Not Mapped"))</f>
        <v>Manjunatha V</v>
      </c>
      <c r="C169" s="38" t="str">
        <f aca="false" t="array" ref="C169:C169">IF(A169="","",IFERROR(INDEX('CLM &amp; IM Mapping'!$C$2:$C$270,MATCH(TRIM(A169),'CLM &amp; IM Mapping'!$A$2:$A$270,0)),"Not Mapped"))</f>
        <v>Un Mapped</v>
      </c>
      <c r="D169" s="38" t="n">
        <v>0</v>
      </c>
      <c r="E169" s="38" t="n">
        <v>24</v>
      </c>
      <c r="F169" s="38" t="n">
        <v>0</v>
      </c>
      <c r="G169" s="38" t="n">
        <v>18</v>
      </c>
      <c r="H169" s="38" t="n">
        <v>12</v>
      </c>
      <c r="I169" s="38" t="n">
        <v>10</v>
      </c>
      <c r="J169" s="38" t="n">
        <v>64</v>
      </c>
      <c r="K169" s="38" t="n">
        <v>64</v>
      </c>
      <c r="L169" s="12"/>
      <c r="M169" s="12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customFormat="false" ht="15.75" hidden="false" customHeight="true" outlineLevel="0" collapsed="false">
      <c r="A170" s="38" t="s">
        <v>23</v>
      </c>
      <c r="B170" s="38" t="str">
        <f aca="false" t="array" ref="B170:B170">IF(A170="","",IFERROR(INDEX('CLM &amp; IM Mapping'!$B$2:$B$270,MATCH(TRIM(A170),'CLM &amp; IM Mapping'!$A$2:$A$270,0)),"Not Mapped"))</f>
        <v>Arun Raj</v>
      </c>
      <c r="C170" s="38" t="str">
        <f aca="false" t="array" ref="C170:C170">IF(A170="","",IFERROR(INDEX('CLM &amp; IM Mapping'!$C$2:$C$270,MATCH(TRIM(A170),'CLM &amp; IM Mapping'!$A$2:$A$270,0)),"Not Mapped"))</f>
        <v>Simon Manoharan</v>
      </c>
      <c r="D170" s="38" t="n">
        <v>12</v>
      </c>
      <c r="E170" s="38" t="n">
        <v>4</v>
      </c>
      <c r="F170" s="38" t="n">
        <v>0</v>
      </c>
      <c r="G170" s="38" t="n">
        <v>17</v>
      </c>
      <c r="H170" s="38" t="n">
        <v>28</v>
      </c>
      <c r="I170" s="38"/>
      <c r="J170" s="38" t="n">
        <v>61</v>
      </c>
      <c r="K170" s="38" t="n">
        <v>34</v>
      </c>
      <c r="L170" s="12"/>
      <c r="M170" s="12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customFormat="false" ht="15.75" hidden="false" customHeight="true" outlineLevel="0" collapsed="false">
      <c r="A171" s="38" t="s">
        <v>295</v>
      </c>
      <c r="B171" s="38" t="str">
        <f aca="false" t="array" ref="B171:B171">IF(A171="","",IFERROR(INDEX('CLM &amp; IM Mapping'!$B$2:$B$270,MATCH(TRIM(A171),'CLM &amp; IM Mapping'!$A$2:$A$270,0)),"Not Mapped"))</f>
        <v>Saddam Hussain</v>
      </c>
      <c r="C171" s="38" t="str">
        <f aca="false" t="array" ref="C171:C171">IF(A171="","",IFERROR(INDEX('CLM &amp; IM Mapping'!$C$2:$C$270,MATCH(TRIM(A171),'CLM &amp; IM Mapping'!$A$2:$A$270,0)),"Not Mapped"))</f>
        <v>Un Mapped</v>
      </c>
      <c r="D171" s="38" t="n">
        <v>2</v>
      </c>
      <c r="E171" s="38" t="n">
        <v>31</v>
      </c>
      <c r="F171" s="38" t="n">
        <v>2</v>
      </c>
      <c r="G171" s="38" t="n">
        <v>11</v>
      </c>
      <c r="H171" s="38" t="n">
        <v>15</v>
      </c>
      <c r="I171" s="38" t="n">
        <v>0</v>
      </c>
      <c r="J171" s="38" t="n">
        <v>61</v>
      </c>
      <c r="K171" s="38" t="n">
        <v>61</v>
      </c>
      <c r="L171" s="12"/>
      <c r="M171" s="12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customFormat="false" ht="15.75" hidden="false" customHeight="true" outlineLevel="0" collapsed="false">
      <c r="A172" s="38" t="s">
        <v>199</v>
      </c>
      <c r="B172" s="38" t="str">
        <f aca="false" t="array" ref="B172:B172">IF(A172="","",IFERROR(INDEX('CLM &amp; IM Mapping'!$B$2:$B$270,MATCH(TRIM(A172),'CLM &amp; IM Mapping'!$A$2:$A$270,0)),"Not Mapped"))</f>
        <v>Sundaresh S</v>
      </c>
      <c r="C172" s="38" t="str">
        <f aca="false" t="array" ref="C172:C172">IF(A172="","",IFERROR(INDEX('CLM &amp; IM Mapping'!$C$2:$C$270,MATCH(TRIM(A172),'CLM &amp; IM Mapping'!$A$2:$A$270,0)),"Not Mapped"))</f>
        <v>Un Mapped</v>
      </c>
      <c r="D172" s="38" t="n">
        <v>9</v>
      </c>
      <c r="E172" s="38" t="n">
        <v>21</v>
      </c>
      <c r="F172" s="38" t="n">
        <v>0</v>
      </c>
      <c r="G172" s="38" t="n">
        <v>8</v>
      </c>
      <c r="H172" s="38" t="n">
        <v>4</v>
      </c>
      <c r="I172" s="38" t="n">
        <v>17</v>
      </c>
      <c r="J172" s="38" t="n">
        <v>59</v>
      </c>
      <c r="K172" s="38" t="n">
        <v>55</v>
      </c>
      <c r="L172" s="12"/>
      <c r="M172" s="12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customFormat="false" ht="15.75" hidden="false" customHeight="true" outlineLevel="0" collapsed="false">
      <c r="A173" s="38" t="s">
        <v>232</v>
      </c>
      <c r="B173" s="38" t="str">
        <f aca="false" t="array" ref="B173:B173">IF(A173="","",IFERROR(INDEX('CLM &amp; IM Mapping'!$B$2:$B$270,MATCH(TRIM(A173),'CLM &amp; IM Mapping'!$A$2:$A$270,0)),"Not Mapped"))</f>
        <v>Silambarasan E</v>
      </c>
      <c r="C173" s="38" t="str">
        <f aca="false" t="array" ref="C173:C173">IF(A173="","",IFERROR(INDEX('CLM &amp; IM Mapping'!$C$2:$C$270,MATCH(TRIM(A173),'CLM &amp; IM Mapping'!$A$2:$A$270,0)),"Not Mapped"))</f>
        <v>Arivind S</v>
      </c>
      <c r="D173" s="38" t="n">
        <v>24</v>
      </c>
      <c r="E173" s="38" t="n">
        <v>6</v>
      </c>
      <c r="F173" s="38" t="n">
        <v>1</v>
      </c>
      <c r="G173" s="38" t="n">
        <v>0</v>
      </c>
      <c r="H173" s="38" t="n">
        <v>26</v>
      </c>
      <c r="I173" s="38" t="n">
        <v>2</v>
      </c>
      <c r="J173" s="38" t="n">
        <v>59</v>
      </c>
      <c r="K173" s="38" t="n">
        <v>57</v>
      </c>
      <c r="L173" s="12"/>
      <c r="M173" s="12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customFormat="false" ht="15.75" hidden="false" customHeight="true" outlineLevel="0" collapsed="false">
      <c r="A174" s="38" t="s">
        <v>188</v>
      </c>
      <c r="B174" s="38" t="str">
        <f aca="false" t="array" ref="B174:B174">IF(A174="","",IFERROR(INDEX('CLM &amp; IM Mapping'!$B$2:$B$270,MATCH(TRIM(A174),'CLM &amp; IM Mapping'!$A$2:$A$270,0)),"Not Mapped"))</f>
        <v>Majid Kakatikar</v>
      </c>
      <c r="C174" s="38" t="str">
        <f aca="false" t="array" ref="C174:C174">IF(A174="","",IFERROR(INDEX('CLM &amp; IM Mapping'!$C$2:$C$270,MATCH(TRIM(A174),'CLM &amp; IM Mapping'!$A$2:$A$270,0)),"Not Mapped"))</f>
        <v>Kishor K</v>
      </c>
      <c r="D174" s="38" t="n">
        <v>0</v>
      </c>
      <c r="E174" s="38" t="n">
        <v>24</v>
      </c>
      <c r="F174" s="38" t="n">
        <v>28</v>
      </c>
      <c r="G174" s="38" t="n">
        <v>0</v>
      </c>
      <c r="H174" s="38" t="n">
        <v>6</v>
      </c>
      <c r="I174" s="38" t="n">
        <v>0</v>
      </c>
      <c r="J174" s="38" t="n">
        <v>58</v>
      </c>
      <c r="K174" s="38" t="n">
        <v>25</v>
      </c>
      <c r="L174" s="12"/>
      <c r="M174" s="12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customFormat="false" ht="15.75" hidden="false" customHeight="true" outlineLevel="0" collapsed="false">
      <c r="A175" s="38" t="s">
        <v>115</v>
      </c>
      <c r="B175" s="38" t="str">
        <f aca="false" t="array" ref="B175:B175">IF(A175="","",IFERROR(INDEX('CLM &amp; IM Mapping'!$B$2:$B$270,MATCH(TRIM(A175),'CLM &amp; IM Mapping'!$A$2:$A$270,0)),"Not Mapped"))</f>
        <v>Suhas N</v>
      </c>
      <c r="C175" s="38" t="str">
        <f aca="false" t="array" ref="C175:C175">IF(A175="","",IFERROR(INDEX('CLM &amp; IM Mapping'!$C$2:$C$270,MATCH(TRIM(A175),'CLM &amp; IM Mapping'!$A$2:$A$270,0)),"Not Mapped"))</f>
        <v>Aravind S</v>
      </c>
      <c r="D175" s="38" t="n">
        <v>0</v>
      </c>
      <c r="E175" s="38" t="n">
        <v>4</v>
      </c>
      <c r="F175" s="38" t="n">
        <v>0</v>
      </c>
      <c r="G175" s="38" t="n">
        <v>21</v>
      </c>
      <c r="H175" s="38" t="n">
        <v>24</v>
      </c>
      <c r="I175" s="38" t="n">
        <v>8</v>
      </c>
      <c r="J175" s="38" t="n">
        <v>57</v>
      </c>
      <c r="K175" s="38" t="n">
        <v>54</v>
      </c>
      <c r="L175" s="12"/>
      <c r="M175" s="12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customFormat="false" ht="15.75" hidden="false" customHeight="true" outlineLevel="0" collapsed="false">
      <c r="A176" s="38" t="s">
        <v>261</v>
      </c>
      <c r="B176" s="38" t="str">
        <f aca="false" t="array" ref="B176:B176">IF(A176="","",IFERROR(INDEX('CLM &amp; IM Mapping'!$B$2:$B$270,MATCH(TRIM(A176),'CLM &amp; IM Mapping'!$A$2:$A$270,0)),"Not Mapped"))</f>
        <v>John Britto</v>
      </c>
      <c r="C176" s="38" t="str">
        <f aca="false" t="array" ref="C176:C176">IF(A176="","",IFERROR(INDEX('CLM &amp; IM Mapping'!$C$2:$C$270,MATCH(TRIM(A176),'CLM &amp; IM Mapping'!$A$2:$A$270,0)),"Not Mapped"))</f>
        <v>Aravind S</v>
      </c>
      <c r="D176" s="38" t="n">
        <v>1</v>
      </c>
      <c r="E176" s="38" t="n">
        <v>37</v>
      </c>
      <c r="F176" s="38"/>
      <c r="G176" s="38" t="n">
        <v>19</v>
      </c>
      <c r="H176" s="38"/>
      <c r="I176" s="38" t="n">
        <v>0</v>
      </c>
      <c r="J176" s="38" t="n">
        <v>57</v>
      </c>
      <c r="K176" s="38" t="n">
        <v>57</v>
      </c>
      <c r="L176" s="12"/>
      <c r="M176" s="12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customFormat="false" ht="15.75" hidden="false" customHeight="true" outlineLevel="0" collapsed="false">
      <c r="A177" s="38" t="s">
        <v>166</v>
      </c>
      <c r="B177" s="38" t="str">
        <f aca="false" t="array" ref="B177:B177">IF(A177="","",IFERROR(INDEX('CLM &amp; IM Mapping'!$B$2:$B$270,MATCH(TRIM(A177),'CLM &amp; IM Mapping'!$A$2:$A$270,0)),"Not Mapped"))</f>
        <v>Akshay P</v>
      </c>
      <c r="C177" s="38" t="str">
        <f aca="false" t="array" ref="C177:C177">IF(A177="","",IFERROR(INDEX('CLM &amp; IM Mapping'!$C$2:$C$270,MATCH(TRIM(A177),'CLM &amp; IM Mapping'!$A$2:$A$270,0)),"Not Mapped"))</f>
        <v>Srittam Dhal</v>
      </c>
      <c r="D177" s="38" t="n">
        <v>9</v>
      </c>
      <c r="E177" s="38" t="n">
        <v>44</v>
      </c>
      <c r="F177" s="38" t="n">
        <v>0</v>
      </c>
      <c r="G177" s="38" t="n">
        <v>0</v>
      </c>
      <c r="H177" s="38" t="n">
        <v>1</v>
      </c>
      <c r="I177" s="38" t="n">
        <v>3</v>
      </c>
      <c r="J177" s="38" t="n">
        <v>57</v>
      </c>
      <c r="K177" s="38" t="n">
        <v>57</v>
      </c>
      <c r="L177" s="12"/>
      <c r="M177" s="12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customFormat="false" ht="15.75" hidden="false" customHeight="true" outlineLevel="0" collapsed="false">
      <c r="A178" s="38" t="s">
        <v>290</v>
      </c>
      <c r="B178" s="38" t="str">
        <f aca="false" t="array" ref="B178:B178">IF(A178="","",IFERROR(INDEX('CLM &amp; IM Mapping'!$B$2:$B$270,MATCH(TRIM(A178),'CLM &amp; IM Mapping'!$A$2:$A$270,0)),"Not Mapped"))</f>
        <v>Basil Scariya</v>
      </c>
      <c r="C178" s="38" t="str">
        <f aca="false" t="array" ref="C178:C178">IF(A178="","",IFERROR(INDEX('CLM &amp; IM Mapping'!$C$2:$C$270,MATCH(TRIM(A178),'CLM &amp; IM Mapping'!$A$2:$A$270,0)),"Not Mapped"))</f>
        <v>Prakash BS</v>
      </c>
      <c r="D178" s="38" t="n">
        <v>4</v>
      </c>
      <c r="E178" s="38" t="n">
        <v>0</v>
      </c>
      <c r="F178" s="38" t="n">
        <v>0</v>
      </c>
      <c r="G178" s="38" t="n">
        <v>35</v>
      </c>
      <c r="H178" s="38" t="n">
        <v>13</v>
      </c>
      <c r="I178" s="38" t="n">
        <v>5</v>
      </c>
      <c r="J178" s="38" t="n">
        <v>57</v>
      </c>
      <c r="K178" s="38" t="n">
        <v>57</v>
      </c>
      <c r="L178" s="12"/>
      <c r="M178" s="12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customFormat="false" ht="15.75" hidden="false" customHeight="true" outlineLevel="0" collapsed="false">
      <c r="A179" s="38" t="s">
        <v>240</v>
      </c>
      <c r="B179" s="38" t="str">
        <f aca="false" t="array" ref="B179:B179">IF(A179="","",IFERROR(INDEX('CLM &amp; IM Mapping'!$B$2:$B$270,MATCH(TRIM(A179),'CLM &amp; IM Mapping'!$A$2:$A$270,0)),"Not Mapped"))</f>
        <v>Narasimhamurthy R</v>
      </c>
      <c r="C179" s="38" t="str">
        <f aca="false" t="array" ref="C179:C179">IF(A179="","",IFERROR(INDEX('CLM &amp; IM Mapping'!$C$2:$C$270,MATCH(TRIM(A179),'CLM &amp; IM Mapping'!$A$2:$A$270,0)),"Not Mapped"))</f>
        <v>Kishor K</v>
      </c>
      <c r="D179" s="38" t="n">
        <v>1</v>
      </c>
      <c r="E179" s="38" t="n">
        <v>0</v>
      </c>
      <c r="F179" s="38" t="n">
        <v>0</v>
      </c>
      <c r="G179" s="38" t="n">
        <v>29</v>
      </c>
      <c r="H179" s="38" t="n">
        <v>0</v>
      </c>
      <c r="I179" s="38" t="n">
        <v>26</v>
      </c>
      <c r="J179" s="38" t="n">
        <v>56</v>
      </c>
      <c r="K179" s="38" t="n">
        <v>56</v>
      </c>
      <c r="L179" s="12"/>
      <c r="M179" s="12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customFormat="false" ht="15.75" hidden="false" customHeight="true" outlineLevel="0" collapsed="false">
      <c r="A180" s="38" t="s">
        <v>201</v>
      </c>
      <c r="B180" s="38" t="str">
        <f aca="false" t="array" ref="B180:B180">IF(A180="","",IFERROR(INDEX('CLM &amp; IM Mapping'!$B$2:$B$270,MATCH(TRIM(A180),'CLM &amp; IM Mapping'!$A$2:$A$270,0)),"Not Mapped"))</f>
        <v>Balaji G</v>
      </c>
      <c r="C180" s="38" t="str">
        <f aca="false" t="array" ref="C180:C180">IF(A180="","",IFERROR(INDEX('CLM &amp; IM Mapping'!$C$2:$C$270,MATCH(TRIM(A180),'CLM &amp; IM Mapping'!$A$2:$A$270,0)),"Not Mapped"))</f>
        <v>Mohammed Akbar</v>
      </c>
      <c r="D180" s="38" t="n">
        <v>0</v>
      </c>
      <c r="E180" s="38" t="n">
        <v>1</v>
      </c>
      <c r="F180" s="38" t="n">
        <v>0</v>
      </c>
      <c r="G180" s="38" t="n">
        <v>10</v>
      </c>
      <c r="H180" s="38" t="n">
        <v>43</v>
      </c>
      <c r="I180" s="38" t="n">
        <v>0</v>
      </c>
      <c r="J180" s="38" t="n">
        <v>54</v>
      </c>
      <c r="K180" s="38" t="n">
        <v>54</v>
      </c>
      <c r="L180" s="12"/>
      <c r="M180" s="12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customFormat="false" ht="15.75" hidden="false" customHeight="true" outlineLevel="0" collapsed="false">
      <c r="A181" s="38" t="s">
        <v>85</v>
      </c>
      <c r="B181" s="38" t="str">
        <f aca="false" t="array" ref="B181:B181">IF(A181="","",IFERROR(INDEX('CLM &amp; IM Mapping'!$B$2:$B$270,MATCH(TRIM(A181),'CLM &amp; IM Mapping'!$A$2:$A$270,0)),"Not Mapped"))</f>
        <v>Saddam Hussain</v>
      </c>
      <c r="C181" s="38" t="str">
        <f aca="false" t="array" ref="C181:C181">IF(A181="","",IFERROR(INDEX('CLM &amp; IM Mapping'!$C$2:$C$270,MATCH(TRIM(A181),'CLM &amp; IM Mapping'!$A$2:$A$270,0)),"Not Mapped"))</f>
        <v>Un Mapped</v>
      </c>
      <c r="D181" s="38" t="n">
        <v>34</v>
      </c>
      <c r="E181" s="38" t="n">
        <v>12</v>
      </c>
      <c r="F181" s="38" t="n">
        <v>0</v>
      </c>
      <c r="G181" s="38" t="n">
        <v>6</v>
      </c>
      <c r="H181" s="38" t="n">
        <v>2</v>
      </c>
      <c r="I181" s="38" t="n">
        <v>0</v>
      </c>
      <c r="J181" s="38" t="n">
        <v>54</v>
      </c>
      <c r="K181" s="38" t="n">
        <v>54</v>
      </c>
      <c r="L181" s="12"/>
      <c r="M181" s="12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customFormat="false" ht="15.75" hidden="false" customHeight="true" outlineLevel="0" collapsed="false">
      <c r="A182" s="38" t="s">
        <v>113</v>
      </c>
      <c r="B182" s="38" t="str">
        <f aca="false" t="array" ref="B182:B182">IF(A182="","",IFERROR(INDEX('CLM &amp; IM Mapping'!$B$2:$B$270,MATCH(TRIM(A182),'CLM &amp; IM Mapping'!$A$2:$A$270,0)),"Not Mapped"))</f>
        <v>Suhas N</v>
      </c>
      <c r="C182" s="38" t="str">
        <f aca="false" t="array" ref="C182:C182">IF(A182="","",IFERROR(INDEX('CLM &amp; IM Mapping'!$C$2:$C$270,MATCH(TRIM(A182),'CLM &amp; IM Mapping'!$A$2:$A$270,0)),"Not Mapped"))</f>
        <v>Aravind S</v>
      </c>
      <c r="D182" s="38" t="n">
        <v>21</v>
      </c>
      <c r="E182" s="38" t="n">
        <v>33</v>
      </c>
      <c r="F182" s="38" t="n">
        <v>0</v>
      </c>
      <c r="G182" s="38" t="n">
        <v>0</v>
      </c>
      <c r="H182" s="38" t="n">
        <v>0</v>
      </c>
      <c r="I182" s="38" t="n">
        <v>0</v>
      </c>
      <c r="J182" s="38" t="n">
        <v>54</v>
      </c>
      <c r="K182" s="38" t="n">
        <v>53</v>
      </c>
      <c r="L182" s="12"/>
      <c r="M182" s="12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customFormat="false" ht="15.75" hidden="false" customHeight="true" outlineLevel="0" collapsed="false">
      <c r="A183" s="38" t="s">
        <v>227</v>
      </c>
      <c r="B183" s="38" t="str">
        <f aca="false" t="array" ref="B183:B183">IF(A183="","",IFERROR(INDEX('CLM &amp; IM Mapping'!$B$2:$B$270,MATCH(TRIM(A183),'CLM &amp; IM Mapping'!$A$2:$A$270,0)),"Not Mapped"))</f>
        <v>Santhosha M</v>
      </c>
      <c r="C183" s="38" t="str">
        <f aca="false" t="array" ref="C183:C183">IF(A183="","",IFERROR(INDEX('CLM &amp; IM Mapping'!$C$2:$C$270,MATCH(TRIM(A183),'CLM &amp; IM Mapping'!$A$2:$A$270,0)),"Not Mapped"))</f>
        <v>Aravind S</v>
      </c>
      <c r="D183" s="38" t="n">
        <v>7</v>
      </c>
      <c r="E183" s="38" t="n">
        <v>30</v>
      </c>
      <c r="F183" s="38" t="n">
        <v>2</v>
      </c>
      <c r="G183" s="38" t="n">
        <v>1</v>
      </c>
      <c r="H183" s="38" t="n">
        <v>13</v>
      </c>
      <c r="I183" s="38" t="n">
        <v>0</v>
      </c>
      <c r="J183" s="38" t="n">
        <v>53</v>
      </c>
      <c r="K183" s="38" t="n">
        <v>39</v>
      </c>
      <c r="L183" s="12"/>
      <c r="M183" s="12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customFormat="false" ht="15.75" hidden="false" customHeight="true" outlineLevel="0" collapsed="false">
      <c r="A184" s="38" t="s">
        <v>223</v>
      </c>
      <c r="B184" s="38" t="str">
        <f aca="false" t="array" ref="B184:B184">IF(A184="","",IFERROR(INDEX('CLM &amp; IM Mapping'!$B$2:$B$270,MATCH(TRIM(A184),'CLM &amp; IM Mapping'!$A$2:$A$270,0)),"Not Mapped"))</f>
        <v>Ravishankar gowda</v>
      </c>
      <c r="C184" s="38" t="str">
        <f aca="false" t="array" ref="C184:C184">IF(A184="","",IFERROR(INDEX('CLM &amp; IM Mapping'!$C$2:$C$270,MATCH(TRIM(A184),'CLM &amp; IM Mapping'!$A$2:$A$270,0)),"Not Mapped"))</f>
        <v>Kishor K</v>
      </c>
      <c r="D184" s="38" t="n">
        <v>5</v>
      </c>
      <c r="E184" s="38" t="n">
        <v>6</v>
      </c>
      <c r="F184" s="38" t="n">
        <v>16</v>
      </c>
      <c r="G184" s="38" t="n">
        <v>23</v>
      </c>
      <c r="H184" s="38" t="n">
        <v>1</v>
      </c>
      <c r="I184" s="38" t="n">
        <v>1</v>
      </c>
      <c r="J184" s="38" t="n">
        <v>52</v>
      </c>
      <c r="K184" s="38" t="n">
        <v>47</v>
      </c>
      <c r="L184" s="12"/>
      <c r="M184" s="12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customFormat="false" ht="15.75" hidden="false" customHeight="true" outlineLevel="0" collapsed="false">
      <c r="A185" s="38" t="s">
        <v>237</v>
      </c>
      <c r="B185" s="38" t="str">
        <f aca="false" t="array" ref="B185:B185">IF(A185="","",IFERROR(INDEX('CLM &amp; IM Mapping'!$B$2:$B$270,MATCH(TRIM(A185),'CLM &amp; IM Mapping'!$A$2:$A$270,0)),"Not Mapped"))</f>
        <v>Bangareppa CS</v>
      </c>
      <c r="C185" s="38" t="str">
        <f aca="false" t="array" ref="C185:C185">IF(A185="","",IFERROR(INDEX('CLM &amp; IM Mapping'!$C$2:$C$270,MATCH(TRIM(A185),'CLM &amp; IM Mapping'!$A$2:$A$270,0)),"Not Mapped"))</f>
        <v>Kishor K</v>
      </c>
      <c r="D185" s="38" t="n">
        <v>0</v>
      </c>
      <c r="E185" s="38" t="n">
        <v>9</v>
      </c>
      <c r="F185" s="38" t="n">
        <v>0</v>
      </c>
      <c r="G185" s="38" t="n">
        <v>0</v>
      </c>
      <c r="H185" s="38" t="n">
        <v>0</v>
      </c>
      <c r="I185" s="38" t="n">
        <v>42</v>
      </c>
      <c r="J185" s="38" t="n">
        <v>51</v>
      </c>
      <c r="K185" s="38" t="n">
        <v>45</v>
      </c>
      <c r="L185" s="12"/>
      <c r="M185" s="12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customFormat="false" ht="15.75" hidden="false" customHeight="true" outlineLevel="0" collapsed="false">
      <c r="A186" s="38" t="s">
        <v>209</v>
      </c>
      <c r="B186" s="38" t="str">
        <f aca="false" t="array" ref="B186:B186">IF(A186="","",IFERROR(INDEX('CLM &amp; IM Mapping'!$B$2:$B$270,MATCH(TRIM(A186),'CLM &amp; IM Mapping'!$A$2:$A$270,0)),"Not Mapped"))</f>
        <v>Narasimhamurthy R</v>
      </c>
      <c r="C186" s="38" t="str">
        <f aca="false" t="array" ref="C186:C186">IF(A186="","",IFERROR(INDEX('CLM &amp; IM Mapping'!$C$2:$C$270,MATCH(TRIM(A186),'CLM &amp; IM Mapping'!$A$2:$A$270,0)),"Not Mapped"))</f>
        <v>Kishor K</v>
      </c>
      <c r="D186" s="38" t="n">
        <v>0</v>
      </c>
      <c r="E186" s="38" t="n">
        <v>3</v>
      </c>
      <c r="F186" s="38" t="n">
        <v>0</v>
      </c>
      <c r="G186" s="38" t="n">
        <v>19</v>
      </c>
      <c r="H186" s="38" t="n">
        <v>20</v>
      </c>
      <c r="I186" s="38" t="n">
        <v>8</v>
      </c>
      <c r="J186" s="38" t="n">
        <v>50</v>
      </c>
      <c r="K186" s="38" t="n">
        <v>49</v>
      </c>
      <c r="L186" s="12"/>
      <c r="M186" s="12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customFormat="false" ht="15.75" hidden="false" customHeight="true" outlineLevel="0" collapsed="false">
      <c r="A187" s="38" t="s">
        <v>111</v>
      </c>
      <c r="B187" s="38" t="str">
        <f aca="false" t="array" ref="B187:B187">IF(A187="","",IFERROR(INDEX('CLM &amp; IM Mapping'!$B$2:$B$270,MATCH(TRIM(A187),'CLM &amp; IM Mapping'!$A$2:$A$270,0)),"Not Mapped"))</f>
        <v>Suhas N</v>
      </c>
      <c r="C187" s="38" t="str">
        <f aca="false" t="array" ref="C187:C187">IF(A187="","",IFERROR(INDEX('CLM &amp; IM Mapping'!$C$2:$C$270,MATCH(TRIM(A187),'CLM &amp; IM Mapping'!$A$2:$A$270,0)),"Not Mapped"))</f>
        <v>Aravind S</v>
      </c>
      <c r="D187" s="38" t="n">
        <v>0</v>
      </c>
      <c r="E187" s="38" t="n">
        <v>36</v>
      </c>
      <c r="F187" s="38" t="n">
        <v>0</v>
      </c>
      <c r="G187" s="38" t="n">
        <v>7</v>
      </c>
      <c r="H187" s="38" t="n">
        <v>0</v>
      </c>
      <c r="I187" s="38" t="n">
        <v>7</v>
      </c>
      <c r="J187" s="38" t="n">
        <v>50</v>
      </c>
      <c r="K187" s="38" t="n">
        <v>41</v>
      </c>
      <c r="L187" s="12"/>
      <c r="M187" s="12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customFormat="false" ht="15.75" hidden="false" customHeight="true" outlineLevel="0" collapsed="false">
      <c r="A188" s="38" t="s">
        <v>161</v>
      </c>
      <c r="B188" s="38" t="str">
        <f aca="false" t="array" ref="B188:B188">IF(A188="","",IFERROR(INDEX('CLM &amp; IM Mapping'!$B$2:$B$270,MATCH(TRIM(A188),'CLM &amp; IM Mapping'!$A$2:$A$270,0)),"Not Mapped"))</f>
        <v>Ashwath S</v>
      </c>
      <c r="C188" s="38" t="str">
        <f aca="false" t="array" ref="C188:C188">IF(A188="","",IFERROR(INDEX('CLM &amp; IM Mapping'!$C$2:$C$270,MATCH(TRIM(A188),'CLM &amp; IM Mapping'!$A$2:$A$270,0)),"Not Mapped"))</f>
        <v>Kantha Kumar</v>
      </c>
      <c r="D188" s="38" t="n">
        <v>22</v>
      </c>
      <c r="E188" s="38" t="n">
        <v>21</v>
      </c>
      <c r="F188" s="38" t="n">
        <v>2</v>
      </c>
      <c r="G188" s="38" t="n">
        <v>4</v>
      </c>
      <c r="H188" s="38" t="n">
        <v>1</v>
      </c>
      <c r="I188" s="38" t="n">
        <v>0</v>
      </c>
      <c r="J188" s="38" t="n">
        <v>50</v>
      </c>
      <c r="K188" s="38" t="n">
        <v>39</v>
      </c>
      <c r="L188" s="12"/>
      <c r="M188" s="12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customFormat="false" ht="15.75" hidden="false" customHeight="true" outlineLevel="0" collapsed="false">
      <c r="A189" s="38" t="s">
        <v>81</v>
      </c>
      <c r="B189" s="38" t="str">
        <f aca="false" t="array" ref="B189:B189">IF(A189="","",IFERROR(INDEX('CLM &amp; IM Mapping'!$B$2:$B$270,MATCH(TRIM(A189),'CLM &amp; IM Mapping'!$A$2:$A$270,0)),"Not Mapped"))</f>
        <v>Arun Raj</v>
      </c>
      <c r="C189" s="38" t="str">
        <f aca="false" t="array" ref="C189:C189">IF(A189="","",IFERROR(INDEX('CLM &amp; IM Mapping'!$C$2:$C$270,MATCH(TRIM(A189),'CLM &amp; IM Mapping'!$A$2:$A$270,0)),"Not Mapped"))</f>
        <v>Simon Manoharan</v>
      </c>
      <c r="D189" s="38" t="n">
        <v>0</v>
      </c>
      <c r="E189" s="38" t="n">
        <v>2</v>
      </c>
      <c r="F189" s="38" t="n">
        <v>0</v>
      </c>
      <c r="G189" s="38" t="n">
        <v>37</v>
      </c>
      <c r="H189" s="38" t="n">
        <v>10</v>
      </c>
      <c r="I189" s="38"/>
      <c r="J189" s="38" t="n">
        <v>49</v>
      </c>
      <c r="K189" s="38" t="n">
        <v>29</v>
      </c>
      <c r="L189" s="12"/>
      <c r="M189" s="12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customFormat="false" ht="15.75" hidden="false" customHeight="true" outlineLevel="0" collapsed="false">
      <c r="A190" s="38" t="s">
        <v>53</v>
      </c>
      <c r="B190" s="38" t="str">
        <f aca="false" t="array" ref="B190:B190">IF(A190="","",IFERROR(INDEX('CLM &amp; IM Mapping'!$B$2:$B$270,MATCH(TRIM(A190),'CLM &amp; IM Mapping'!$A$2:$A$270,0)),"Not Mapped"))</f>
        <v>Girish N</v>
      </c>
      <c r="C190" s="38" t="str">
        <f aca="false" t="array" ref="C190:C190">IF(A190="","",IFERROR(INDEX('CLM &amp; IM Mapping'!$C$2:$C$270,MATCH(TRIM(A190),'CLM &amp; IM Mapping'!$A$2:$A$270,0)),"Not Mapped"))</f>
        <v>Un Mapped</v>
      </c>
      <c r="D190" s="38" t="n">
        <v>0</v>
      </c>
      <c r="E190" s="38" t="n">
        <v>20</v>
      </c>
      <c r="F190" s="38" t="n">
        <v>0</v>
      </c>
      <c r="G190" s="38" t="n">
        <v>21</v>
      </c>
      <c r="H190" s="38" t="n">
        <v>1</v>
      </c>
      <c r="I190" s="38" t="n">
        <v>6</v>
      </c>
      <c r="J190" s="38" t="n">
        <v>48</v>
      </c>
      <c r="K190" s="38" t="n">
        <v>48</v>
      </c>
      <c r="L190" s="12"/>
      <c r="M190" s="12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customFormat="false" ht="15.75" hidden="false" customHeight="true" outlineLevel="0" collapsed="false">
      <c r="A191" s="38" t="s">
        <v>116</v>
      </c>
      <c r="B191" s="38" t="str">
        <f aca="false" t="array" ref="B191:B191">IF(A191="","",IFERROR(INDEX('CLM &amp; IM Mapping'!$B$2:$B$270,MATCH(TRIM(A191),'CLM &amp; IM Mapping'!$A$2:$A$270,0)),"Not Mapped"))</f>
        <v>Adhavan Subramani</v>
      </c>
      <c r="C191" s="38" t="str">
        <f aca="false" t="array" ref="C191:C191">IF(A191="","",IFERROR(INDEX('CLM &amp; IM Mapping'!$C$2:$C$270,MATCH(TRIM(A191),'CLM &amp; IM Mapping'!$A$2:$A$270,0)),"Not Mapped"))</f>
        <v>Mohammed Akbar</v>
      </c>
      <c r="D191" s="38" t="n">
        <v>0</v>
      </c>
      <c r="E191" s="38" t="n">
        <v>1</v>
      </c>
      <c r="F191" s="38" t="n">
        <v>0</v>
      </c>
      <c r="G191" s="38" t="n">
        <v>12</v>
      </c>
      <c r="H191" s="38" t="n">
        <v>31</v>
      </c>
      <c r="I191" s="38" t="n">
        <v>3</v>
      </c>
      <c r="J191" s="38" t="n">
        <v>47</v>
      </c>
      <c r="K191" s="38" t="n">
        <v>47</v>
      </c>
      <c r="L191" s="12"/>
      <c r="M191" s="12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customFormat="false" ht="15.75" hidden="false" customHeight="true" outlineLevel="0" collapsed="false">
      <c r="A192" s="38" t="s">
        <v>63</v>
      </c>
      <c r="B192" s="38" t="str">
        <f aca="false" t="array" ref="B192:B192">IF(A192="","",IFERROR(INDEX('CLM &amp; IM Mapping'!$B$2:$B$270,MATCH(TRIM(A192),'CLM &amp; IM Mapping'!$A$2:$A$270,0)),"Not Mapped"))</f>
        <v>Girish N</v>
      </c>
      <c r="C192" s="38" t="str">
        <f aca="false" t="array" ref="C192:C192">IF(A192="","",IFERROR(INDEX('CLM &amp; IM Mapping'!$C$2:$C$270,MATCH(TRIM(A192),'CLM &amp; IM Mapping'!$A$2:$A$270,0)),"Not Mapped"))</f>
        <v>Un Mapped</v>
      </c>
      <c r="D192" s="38" t="n">
        <v>0</v>
      </c>
      <c r="E192" s="38" t="n">
        <v>15</v>
      </c>
      <c r="F192" s="38" t="n">
        <v>0</v>
      </c>
      <c r="G192" s="38" t="n">
        <v>24</v>
      </c>
      <c r="H192" s="38" t="n">
        <v>0</v>
      </c>
      <c r="I192" s="38" t="n">
        <v>8</v>
      </c>
      <c r="J192" s="38" t="n">
        <v>47</v>
      </c>
      <c r="K192" s="38" t="n">
        <v>47</v>
      </c>
      <c r="L192" s="12"/>
      <c r="M192" s="12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customFormat="false" ht="15.75" hidden="false" customHeight="true" outlineLevel="0" collapsed="false">
      <c r="A193" s="38" t="s">
        <v>37</v>
      </c>
      <c r="B193" s="38" t="str">
        <f aca="false" t="array" ref="B193:B193">IF(A193="","",IFERROR(INDEX('CLM &amp; IM Mapping'!$B$2:$B$270,MATCH(TRIM(A193),'CLM &amp; IM Mapping'!$A$2:$A$270,0)),"Not Mapped"))</f>
        <v>Basil Scariya</v>
      </c>
      <c r="C193" s="38" t="str">
        <f aca="false" t="array" ref="C193:C193">IF(A193="","",IFERROR(INDEX('CLM &amp; IM Mapping'!$C$2:$C$270,MATCH(TRIM(A193),'CLM &amp; IM Mapping'!$A$2:$A$270,0)),"Not Mapped"))</f>
        <v>Prakash BS</v>
      </c>
      <c r="D193" s="38" t="n">
        <v>2</v>
      </c>
      <c r="E193" s="38" t="n">
        <v>39</v>
      </c>
      <c r="F193" s="38" t="n">
        <v>0</v>
      </c>
      <c r="G193" s="38" t="n">
        <v>5</v>
      </c>
      <c r="H193" s="38" t="n">
        <v>0</v>
      </c>
      <c r="I193" s="38" t="n">
        <v>1</v>
      </c>
      <c r="J193" s="38" t="n">
        <v>47</v>
      </c>
      <c r="K193" s="38" t="n">
        <v>45</v>
      </c>
      <c r="L193" s="12"/>
      <c r="M193" s="12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customFormat="false" ht="15.75" hidden="false" customHeight="true" outlineLevel="0" collapsed="false">
      <c r="A194" s="38" t="s">
        <v>47</v>
      </c>
      <c r="B194" s="38" t="str">
        <f aca="false" t="array" ref="B194:B194">IF(A194="","",IFERROR(INDEX('CLM &amp; IM Mapping'!$B$2:$B$270,MATCH(TRIM(A194),'CLM &amp; IM Mapping'!$A$2:$A$270,0)),"Not Mapped"))</f>
        <v>Raghavendra Vernekar</v>
      </c>
      <c r="C194" s="38" t="str">
        <f aca="false" t="array" ref="C194:C194">IF(A194="","",IFERROR(INDEX('CLM &amp; IM Mapping'!$C$2:$C$270,MATCH(TRIM(A194),'CLM &amp; IM Mapping'!$A$2:$A$270,0)),"Not Mapped"))</f>
        <v>Prakash BS</v>
      </c>
      <c r="D194" s="38" t="n">
        <v>0</v>
      </c>
      <c r="E194" s="38" t="n">
        <v>1</v>
      </c>
      <c r="F194" s="38" t="n">
        <v>0</v>
      </c>
      <c r="G194" s="38" t="n">
        <v>6</v>
      </c>
      <c r="H194" s="38" t="n">
        <v>19</v>
      </c>
      <c r="I194" s="38" t="n">
        <v>21</v>
      </c>
      <c r="J194" s="38" t="n">
        <v>47</v>
      </c>
      <c r="K194" s="38" t="n">
        <v>47</v>
      </c>
      <c r="L194" s="12"/>
      <c r="M194" s="12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customFormat="false" ht="15.75" hidden="false" customHeight="true" outlineLevel="0" collapsed="false">
      <c r="A195" s="38" t="s">
        <v>215</v>
      </c>
      <c r="B195" s="38" t="str">
        <f aca="false" t="array" ref="B195:B195">IF(A195="","",IFERROR(INDEX('CLM &amp; IM Mapping'!$B$2:$B$270,MATCH(TRIM(A195),'CLM &amp; IM Mapping'!$A$2:$A$270,0)),"Not Mapped"))</f>
        <v>Akshay P</v>
      </c>
      <c r="C195" s="38" t="str">
        <f aca="false" t="array" ref="C195:C195">IF(A195="","",IFERROR(INDEX('CLM &amp; IM Mapping'!$C$2:$C$270,MATCH(TRIM(A195),'CLM &amp; IM Mapping'!$A$2:$A$270,0)),"Not Mapped"))</f>
        <v>Srittam Dhal</v>
      </c>
      <c r="D195" s="38" t="n">
        <v>13</v>
      </c>
      <c r="E195" s="38" t="n">
        <v>1</v>
      </c>
      <c r="F195" s="38" t="n">
        <v>4</v>
      </c>
      <c r="G195" s="38" t="n">
        <v>21</v>
      </c>
      <c r="H195" s="38" t="n">
        <v>0</v>
      </c>
      <c r="I195" s="38" t="n">
        <v>3</v>
      </c>
      <c r="J195" s="38" t="n">
        <v>42</v>
      </c>
      <c r="K195" s="38" t="n">
        <v>42</v>
      </c>
      <c r="L195" s="12"/>
      <c r="M195" s="12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customFormat="false" ht="15.75" hidden="false" customHeight="true" outlineLevel="0" collapsed="false">
      <c r="A196" s="38" t="s">
        <v>210</v>
      </c>
      <c r="B196" s="38" t="str">
        <f aca="false" t="array" ref="B196:B196">IF(A196="","",IFERROR(INDEX('CLM &amp; IM Mapping'!$B$2:$B$270,MATCH(TRIM(A196),'CLM &amp; IM Mapping'!$A$2:$A$270,0)),"Not Mapped"))</f>
        <v>Narasimhamurthy R</v>
      </c>
      <c r="C196" s="38" t="str">
        <f aca="false" t="array" ref="C196:C196">IF(A196="","",IFERROR(INDEX('CLM &amp; IM Mapping'!$C$2:$C$270,MATCH(TRIM(A196),'CLM &amp; IM Mapping'!$A$2:$A$270,0)),"Not Mapped"))</f>
        <v>Kishor K</v>
      </c>
      <c r="D196" s="38" t="n">
        <v>0</v>
      </c>
      <c r="E196" s="38" t="n">
        <v>5</v>
      </c>
      <c r="F196" s="38" t="n">
        <v>0</v>
      </c>
      <c r="G196" s="38" t="n">
        <v>32</v>
      </c>
      <c r="H196" s="38" t="n">
        <v>3</v>
      </c>
      <c r="I196" s="38" t="n">
        <v>1</v>
      </c>
      <c r="J196" s="38" t="n">
        <v>41</v>
      </c>
      <c r="K196" s="38" t="n">
        <v>41</v>
      </c>
      <c r="L196" s="12"/>
      <c r="M196" s="12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customFormat="false" ht="15.75" hidden="false" customHeight="true" outlineLevel="0" collapsed="false">
      <c r="A197" s="38" t="s">
        <v>48</v>
      </c>
      <c r="B197" s="38" t="str">
        <f aca="false" t="array" ref="B197:B197">IF(A197="","",IFERROR(INDEX('CLM &amp; IM Mapping'!$B$2:$B$270,MATCH(TRIM(A197),'CLM &amp; IM Mapping'!$A$2:$A$270,0)),"Not Mapped"))</f>
        <v>Raghavendra Vernekar</v>
      </c>
      <c r="C197" s="38" t="str">
        <f aca="false" t="array" ref="C197:C197">IF(A197="","",IFERROR(INDEX('CLM &amp; IM Mapping'!$C$2:$C$270,MATCH(TRIM(A197),'CLM &amp; IM Mapping'!$A$2:$A$270,0)),"Not Mapped"))</f>
        <v>Prakash BS</v>
      </c>
      <c r="D197" s="38" t="n">
        <v>0</v>
      </c>
      <c r="E197" s="38" t="n">
        <v>0</v>
      </c>
      <c r="F197" s="38" t="n">
        <v>0</v>
      </c>
      <c r="G197" s="38" t="n">
        <v>30</v>
      </c>
      <c r="H197" s="38" t="n">
        <v>0</v>
      </c>
      <c r="I197" s="38" t="n">
        <v>10</v>
      </c>
      <c r="J197" s="38" t="n">
        <v>40</v>
      </c>
      <c r="K197" s="38" t="n">
        <v>40</v>
      </c>
      <c r="L197" s="12"/>
      <c r="M197" s="12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customFormat="false" ht="15.75" hidden="false" customHeight="true" outlineLevel="0" collapsed="false">
      <c r="A198" s="38" t="s">
        <v>95</v>
      </c>
      <c r="B198" s="38" t="str">
        <f aca="false" t="array" ref="B198:B198">IF(A198="","",IFERROR(INDEX('CLM &amp; IM Mapping'!$B$2:$B$270,MATCH(TRIM(A198),'CLM &amp; IM Mapping'!$A$2:$A$270,0)),"Not Mapped"))</f>
        <v>Suhas N</v>
      </c>
      <c r="C198" s="38" t="str">
        <f aca="false" t="array" ref="C198:C198">IF(A198="","",IFERROR(INDEX('CLM &amp; IM Mapping'!$C$2:$C$270,MATCH(TRIM(A198),'CLM &amp; IM Mapping'!$A$2:$A$270,0)),"Not Mapped"))</f>
        <v>Aravind S</v>
      </c>
      <c r="D198" s="38" t="n">
        <v>0</v>
      </c>
      <c r="E198" s="38" t="n">
        <v>0</v>
      </c>
      <c r="F198" s="38" t="n">
        <v>2</v>
      </c>
      <c r="G198" s="38" t="n">
        <v>4</v>
      </c>
      <c r="H198" s="38" t="n">
        <v>3</v>
      </c>
      <c r="I198" s="38" t="n">
        <v>30</v>
      </c>
      <c r="J198" s="38" t="n">
        <v>39</v>
      </c>
      <c r="K198" s="38" t="n">
        <v>37</v>
      </c>
      <c r="L198" s="12"/>
      <c r="M198" s="12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customFormat="false" ht="15.75" hidden="false" customHeight="true" outlineLevel="0" collapsed="false">
      <c r="A199" s="38" t="s">
        <v>136</v>
      </c>
      <c r="B199" s="38" t="str">
        <f aca="false" t="array" ref="B199:B199">IF(A199="","",IFERROR(INDEX('CLM &amp; IM Mapping'!$B$2:$B$270,MATCH(TRIM(A199),'CLM &amp; IM Mapping'!$A$2:$A$270,0)),"Not Mapped"))</f>
        <v>Arun Raj</v>
      </c>
      <c r="C199" s="38" t="str">
        <f aca="false" t="array" ref="C199:C199">IF(A199="","",IFERROR(INDEX('CLM &amp; IM Mapping'!$C$2:$C$270,MATCH(TRIM(A199),'CLM &amp; IM Mapping'!$A$2:$A$270,0)),"Not Mapped"))</f>
        <v>Simon Manoharan</v>
      </c>
      <c r="D199" s="38"/>
      <c r="E199" s="38" t="n">
        <v>6</v>
      </c>
      <c r="F199" s="38"/>
      <c r="G199" s="38" t="n">
        <v>29</v>
      </c>
      <c r="H199" s="38" t="n">
        <v>3</v>
      </c>
      <c r="I199" s="38" t="n">
        <v>0</v>
      </c>
      <c r="J199" s="38" t="n">
        <v>38</v>
      </c>
      <c r="K199" s="38" t="n">
        <v>2</v>
      </c>
      <c r="L199" s="12"/>
      <c r="M199" s="12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customFormat="false" ht="15.75" hidden="false" customHeight="true" outlineLevel="0" collapsed="false">
      <c r="A200" s="38" t="s">
        <v>297</v>
      </c>
      <c r="B200" s="38" t="str">
        <f aca="false" t="array" ref="B200:B200">IF(A200="","",IFERROR(INDEX('CLM &amp; IM Mapping'!$B$2:$B$270,MATCH(TRIM(A200),'CLM &amp; IM Mapping'!$A$2:$A$270,0)),"Not Mapped"))</f>
        <v>Suhas N</v>
      </c>
      <c r="C200" s="38" t="str">
        <f aca="false" t="array" ref="C200:C200">IF(A200="","",IFERROR(INDEX('CLM &amp; IM Mapping'!$C$2:$C$270,MATCH(TRIM(A200),'CLM &amp; IM Mapping'!$A$2:$A$270,0)),"Not Mapped"))</f>
        <v>Aravind S</v>
      </c>
      <c r="D200" s="38" t="n">
        <v>1</v>
      </c>
      <c r="E200" s="38" t="n">
        <v>13</v>
      </c>
      <c r="F200" s="38"/>
      <c r="G200" s="38" t="n">
        <v>7</v>
      </c>
      <c r="H200" s="38" t="n">
        <v>17</v>
      </c>
      <c r="I200" s="38" t="n">
        <v>0</v>
      </c>
      <c r="J200" s="38" t="n">
        <v>38</v>
      </c>
      <c r="K200" s="38" t="n">
        <v>36</v>
      </c>
      <c r="L200" s="12"/>
      <c r="M200" s="12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customFormat="false" ht="15.75" hidden="false" customHeight="true" outlineLevel="0" collapsed="false">
      <c r="A201" s="38" t="s">
        <v>234</v>
      </c>
      <c r="B201" s="38" t="str">
        <f aca="false" t="array" ref="B201:B201">IF(A201="","",IFERROR(INDEX('CLM &amp; IM Mapping'!$B$2:$B$270,MATCH(TRIM(A201),'CLM &amp; IM Mapping'!$A$2:$A$270,0)),"Not Mapped"))</f>
        <v>Narasimhamurthy R</v>
      </c>
      <c r="C201" s="38" t="str">
        <f aca="false" t="array" ref="C201:C201">IF(A201="","",IFERROR(INDEX('CLM &amp; IM Mapping'!$C$2:$C$270,MATCH(TRIM(A201),'CLM &amp; IM Mapping'!$A$2:$A$270,0)),"Not Mapped"))</f>
        <v>Kishor K</v>
      </c>
      <c r="D201" s="38" t="n">
        <v>7</v>
      </c>
      <c r="E201" s="38" t="n">
        <v>2</v>
      </c>
      <c r="F201" s="38" t="n">
        <v>14</v>
      </c>
      <c r="G201" s="38" t="n">
        <v>0</v>
      </c>
      <c r="H201" s="38" t="n">
        <v>1</v>
      </c>
      <c r="I201" s="38" t="n">
        <v>13</v>
      </c>
      <c r="J201" s="38" t="n">
        <v>37</v>
      </c>
      <c r="K201" s="38" t="n">
        <v>37</v>
      </c>
      <c r="L201" s="12"/>
      <c r="M201" s="12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customFormat="false" ht="15.75" hidden="false" customHeight="true" outlineLevel="0" collapsed="false">
      <c r="A202" s="38" t="s">
        <v>106</v>
      </c>
      <c r="B202" s="38" t="str">
        <f aca="false" t="array" ref="B202:B202">IF(A202="","",IFERROR(INDEX('CLM &amp; IM Mapping'!$B$2:$B$270,MATCH(TRIM(A202),'CLM &amp; IM Mapping'!$A$2:$A$270,0)),"Not Mapped"))</f>
        <v>Vishnu V</v>
      </c>
      <c r="C202" s="38" t="str">
        <f aca="false" t="array" ref="C202:C202">IF(A202="","",IFERROR(INDEX('CLM &amp; IM Mapping'!$C$2:$C$270,MATCH(TRIM(A202),'CLM &amp; IM Mapping'!$A$2:$A$270,0)),"Not Mapped"))</f>
        <v>Arivind S</v>
      </c>
      <c r="D202" s="38" t="n">
        <v>0</v>
      </c>
      <c r="E202" s="38" t="n">
        <v>32</v>
      </c>
      <c r="F202" s="38"/>
      <c r="G202" s="38" t="n">
        <v>5</v>
      </c>
      <c r="H202" s="38"/>
      <c r="I202" s="38"/>
      <c r="J202" s="38" t="n">
        <v>37</v>
      </c>
      <c r="K202" s="38" t="n">
        <v>13</v>
      </c>
      <c r="L202" s="12"/>
      <c r="M202" s="12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customFormat="false" ht="15.75" hidden="false" customHeight="true" outlineLevel="0" collapsed="false">
      <c r="A203" s="38" t="s">
        <v>103</v>
      </c>
      <c r="B203" s="38" t="str">
        <f aca="false" t="array" ref="B203:B203">IF(A203="","",IFERROR(INDEX('CLM &amp; IM Mapping'!$B$2:$B$270,MATCH(TRIM(A203),'CLM &amp; IM Mapping'!$A$2:$A$270,0)),"Not Mapped"))</f>
        <v>Arun Raj</v>
      </c>
      <c r="C203" s="38" t="str">
        <f aca="false" t="array" ref="C203:C203">IF(A203="","",IFERROR(INDEX('CLM &amp; IM Mapping'!$C$2:$C$270,MATCH(TRIM(A203),'CLM &amp; IM Mapping'!$A$2:$A$270,0)),"Not Mapped"))</f>
        <v>Simon Manoharan</v>
      </c>
      <c r="D203" s="38" t="n">
        <v>15</v>
      </c>
      <c r="E203" s="38" t="n">
        <v>10</v>
      </c>
      <c r="F203" s="38" t="n">
        <v>5</v>
      </c>
      <c r="G203" s="38" t="n">
        <v>1</v>
      </c>
      <c r="H203" s="38" t="n">
        <v>2</v>
      </c>
      <c r="I203" s="38"/>
      <c r="J203" s="38" t="n">
        <v>33</v>
      </c>
      <c r="K203" s="38" t="n">
        <v>31</v>
      </c>
      <c r="L203" s="12"/>
      <c r="M203" s="12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customFormat="false" ht="15.75" hidden="false" customHeight="true" outlineLevel="0" collapsed="false">
      <c r="A204" s="38" t="s">
        <v>169</v>
      </c>
      <c r="B204" s="38" t="str">
        <f aca="false" t="array" ref="B204:B204">IF(A204="","",IFERROR(INDEX('CLM &amp; IM Mapping'!$B$2:$B$270,MATCH(TRIM(A204),'CLM &amp; IM Mapping'!$A$2:$A$270,0)),"Not Mapped"))</f>
        <v>Arun Raj</v>
      </c>
      <c r="C204" s="38" t="str">
        <f aca="false" t="array" ref="C204:C204">IF(A204="","",IFERROR(INDEX('CLM &amp; IM Mapping'!$C$2:$C$270,MATCH(TRIM(A204),'CLM &amp; IM Mapping'!$A$2:$A$270,0)),"Not Mapped"))</f>
        <v>Simon Manoharan</v>
      </c>
      <c r="D204" s="38" t="n">
        <v>0</v>
      </c>
      <c r="E204" s="38" t="n">
        <v>3</v>
      </c>
      <c r="F204" s="38" t="n">
        <v>0</v>
      </c>
      <c r="G204" s="38" t="n">
        <v>23</v>
      </c>
      <c r="H204" s="38" t="n">
        <v>6</v>
      </c>
      <c r="I204" s="38"/>
      <c r="J204" s="38" t="n">
        <v>32</v>
      </c>
      <c r="K204" s="38" t="n">
        <v>25</v>
      </c>
      <c r="L204" s="12"/>
      <c r="M204" s="12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customFormat="false" ht="15.75" hidden="false" customHeight="true" outlineLevel="0" collapsed="false">
      <c r="A205" s="38" t="s">
        <v>280</v>
      </c>
      <c r="B205" s="38" t="str">
        <f aca="false" t="array" ref="B205:B205">IF(A205="","",IFERROR(INDEX('CLM &amp; IM Mapping'!$B$2:$B$270,MATCH(TRIM(A205),'CLM &amp; IM Mapping'!$A$2:$A$270,0)),"Not Mapped"))</f>
        <v>Santhosha M</v>
      </c>
      <c r="C205" s="38" t="str">
        <f aca="false" t="array" ref="C205:C205">IF(A205="","",IFERROR(INDEX('CLM &amp; IM Mapping'!$C$2:$C$270,MATCH(TRIM(A205),'CLM &amp; IM Mapping'!$A$2:$A$270,0)),"Not Mapped"))</f>
        <v>Aravind S</v>
      </c>
      <c r="D205" s="38" t="n">
        <v>19</v>
      </c>
      <c r="E205" s="38" t="n">
        <v>4</v>
      </c>
      <c r="F205" s="38" t="n">
        <v>2</v>
      </c>
      <c r="G205" s="38" t="n">
        <v>0</v>
      </c>
      <c r="H205" s="38" t="n">
        <v>1</v>
      </c>
      <c r="I205" s="38" t="n">
        <v>0</v>
      </c>
      <c r="J205" s="38" t="n">
        <v>26</v>
      </c>
      <c r="K205" s="38" t="n">
        <v>26</v>
      </c>
      <c r="L205" s="12"/>
      <c r="M205" s="12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customFormat="false" ht="15.75" hidden="false" customHeight="true" outlineLevel="0" collapsed="false">
      <c r="A206" s="38" t="s">
        <v>250</v>
      </c>
      <c r="B206" s="38" t="str">
        <f aca="false" t="array" ref="B206:B206">IF(A206="","",IFERROR(INDEX('CLM &amp; IM Mapping'!$B$2:$B$270,MATCH(TRIM(A206),'CLM &amp; IM Mapping'!$A$2:$A$270,0)),"Not Mapped"))</f>
        <v>John Britto</v>
      </c>
      <c r="C206" s="38" t="str">
        <f aca="false" t="array" ref="C206:C206">IF(A206="","",IFERROR(INDEX('CLM &amp; IM Mapping'!$C$2:$C$270,MATCH(TRIM(A206),'CLM &amp; IM Mapping'!$A$2:$A$270,0)),"Not Mapped"))</f>
        <v>Aravind S</v>
      </c>
      <c r="D206" s="38" t="n">
        <v>0</v>
      </c>
      <c r="E206" s="38" t="n">
        <v>15</v>
      </c>
      <c r="F206" s="38" t="n">
        <v>0</v>
      </c>
      <c r="G206" s="38" t="n">
        <v>9</v>
      </c>
      <c r="H206" s="38" t="n">
        <v>0</v>
      </c>
      <c r="I206" s="38" t="n">
        <v>0</v>
      </c>
      <c r="J206" s="38" t="n">
        <v>24</v>
      </c>
      <c r="K206" s="38" t="n">
        <v>24</v>
      </c>
      <c r="L206" s="12"/>
      <c r="M206" s="12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customFormat="false" ht="15.75" hidden="false" customHeight="true" outlineLevel="0" collapsed="false">
      <c r="A207" s="38" t="s">
        <v>287</v>
      </c>
      <c r="B207" s="38" t="str">
        <f aca="false" t="array" ref="B207:B207">IF(A207="","",IFERROR(INDEX('CLM &amp; IM Mapping'!$B$2:$B$270,MATCH(TRIM(A207),'CLM &amp; IM Mapping'!$A$2:$A$270,0)),"Not Mapped"))</f>
        <v>Balaji G</v>
      </c>
      <c r="C207" s="38" t="str">
        <f aca="false" t="array" ref="C207:C207">IF(A207="","",IFERROR(INDEX('CLM &amp; IM Mapping'!$C$2:$C$270,MATCH(TRIM(A207),'CLM &amp; IM Mapping'!$A$2:$A$270,0)),"Not Mapped"))</f>
        <v>Mohammed Akbar</v>
      </c>
      <c r="D207" s="38" t="n">
        <v>9</v>
      </c>
      <c r="E207" s="38" t="n">
        <v>3</v>
      </c>
      <c r="F207" s="38" t="n">
        <v>4</v>
      </c>
      <c r="G207" s="38" t="n">
        <v>4</v>
      </c>
      <c r="H207" s="38" t="n">
        <v>1</v>
      </c>
      <c r="I207" s="38" t="n">
        <v>3</v>
      </c>
      <c r="J207" s="38" t="n">
        <v>24</v>
      </c>
      <c r="K207" s="38" t="n">
        <v>24</v>
      </c>
      <c r="L207" s="12"/>
      <c r="M207" s="12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customFormat="false" ht="15.75" hidden="false" customHeight="true" outlineLevel="0" collapsed="false">
      <c r="A208" s="38" t="s">
        <v>170</v>
      </c>
      <c r="B208" s="38" t="str">
        <f aca="false" t="array" ref="B208:B208">IF(A208="","",IFERROR(INDEX('CLM &amp; IM Mapping'!$B$2:$B$270,MATCH(TRIM(A208),'CLM &amp; IM Mapping'!$A$2:$A$270,0)),"Not Mapped"))</f>
        <v>John Britto</v>
      </c>
      <c r="C208" s="38" t="str">
        <f aca="false" t="array" ref="C208:C208">IF(A208="","",IFERROR(INDEX('CLM &amp; IM Mapping'!$C$2:$C$270,MATCH(TRIM(A208),'CLM &amp; IM Mapping'!$A$2:$A$270,0)),"Not Mapped"))</f>
        <v>Aravind S</v>
      </c>
      <c r="D208" s="38" t="n">
        <v>0</v>
      </c>
      <c r="E208" s="38" t="n">
        <v>22</v>
      </c>
      <c r="F208" s="38" t="n">
        <v>0</v>
      </c>
      <c r="G208" s="38" t="n">
        <v>1</v>
      </c>
      <c r="H208" s="38" t="n">
        <v>0</v>
      </c>
      <c r="I208" s="38" t="n">
        <v>1</v>
      </c>
      <c r="J208" s="38" t="n">
        <v>24</v>
      </c>
      <c r="K208" s="38" t="n">
        <v>24</v>
      </c>
      <c r="L208" s="12"/>
      <c r="M208" s="12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customFormat="false" ht="15.75" hidden="false" customHeight="true" outlineLevel="0" collapsed="false">
      <c r="A209" s="38" t="s">
        <v>143</v>
      </c>
      <c r="B209" s="38" t="str">
        <f aca="false" t="array" ref="B209:B209">IF(A209="","",IFERROR(INDEX('CLM &amp; IM Mapping'!$B$2:$B$270,MATCH(TRIM(A209),'CLM &amp; IM Mapping'!$A$2:$A$270,0)),"Not Mapped"))</f>
        <v>Ravishankar gowda</v>
      </c>
      <c r="C209" s="38" t="str">
        <f aca="false" t="array" ref="C209:C209">IF(A209="","",IFERROR(INDEX('CLM &amp; IM Mapping'!$C$2:$C$270,MATCH(TRIM(A209),'CLM &amp; IM Mapping'!$A$2:$A$270,0)),"Not Mapped"))</f>
        <v>Kishor K</v>
      </c>
      <c r="D209" s="38" t="n">
        <v>2</v>
      </c>
      <c r="E209" s="38" t="n">
        <v>0</v>
      </c>
      <c r="F209" s="38" t="n">
        <v>0</v>
      </c>
      <c r="G209" s="38" t="n">
        <v>2</v>
      </c>
      <c r="H209" s="38" t="n">
        <v>5</v>
      </c>
      <c r="I209" s="38" t="n">
        <v>15</v>
      </c>
      <c r="J209" s="38" t="n">
        <v>24</v>
      </c>
      <c r="K209" s="38" t="n">
        <v>24</v>
      </c>
      <c r="L209" s="12"/>
      <c r="M209" s="12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customFormat="false" ht="15.75" hidden="false" customHeight="true" outlineLevel="0" collapsed="false">
      <c r="A210" s="38" t="s">
        <v>198</v>
      </c>
      <c r="B210" s="38" t="str">
        <f aca="false" t="array" ref="B210:B210">IF(A210="","",IFERROR(INDEX('CLM &amp; IM Mapping'!$B$2:$B$270,MATCH(TRIM(A210),'CLM &amp; IM Mapping'!$A$2:$A$270,0)),"Not Mapped"))</f>
        <v>Arun Raj</v>
      </c>
      <c r="C210" s="38" t="str">
        <f aca="false" t="array" ref="C210:C210">IF(A210="","",IFERROR(INDEX('CLM &amp; IM Mapping'!$C$2:$C$270,MATCH(TRIM(A210),'CLM &amp; IM Mapping'!$A$2:$A$270,0)),"Not Mapped"))</f>
        <v>Simon Manoharan</v>
      </c>
      <c r="D210" s="38" t="n">
        <v>0</v>
      </c>
      <c r="E210" s="38" t="n">
        <v>0</v>
      </c>
      <c r="F210" s="38" t="n">
        <v>0</v>
      </c>
      <c r="G210" s="38" t="n">
        <v>21</v>
      </c>
      <c r="H210" s="38" t="n">
        <v>2</v>
      </c>
      <c r="I210" s="38"/>
      <c r="J210" s="38" t="n">
        <v>23</v>
      </c>
      <c r="K210" s="38" t="n">
        <v>22</v>
      </c>
      <c r="L210" s="12"/>
      <c r="M210" s="12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customFormat="false" ht="15.75" hidden="false" customHeight="true" outlineLevel="0" collapsed="false">
      <c r="A211" s="38" t="s">
        <v>200</v>
      </c>
      <c r="B211" s="38" t="str">
        <f aca="false" t="array" ref="B211:B211">IF(A211="","",IFERROR(INDEX('CLM &amp; IM Mapping'!$B$2:$B$270,MATCH(TRIM(A211),'CLM &amp; IM Mapping'!$A$2:$A$270,0)),"Not Mapped"))</f>
        <v>John Britto</v>
      </c>
      <c r="C211" s="38" t="str">
        <f aca="false" t="array" ref="C211:C211">IF(A211="","",IFERROR(INDEX('CLM &amp; IM Mapping'!$C$2:$C$270,MATCH(TRIM(A211),'CLM &amp; IM Mapping'!$A$2:$A$270,0)),"Not Mapped"))</f>
        <v>Aravind S</v>
      </c>
      <c r="D211" s="38" t="n">
        <v>0</v>
      </c>
      <c r="E211" s="38" t="n">
        <v>0</v>
      </c>
      <c r="F211" s="38" t="n">
        <v>1</v>
      </c>
      <c r="G211" s="38" t="n">
        <v>0</v>
      </c>
      <c r="H211" s="38" t="n">
        <v>0</v>
      </c>
      <c r="I211" s="38" t="n">
        <v>22</v>
      </c>
      <c r="J211" s="38" t="n">
        <v>23</v>
      </c>
      <c r="K211" s="38" t="n">
        <v>1</v>
      </c>
      <c r="L211" s="12"/>
      <c r="M211" s="12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customFormat="false" ht="15.75" hidden="false" customHeight="true" outlineLevel="0" collapsed="false">
      <c r="A212" s="38" t="s">
        <v>164</v>
      </c>
      <c r="B212" s="38" t="str">
        <f aca="false" t="array" ref="B212:B212">IF(A212="","",IFERROR(INDEX('CLM &amp; IM Mapping'!$B$2:$B$270,MATCH(TRIM(A212),'CLM &amp; IM Mapping'!$A$2:$A$270,0)),"Not Mapped"))</f>
        <v>Akshay P</v>
      </c>
      <c r="C212" s="38" t="str">
        <f aca="false" t="array" ref="C212:C212">IF(A212="","",IFERROR(INDEX('CLM &amp; IM Mapping'!$C$2:$C$270,MATCH(TRIM(A212),'CLM &amp; IM Mapping'!$A$2:$A$270,0)),"Not Mapped"))</f>
        <v>Srittam Dhal</v>
      </c>
      <c r="D212" s="38" t="n">
        <v>0</v>
      </c>
      <c r="E212" s="38" t="n">
        <v>0</v>
      </c>
      <c r="F212" s="38" t="n">
        <v>0</v>
      </c>
      <c r="G212" s="38" t="n">
        <v>1</v>
      </c>
      <c r="H212" s="38" t="n">
        <v>0</v>
      </c>
      <c r="I212" s="38" t="n">
        <v>22</v>
      </c>
      <c r="J212" s="38" t="n">
        <v>23</v>
      </c>
      <c r="K212" s="38" t="n">
        <v>23</v>
      </c>
      <c r="L212" s="12"/>
      <c r="M212" s="12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customFormat="false" ht="15.75" hidden="false" customHeight="true" outlineLevel="0" collapsed="false">
      <c r="A213" s="38" t="s">
        <v>67</v>
      </c>
      <c r="B213" s="38" t="str">
        <f aca="false" t="array" ref="B213:B213">IF(A213="","",IFERROR(INDEX('CLM &amp; IM Mapping'!$B$2:$B$270,MATCH(TRIM(A213),'CLM &amp; IM Mapping'!$A$2:$A$270,0)),"Not Mapped"))</f>
        <v>Arun Raj</v>
      </c>
      <c r="C213" s="38" t="str">
        <f aca="false" t="array" ref="C213:C213">IF(A213="","",IFERROR(INDEX('CLM &amp; IM Mapping'!$C$2:$C$270,MATCH(TRIM(A213),'CLM &amp; IM Mapping'!$A$2:$A$270,0)),"Not Mapped"))</f>
        <v>Simon Manoharan</v>
      </c>
      <c r="D213" s="38" t="n">
        <v>14</v>
      </c>
      <c r="E213" s="38" t="n">
        <v>0</v>
      </c>
      <c r="F213" s="38" t="n">
        <v>8</v>
      </c>
      <c r="G213" s="38" t="n">
        <v>0</v>
      </c>
      <c r="H213" s="38" t="n">
        <v>0</v>
      </c>
      <c r="I213" s="38"/>
      <c r="J213" s="38" t="n">
        <v>22</v>
      </c>
      <c r="K213" s="38" t="n">
        <v>22</v>
      </c>
      <c r="L213" s="12"/>
      <c r="M213" s="12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customFormat="false" ht="15.75" hidden="false" customHeight="true" outlineLevel="0" collapsed="false">
      <c r="A214" s="38" t="s">
        <v>153</v>
      </c>
      <c r="B214" s="38" t="str">
        <f aca="false" t="array" ref="B214:B214">IF(A214="","",IFERROR(INDEX('CLM &amp; IM Mapping'!$B$2:$B$270,MATCH(TRIM(A214),'CLM &amp; IM Mapping'!$A$2:$A$270,0)),"Not Mapped"))</f>
        <v>Vishnu V</v>
      </c>
      <c r="C214" s="38" t="str">
        <f aca="false" t="array" ref="C214:C214">IF(A214="","",IFERROR(INDEX('CLM &amp; IM Mapping'!$C$2:$C$270,MATCH(TRIM(A214),'CLM &amp; IM Mapping'!$A$2:$A$270,0)),"Not Mapped"))</f>
        <v>Arivind S</v>
      </c>
      <c r="D214" s="38" t="n">
        <v>0</v>
      </c>
      <c r="E214" s="38" t="n">
        <v>0</v>
      </c>
      <c r="F214" s="38" t="n">
        <v>0</v>
      </c>
      <c r="G214" s="38" t="n">
        <v>5</v>
      </c>
      <c r="H214" s="38" t="n">
        <v>0</v>
      </c>
      <c r="I214" s="38" t="n">
        <v>17</v>
      </c>
      <c r="J214" s="38" t="n">
        <v>22</v>
      </c>
      <c r="K214" s="38" t="n">
        <v>22</v>
      </c>
      <c r="L214" s="12"/>
      <c r="M214" s="12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customFormat="false" ht="15.75" hidden="false" customHeight="true" outlineLevel="0" collapsed="false">
      <c r="A215" s="38" t="s">
        <v>317</v>
      </c>
      <c r="B215" s="38" t="str">
        <f aca="false" t="array" ref="B215:B215">IF(A215="","",IFERROR(INDEX('CLM &amp; IM Mapping'!$B$2:$B$270,MATCH(TRIM(A215),'CLM &amp; IM Mapping'!$A$2:$A$270,0)),"Not Mapped"))</f>
        <v>Arun Raj</v>
      </c>
      <c r="C215" s="38" t="str">
        <f aca="false" t="array" ref="C215:C215">IF(A215="","",IFERROR(INDEX('CLM &amp; IM Mapping'!$C$2:$C$270,MATCH(TRIM(A215),'CLM &amp; IM Mapping'!$A$2:$A$270,0)),"Not Mapped"))</f>
        <v>Simon Manoharan</v>
      </c>
      <c r="D215" s="38" t="n">
        <v>0</v>
      </c>
      <c r="E215" s="38" t="n">
        <v>18</v>
      </c>
      <c r="F215" s="38"/>
      <c r="G215" s="38" t="n">
        <v>2</v>
      </c>
      <c r="H215" s="38"/>
      <c r="I215" s="38"/>
      <c r="J215" s="38" t="n">
        <v>20</v>
      </c>
      <c r="K215" s="38" t="n">
        <v>3</v>
      </c>
      <c r="L215" s="12"/>
      <c r="M215" s="12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customFormat="false" ht="15.75" hidden="false" customHeight="true" outlineLevel="0" collapsed="false">
      <c r="A216" s="38" t="s">
        <v>270</v>
      </c>
      <c r="B216" s="38" t="str">
        <f aca="false" t="array" ref="B216:B216">IF(A216="","",IFERROR(INDEX('CLM &amp; IM Mapping'!$B$2:$B$270,MATCH(TRIM(A216),'CLM &amp; IM Mapping'!$A$2:$A$270,0)),"Not Mapped"))</f>
        <v>Arun Raj</v>
      </c>
      <c r="C216" s="38" t="str">
        <f aca="false" t="array" ref="C216:C216">IF(A216="","",IFERROR(INDEX('CLM &amp; IM Mapping'!$C$2:$C$270,MATCH(TRIM(A216),'CLM &amp; IM Mapping'!$A$2:$A$270,0)),"Not Mapped"))</f>
        <v>Simon Manoharan</v>
      </c>
      <c r="D216" s="38" t="n">
        <v>0</v>
      </c>
      <c r="E216" s="38" t="n">
        <v>2</v>
      </c>
      <c r="F216" s="38" t="n">
        <v>4</v>
      </c>
      <c r="G216" s="38" t="n">
        <v>3</v>
      </c>
      <c r="H216" s="38" t="n">
        <v>11</v>
      </c>
      <c r="I216" s="38"/>
      <c r="J216" s="38" t="n">
        <v>20</v>
      </c>
      <c r="K216" s="38" t="n">
        <v>11</v>
      </c>
      <c r="L216" s="12"/>
      <c r="M216" s="12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customFormat="false" ht="15.75" hidden="false" customHeight="true" outlineLevel="0" collapsed="false">
      <c r="A217" s="38" t="s">
        <v>244</v>
      </c>
      <c r="B217" s="38" t="str">
        <f aca="false" t="array" ref="B217:B217">IF(A217="","",IFERROR(INDEX('CLM &amp; IM Mapping'!$B$2:$B$270,MATCH(TRIM(A217),'CLM &amp; IM Mapping'!$A$2:$A$270,0)),"Not Mapped"))</f>
        <v>Santhosha M</v>
      </c>
      <c r="C217" s="38" t="str">
        <f aca="false" t="array" ref="C217:C217">IF(A217="","",IFERROR(INDEX('CLM &amp; IM Mapping'!$C$2:$C$270,MATCH(TRIM(A217),'CLM &amp; IM Mapping'!$A$2:$A$270,0)),"Not Mapped"))</f>
        <v>Aravind S</v>
      </c>
      <c r="D217" s="38" t="n">
        <v>2</v>
      </c>
      <c r="E217" s="38" t="n">
        <v>4</v>
      </c>
      <c r="F217" s="38" t="n">
        <v>11</v>
      </c>
      <c r="G217" s="38" t="n">
        <v>3</v>
      </c>
      <c r="H217" s="38" t="n">
        <v>0</v>
      </c>
      <c r="I217" s="38" t="n">
        <v>0</v>
      </c>
      <c r="J217" s="38" t="n">
        <v>20</v>
      </c>
      <c r="K217" s="38" t="n">
        <v>15</v>
      </c>
      <c r="L217" s="12"/>
      <c r="M217" s="12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customFormat="false" ht="15.75" hidden="false" customHeight="true" outlineLevel="0" collapsed="false">
      <c r="A218" s="38" t="s">
        <v>177</v>
      </c>
      <c r="B218" s="38" t="str">
        <f aca="false" t="array" ref="B218:B218">IF(A218="","",IFERROR(INDEX('CLM &amp; IM Mapping'!$B$2:$B$270,MATCH(TRIM(A218),'CLM &amp; IM Mapping'!$A$2:$A$270,0)),"Not Mapped"))</f>
        <v>Arun Raj</v>
      </c>
      <c r="C218" s="38" t="str">
        <f aca="false" t="array" ref="C218:C218">IF(A218="","",IFERROR(INDEX('CLM &amp; IM Mapping'!$C$2:$C$270,MATCH(TRIM(A218),'CLM &amp; IM Mapping'!$A$2:$A$270,0)),"Not Mapped"))</f>
        <v>Simon Manoharan</v>
      </c>
      <c r="D218" s="38" t="n">
        <v>0</v>
      </c>
      <c r="E218" s="38" t="n">
        <v>3</v>
      </c>
      <c r="F218" s="38"/>
      <c r="G218" s="38" t="n">
        <v>14</v>
      </c>
      <c r="H218" s="38" t="n">
        <v>1</v>
      </c>
      <c r="I218" s="38"/>
      <c r="J218" s="38" t="n">
        <v>18</v>
      </c>
      <c r="K218" s="38" t="n">
        <v>15</v>
      </c>
      <c r="L218" s="12"/>
      <c r="M218" s="12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customFormat="false" ht="15.75" hidden="false" customHeight="true" outlineLevel="0" collapsed="false">
      <c r="A219" s="38" t="s">
        <v>109</v>
      </c>
      <c r="B219" s="38" t="str">
        <f aca="false" t="array" ref="B219:B219">IF(A219="","",IFERROR(INDEX('CLM &amp; IM Mapping'!$B$2:$B$270,MATCH(TRIM(A219),'CLM &amp; IM Mapping'!$A$2:$A$270,0)),"Not Mapped"))</f>
        <v>Arun Raj</v>
      </c>
      <c r="C219" s="38" t="str">
        <f aca="false" t="array" ref="C219:C219">IF(A219="","",IFERROR(INDEX('CLM &amp; IM Mapping'!$C$2:$C$270,MATCH(TRIM(A219),'CLM &amp; IM Mapping'!$A$2:$A$270,0)),"Not Mapped"))</f>
        <v>Simon Manoharan</v>
      </c>
      <c r="D219" s="38" t="n">
        <v>0</v>
      </c>
      <c r="E219" s="38" t="n">
        <v>4</v>
      </c>
      <c r="F219" s="38"/>
      <c r="G219" s="38" t="n">
        <v>13</v>
      </c>
      <c r="H219" s="38" t="n">
        <v>1</v>
      </c>
      <c r="I219" s="38"/>
      <c r="J219" s="38" t="n">
        <v>18</v>
      </c>
      <c r="K219" s="38" t="n">
        <v>16</v>
      </c>
      <c r="L219" s="12"/>
      <c r="M219" s="12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customFormat="false" ht="15.75" hidden="false" customHeight="true" outlineLevel="0" collapsed="false">
      <c r="A220" s="38" t="s">
        <v>249</v>
      </c>
      <c r="B220" s="38" t="str">
        <f aca="false" t="array" ref="B220:B220">IF(A220="","",IFERROR(INDEX('CLM &amp; IM Mapping'!$B$2:$B$270,MATCH(TRIM(A220),'CLM &amp; IM Mapping'!$A$2:$A$270,0)),"Not Mapped"))</f>
        <v>Saddam Hussain</v>
      </c>
      <c r="C220" s="38" t="str">
        <f aca="false" t="array" ref="C220:C220">IF(A220="","",IFERROR(INDEX('CLM &amp; IM Mapping'!$C$2:$C$270,MATCH(TRIM(A220),'CLM &amp; IM Mapping'!$A$2:$A$270,0)),"Not Mapped"))</f>
        <v>Un Mapped</v>
      </c>
      <c r="D220" s="38" t="n">
        <v>0</v>
      </c>
      <c r="E220" s="38" t="n">
        <v>0</v>
      </c>
      <c r="F220" s="38" t="n">
        <v>0</v>
      </c>
      <c r="G220" s="38" t="n">
        <v>8</v>
      </c>
      <c r="H220" s="38" t="n">
        <v>9</v>
      </c>
      <c r="I220" s="38" t="n">
        <v>0</v>
      </c>
      <c r="J220" s="38" t="n">
        <v>17</v>
      </c>
      <c r="K220" s="38" t="n">
        <v>17</v>
      </c>
      <c r="L220" s="12"/>
      <c r="M220" s="12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customFormat="false" ht="15.75" hidden="false" customHeight="true" outlineLevel="0" collapsed="false">
      <c r="A221" s="38" t="s">
        <v>247</v>
      </c>
      <c r="B221" s="38" t="str">
        <f aca="false" t="array" ref="B221:B221">IF(A221="","",IFERROR(INDEX('CLM &amp; IM Mapping'!$B$2:$B$270,MATCH(TRIM(A221),'CLM &amp; IM Mapping'!$A$2:$A$270,0)),"Not Mapped"))</f>
        <v>Balaji G</v>
      </c>
      <c r="C221" s="38" t="str">
        <f aca="false" t="array" ref="C221:C221">IF(A221="","",IFERROR(INDEX('CLM &amp; IM Mapping'!$C$2:$C$270,MATCH(TRIM(A221),'CLM &amp; IM Mapping'!$A$2:$A$270,0)),"Not Mapped"))</f>
        <v>Mohammed Akbar</v>
      </c>
      <c r="D221" s="38" t="n">
        <v>0</v>
      </c>
      <c r="E221" s="38" t="n">
        <v>0</v>
      </c>
      <c r="F221" s="38" t="n">
        <v>0</v>
      </c>
      <c r="G221" s="38" t="n">
        <v>12</v>
      </c>
      <c r="H221" s="38" t="n">
        <v>0</v>
      </c>
      <c r="I221" s="38" t="n">
        <v>5</v>
      </c>
      <c r="J221" s="38" t="n">
        <v>17</v>
      </c>
      <c r="K221" s="38" t="n">
        <v>17</v>
      </c>
      <c r="L221" s="12"/>
      <c r="M221" s="12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customFormat="false" ht="15.75" hidden="false" customHeight="true" outlineLevel="0" collapsed="false">
      <c r="A222" s="38" t="s">
        <v>276</v>
      </c>
      <c r="B222" s="38" t="str">
        <f aca="false" t="array" ref="B222:B222">IF(A222="","",IFERROR(INDEX('CLM &amp; IM Mapping'!$B$2:$B$270,MATCH(TRIM(A222),'CLM &amp; IM Mapping'!$A$2:$A$270,0)),"Not Mapped"))</f>
        <v>Narasimhamurthy R</v>
      </c>
      <c r="C222" s="38" t="str">
        <f aca="false" t="array" ref="C222:C222">IF(A222="","",IFERROR(INDEX('CLM &amp; IM Mapping'!$C$2:$C$270,MATCH(TRIM(A222),'CLM &amp; IM Mapping'!$A$2:$A$270,0)),"Not Mapped"))</f>
        <v>Kishor K</v>
      </c>
      <c r="D222" s="38" t="n">
        <v>0</v>
      </c>
      <c r="E222" s="38" t="n">
        <v>0</v>
      </c>
      <c r="F222" s="38" t="n">
        <v>4</v>
      </c>
      <c r="G222" s="38" t="n">
        <v>1</v>
      </c>
      <c r="H222" s="38" t="n">
        <v>4</v>
      </c>
      <c r="I222" s="38" t="n">
        <v>7</v>
      </c>
      <c r="J222" s="38" t="n">
        <v>16</v>
      </c>
      <c r="K222" s="38" t="n">
        <v>12</v>
      </c>
      <c r="L222" s="12"/>
      <c r="M222" s="12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customFormat="false" ht="15.75" hidden="false" customHeight="true" outlineLevel="0" collapsed="false">
      <c r="A223" s="38" t="s">
        <v>252</v>
      </c>
      <c r="B223" s="38" t="str">
        <f aca="false" t="array" ref="B223:B223">IF(A223="","",IFERROR(INDEX('CLM &amp; IM Mapping'!$B$2:$B$270,MATCH(TRIM(A223),'CLM &amp; IM Mapping'!$A$2:$A$270,0)),"Not Mapped"))</f>
        <v>Arun Raj</v>
      </c>
      <c r="C223" s="38" t="str">
        <f aca="false" t="array" ref="C223:C223">IF(A223="","",IFERROR(INDEX('CLM &amp; IM Mapping'!$C$2:$C$270,MATCH(TRIM(A223),'CLM &amp; IM Mapping'!$A$2:$A$270,0)),"Not Mapped"))</f>
        <v>Simon Manoharan</v>
      </c>
      <c r="D223" s="38" t="n">
        <v>0</v>
      </c>
      <c r="E223" s="38" t="n">
        <v>6</v>
      </c>
      <c r="F223" s="38" t="n">
        <v>0</v>
      </c>
      <c r="G223" s="38" t="n">
        <v>7</v>
      </c>
      <c r="H223" s="38" t="n">
        <v>3</v>
      </c>
      <c r="I223" s="38"/>
      <c r="J223" s="38" t="n">
        <v>16</v>
      </c>
      <c r="K223" s="38" t="n">
        <v>16</v>
      </c>
      <c r="L223" s="12"/>
      <c r="M223" s="12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customFormat="false" ht="15.75" hidden="false" customHeight="true" outlineLevel="0" collapsed="false">
      <c r="A224" s="38" t="s">
        <v>260</v>
      </c>
      <c r="B224" s="38" t="str">
        <f aca="false" t="array" ref="B224:B224">IF(A224="","",IFERROR(INDEX('CLM &amp; IM Mapping'!$B$2:$B$270,MATCH(TRIM(A224),'CLM &amp; IM Mapping'!$A$2:$A$270,0)),"Not Mapped"))</f>
        <v>Silambarasan E</v>
      </c>
      <c r="C224" s="38" t="str">
        <f aca="false" t="array" ref="C224:C224">IF(A224="","",IFERROR(INDEX('CLM &amp; IM Mapping'!$C$2:$C$270,MATCH(TRIM(A224),'CLM &amp; IM Mapping'!$A$2:$A$270,0)),"Not Mapped"))</f>
        <v>Arivind S</v>
      </c>
      <c r="D224" s="38" t="n">
        <v>2</v>
      </c>
      <c r="E224" s="38" t="n">
        <v>13</v>
      </c>
      <c r="F224" s="38" t="n">
        <v>0</v>
      </c>
      <c r="G224" s="38" t="n">
        <v>0</v>
      </c>
      <c r="H224" s="38" t="n">
        <v>0</v>
      </c>
      <c r="I224" s="38" t="n">
        <v>0</v>
      </c>
      <c r="J224" s="38" t="n">
        <v>15</v>
      </c>
      <c r="K224" s="38" t="n">
        <v>15</v>
      </c>
      <c r="L224" s="12"/>
      <c r="M224" s="12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customFormat="false" ht="15.75" hidden="false" customHeight="true" outlineLevel="0" collapsed="false">
      <c r="A225" s="38" t="s">
        <v>286</v>
      </c>
      <c r="B225" s="38" t="str">
        <f aca="false" t="array" ref="B225:B225">IF(A225="","",IFERROR(INDEX('CLM &amp; IM Mapping'!$B$2:$B$270,MATCH(TRIM(A225),'CLM &amp; IM Mapping'!$A$2:$A$270,0)),"Not Mapped"))</f>
        <v>Manoj Kj</v>
      </c>
      <c r="C225" s="38" t="str">
        <f aca="false" t="array" ref="C225:C225">IF(A225="","",IFERROR(INDEX('CLM &amp; IM Mapping'!$C$2:$C$270,MATCH(TRIM(A225),'CLM &amp; IM Mapping'!$A$2:$A$270,0)),"Not Mapped"))</f>
        <v>Srittam Dhal</v>
      </c>
      <c r="D225" s="38" t="n">
        <v>1</v>
      </c>
      <c r="E225" s="38" t="n">
        <v>0</v>
      </c>
      <c r="F225" s="38" t="n">
        <v>10</v>
      </c>
      <c r="G225" s="38" t="n">
        <v>0</v>
      </c>
      <c r="H225" s="38" t="n">
        <v>2</v>
      </c>
      <c r="I225" s="38" t="n">
        <v>0</v>
      </c>
      <c r="J225" s="38" t="n">
        <v>13</v>
      </c>
      <c r="K225" s="38" t="n">
        <v>13</v>
      </c>
      <c r="L225" s="12"/>
      <c r="M225" s="12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customFormat="false" ht="15.75" hidden="false" customHeight="true" outlineLevel="0" collapsed="false">
      <c r="A226" s="38" t="s">
        <v>218</v>
      </c>
      <c r="B226" s="38" t="str">
        <f aca="false" t="array" ref="B226:B226">IF(A226="","",IFERROR(INDEX('CLM &amp; IM Mapping'!$B$2:$B$270,MATCH(TRIM(A226),'CLM &amp; IM Mapping'!$A$2:$A$270,0)),"Not Mapped"))</f>
        <v>Arun Raj</v>
      </c>
      <c r="C226" s="38" t="str">
        <f aca="false" t="array" ref="C226:C226">IF(A226="","",IFERROR(INDEX('CLM &amp; IM Mapping'!$C$2:$C$270,MATCH(TRIM(A226),'CLM &amp; IM Mapping'!$A$2:$A$270,0)),"Not Mapped"))</f>
        <v>Simon Manoharan</v>
      </c>
      <c r="D226" s="38" t="n">
        <v>1</v>
      </c>
      <c r="E226" s="38" t="n">
        <v>4</v>
      </c>
      <c r="F226" s="38" t="n">
        <v>0</v>
      </c>
      <c r="G226" s="38" t="n">
        <v>5</v>
      </c>
      <c r="H226" s="38" t="n">
        <v>3</v>
      </c>
      <c r="I226" s="38"/>
      <c r="J226" s="38" t="n">
        <v>13</v>
      </c>
      <c r="K226" s="38" t="n">
        <v>11</v>
      </c>
      <c r="L226" s="12"/>
      <c r="M226" s="12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customFormat="false" ht="15.75" hidden="false" customHeight="true" outlineLevel="0" collapsed="false">
      <c r="A227" s="38" t="s">
        <v>174</v>
      </c>
      <c r="B227" s="38" t="str">
        <f aca="false" t="array" ref="B227:B227">IF(A227="","",IFERROR(INDEX('CLM &amp; IM Mapping'!$B$2:$B$270,MATCH(TRIM(A227),'CLM &amp; IM Mapping'!$A$2:$A$270,0)),"Not Mapped"))</f>
        <v>Raghavendra Vernekar</v>
      </c>
      <c r="C227" s="38" t="str">
        <f aca="false" t="array" ref="C227:C227">IF(A227="","",IFERROR(INDEX('CLM &amp; IM Mapping'!$C$2:$C$270,MATCH(TRIM(A227),'CLM &amp; IM Mapping'!$A$2:$A$270,0)),"Not Mapped"))</f>
        <v>Prakash BS</v>
      </c>
      <c r="D227" s="38" t="n">
        <v>0</v>
      </c>
      <c r="E227" s="38" t="n">
        <v>0</v>
      </c>
      <c r="F227" s="38" t="n">
        <v>0</v>
      </c>
      <c r="G227" s="38" t="n">
        <v>11</v>
      </c>
      <c r="H227" s="38" t="n">
        <v>0</v>
      </c>
      <c r="I227" s="38" t="n">
        <v>0</v>
      </c>
      <c r="J227" s="38" t="n">
        <v>11</v>
      </c>
      <c r="K227" s="38" t="n">
        <v>11</v>
      </c>
      <c r="L227" s="12"/>
      <c r="M227" s="12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customFormat="false" ht="15.75" hidden="false" customHeight="true" outlineLevel="0" collapsed="false">
      <c r="A228" s="38" t="s">
        <v>159</v>
      </c>
      <c r="B228" s="38" t="str">
        <f aca="false" t="array" ref="B228:B228">IF(A228="","",IFERROR(INDEX('CLM &amp; IM Mapping'!$B$2:$B$270,MATCH(TRIM(A228),'CLM &amp; IM Mapping'!$A$2:$A$270,0)),"Not Mapped"))</f>
        <v>Santhosha M</v>
      </c>
      <c r="C228" s="38" t="str">
        <f aca="false" t="array" ref="C228:C228">IF(A228="","",IFERROR(INDEX('CLM &amp; IM Mapping'!$C$2:$C$270,MATCH(TRIM(A228),'CLM &amp; IM Mapping'!$A$2:$A$270,0)),"Not Mapped"))</f>
        <v>Aravind S</v>
      </c>
      <c r="D228" s="38" t="n">
        <v>0</v>
      </c>
      <c r="E228" s="38" t="n">
        <v>9</v>
      </c>
      <c r="F228" s="38" t="n">
        <v>0</v>
      </c>
      <c r="G228" s="38" t="n">
        <v>1</v>
      </c>
      <c r="H228" s="38" t="n">
        <v>0</v>
      </c>
      <c r="I228" s="38" t="n">
        <v>0</v>
      </c>
      <c r="J228" s="38" t="n">
        <v>10</v>
      </c>
      <c r="K228" s="38" t="n">
        <v>1</v>
      </c>
      <c r="L228" s="12"/>
      <c r="M228" s="12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customFormat="false" ht="15.75" hidden="false" customHeight="true" outlineLevel="0" collapsed="false">
      <c r="A229" s="38" t="s">
        <v>117</v>
      </c>
      <c r="B229" s="38" t="str">
        <f aca="false" t="array" ref="B229:B229">IF(A229="","",IFERROR(INDEX('CLM &amp; IM Mapping'!$B$2:$B$270,MATCH(TRIM(A229),'CLM &amp; IM Mapping'!$A$2:$A$270,0)),"Not Mapped"))</f>
        <v>Arun Raj</v>
      </c>
      <c r="C229" s="38" t="str">
        <f aca="false" t="array" ref="C229:C229">IF(A229="","",IFERROR(INDEX('CLM &amp; IM Mapping'!$C$2:$C$270,MATCH(TRIM(A229),'CLM &amp; IM Mapping'!$A$2:$A$270,0)),"Not Mapped"))</f>
        <v>Simon Manoharan</v>
      </c>
      <c r="D229" s="38" t="n">
        <v>6</v>
      </c>
      <c r="E229" s="38" t="n">
        <v>1</v>
      </c>
      <c r="F229" s="38" t="n">
        <v>0</v>
      </c>
      <c r="G229" s="38" t="n">
        <v>0</v>
      </c>
      <c r="H229" s="38" t="n">
        <v>3</v>
      </c>
      <c r="I229" s="38"/>
      <c r="J229" s="38" t="n">
        <v>10</v>
      </c>
      <c r="K229" s="38" t="n">
        <v>10</v>
      </c>
      <c r="L229" s="12"/>
      <c r="M229" s="12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customFormat="false" ht="15.75" hidden="false" customHeight="true" outlineLevel="0" collapsed="false">
      <c r="A230" s="38" t="s">
        <v>167</v>
      </c>
      <c r="B230" s="38" t="str">
        <f aca="false" t="array" ref="B230:B230">IF(A230="","",IFERROR(INDEX('CLM &amp; IM Mapping'!$B$2:$B$270,MATCH(TRIM(A230),'CLM &amp; IM Mapping'!$A$2:$A$270,0)),"Not Mapped"))</f>
        <v>Ravishankar gowda</v>
      </c>
      <c r="C230" s="38" t="str">
        <f aca="false" t="array" ref="C230:C230">IF(A230="","",IFERROR(INDEX('CLM &amp; IM Mapping'!$C$2:$C$270,MATCH(TRIM(A230),'CLM &amp; IM Mapping'!$A$2:$A$270,0)),"Not Mapped"))</f>
        <v>Kishor K</v>
      </c>
      <c r="D230" s="38" t="n">
        <v>0</v>
      </c>
      <c r="E230" s="38" t="n">
        <v>3</v>
      </c>
      <c r="F230" s="38" t="n">
        <v>0</v>
      </c>
      <c r="G230" s="38" t="n">
        <v>5</v>
      </c>
      <c r="H230" s="38" t="n">
        <v>0</v>
      </c>
      <c r="I230" s="38" t="n">
        <v>1</v>
      </c>
      <c r="J230" s="38" t="n">
        <v>9</v>
      </c>
      <c r="K230" s="38" t="n">
        <v>7</v>
      </c>
      <c r="L230" s="12"/>
      <c r="M230" s="12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customFormat="false" ht="15.75" hidden="false" customHeight="true" outlineLevel="0" collapsed="false">
      <c r="A231" s="38" t="s">
        <v>224</v>
      </c>
      <c r="B231" s="38" t="str">
        <f aca="false" t="array" ref="B231:B231">IF(A231="","",IFERROR(INDEX('CLM &amp; IM Mapping'!$B$2:$B$270,MATCH(TRIM(A231),'CLM &amp; IM Mapping'!$A$2:$A$270,0)),"Not Mapped"))</f>
        <v>Santhosha M</v>
      </c>
      <c r="C231" s="38" t="str">
        <f aca="false" t="array" ref="C231:C231">IF(A231="","",IFERROR(INDEX('CLM &amp; IM Mapping'!$C$2:$C$270,MATCH(TRIM(A231),'CLM &amp; IM Mapping'!$A$2:$A$270,0)),"Not Mapped"))</f>
        <v>Aravind S</v>
      </c>
      <c r="D231" s="38" t="n">
        <v>1</v>
      </c>
      <c r="E231" s="38" t="n">
        <v>0</v>
      </c>
      <c r="F231" s="38" t="n">
        <v>0</v>
      </c>
      <c r="G231" s="38" t="n">
        <v>4</v>
      </c>
      <c r="H231" s="38" t="n">
        <v>2</v>
      </c>
      <c r="I231" s="38" t="n">
        <v>0</v>
      </c>
      <c r="J231" s="38" t="n">
        <v>7</v>
      </c>
      <c r="K231" s="38" t="n">
        <v>6</v>
      </c>
      <c r="L231" s="12"/>
      <c r="M231" s="12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customFormat="false" ht="15.75" hidden="false" customHeight="true" outlineLevel="0" collapsed="false">
      <c r="A232" s="38" t="s">
        <v>110</v>
      </c>
      <c r="B232" s="38" t="str">
        <f aca="false" t="array" ref="B232:B232">IF(A232="","",IFERROR(INDEX('CLM &amp; IM Mapping'!$B$2:$B$270,MATCH(TRIM(A232),'CLM &amp; IM Mapping'!$A$2:$A$270,0)),"Not Mapped"))</f>
        <v>Arun Raj</v>
      </c>
      <c r="C232" s="38" t="str">
        <f aca="false" t="array" ref="C232:C232">IF(A232="","",IFERROR(INDEX('CLM &amp; IM Mapping'!$C$2:$C$270,MATCH(TRIM(A232),'CLM &amp; IM Mapping'!$A$2:$A$270,0)),"Not Mapped"))</f>
        <v>Simon Manoharan</v>
      </c>
      <c r="D232" s="38" t="n">
        <v>0</v>
      </c>
      <c r="E232" s="38" t="n">
        <v>1</v>
      </c>
      <c r="F232" s="38"/>
      <c r="G232" s="38" t="n">
        <v>6</v>
      </c>
      <c r="H232" s="38"/>
      <c r="I232" s="38"/>
      <c r="J232" s="38" t="n">
        <v>7</v>
      </c>
      <c r="K232" s="38" t="n">
        <v>7</v>
      </c>
      <c r="L232" s="12"/>
      <c r="M232" s="12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customFormat="false" ht="15.75" hidden="false" customHeight="true" outlineLevel="0" collapsed="false">
      <c r="A233" s="38" t="s">
        <v>265</v>
      </c>
      <c r="B233" s="38" t="str">
        <f aca="false" t="array" ref="B233:B233">IF(A233="","",IFERROR(INDEX('CLM &amp; IM Mapping'!$B$2:$B$270,MATCH(TRIM(A233),'CLM &amp; IM Mapping'!$A$2:$A$270,0)),"Not Mapped"))</f>
        <v>Akshay P</v>
      </c>
      <c r="C233" s="38" t="str">
        <f aca="false" t="array" ref="C233:C233">IF(A233="","",IFERROR(INDEX('CLM &amp; IM Mapping'!$C$2:$C$270,MATCH(TRIM(A233),'CLM &amp; IM Mapping'!$A$2:$A$270,0)),"Not Mapped"))</f>
        <v>Srittam Dhal</v>
      </c>
      <c r="D233" s="38" t="n">
        <v>0</v>
      </c>
      <c r="E233" s="38" t="n">
        <v>2</v>
      </c>
      <c r="F233" s="38" t="n">
        <v>2</v>
      </c>
      <c r="G233" s="38" t="n">
        <v>0</v>
      </c>
      <c r="H233" s="38" t="n">
        <v>2</v>
      </c>
      <c r="I233" s="38" t="n">
        <v>0</v>
      </c>
      <c r="J233" s="38" t="n">
        <v>6</v>
      </c>
      <c r="K233" s="38" t="n">
        <v>6</v>
      </c>
      <c r="L233" s="12"/>
      <c r="M233" s="12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customFormat="false" ht="15.75" hidden="false" customHeight="true" outlineLevel="0" collapsed="false">
      <c r="A234" s="38" t="s">
        <v>33</v>
      </c>
      <c r="B234" s="38" t="str">
        <f aca="false" t="array" ref="B234:B234">IF(A234="","",IFERROR(INDEX('CLM &amp; IM Mapping'!$B$2:$B$270,MATCH(TRIM(A234),'CLM &amp; IM Mapping'!$A$2:$A$270,0)),"Not Mapped"))</f>
        <v>Arun Raj</v>
      </c>
      <c r="C234" s="38" t="str">
        <f aca="false" t="array" ref="C234:C234">IF(A234="","",IFERROR(INDEX('CLM &amp; IM Mapping'!$C$2:$C$270,MATCH(TRIM(A234),'CLM &amp; IM Mapping'!$A$2:$A$270,0)),"Not Mapped"))</f>
        <v>Simon Manoharan</v>
      </c>
      <c r="D234" s="38" t="n">
        <v>0</v>
      </c>
      <c r="E234" s="38" t="n">
        <v>0</v>
      </c>
      <c r="F234" s="38" t="n">
        <v>0</v>
      </c>
      <c r="G234" s="38" t="n">
        <v>5</v>
      </c>
      <c r="H234" s="38" t="n">
        <v>1</v>
      </c>
      <c r="I234" s="38"/>
      <c r="J234" s="38" t="n">
        <v>6</v>
      </c>
      <c r="K234" s="38" t="n">
        <v>6</v>
      </c>
      <c r="L234" s="12"/>
      <c r="M234" s="12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customFormat="false" ht="15.75" hidden="false" customHeight="true" outlineLevel="0" collapsed="false">
      <c r="A235" s="38" t="s">
        <v>195</v>
      </c>
      <c r="B235" s="38" t="str">
        <f aca="false" t="array" ref="B235:B235">IF(A235="","",IFERROR(INDEX('CLM &amp; IM Mapping'!$B$2:$B$270,MATCH(TRIM(A235),'CLM &amp; IM Mapping'!$A$2:$A$270,0)),"Not Mapped"))</f>
        <v>Arun Raj</v>
      </c>
      <c r="C235" s="38" t="str">
        <f aca="false" t="array" ref="C235:C235">IF(A235="","",IFERROR(INDEX('CLM &amp; IM Mapping'!$C$2:$C$270,MATCH(TRIM(A235),'CLM &amp; IM Mapping'!$A$2:$A$270,0)),"Not Mapped"))</f>
        <v>Simon Manoharan</v>
      </c>
      <c r="D235" s="38" t="n">
        <v>1</v>
      </c>
      <c r="E235" s="38" t="n">
        <v>3</v>
      </c>
      <c r="F235" s="38"/>
      <c r="G235" s="38" t="n">
        <v>1</v>
      </c>
      <c r="H235" s="38"/>
      <c r="I235" s="38"/>
      <c r="J235" s="38" t="n">
        <v>5</v>
      </c>
      <c r="K235" s="38" t="n">
        <v>4</v>
      </c>
      <c r="L235" s="12"/>
      <c r="M235" s="12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customFormat="false" ht="15.75" hidden="false" customHeight="true" outlineLevel="0" collapsed="false">
      <c r="A236" s="38" t="s">
        <v>211</v>
      </c>
      <c r="B236" s="38" t="str">
        <f aca="false" t="array" ref="B236:B236">IF(A236="","",IFERROR(INDEX('CLM &amp; IM Mapping'!$B$2:$B$270,MATCH(TRIM(A236),'CLM &amp; IM Mapping'!$A$2:$A$270,0)),"Not Mapped"))</f>
        <v>Arun Raj</v>
      </c>
      <c r="C236" s="38" t="str">
        <f aca="false" t="array" ref="C236:C236">IF(A236="","",IFERROR(INDEX('CLM &amp; IM Mapping'!$C$2:$C$270,MATCH(TRIM(A236),'CLM &amp; IM Mapping'!$A$2:$A$270,0)),"Not Mapped"))</f>
        <v>Simon Manoharan</v>
      </c>
      <c r="D236" s="38" t="n">
        <v>1</v>
      </c>
      <c r="E236" s="38" t="n">
        <v>1</v>
      </c>
      <c r="F236" s="38"/>
      <c r="G236" s="38" t="n">
        <v>2</v>
      </c>
      <c r="H236" s="38"/>
      <c r="I236" s="38"/>
      <c r="J236" s="38" t="n">
        <v>4</v>
      </c>
      <c r="K236" s="38" t="n">
        <v>4</v>
      </c>
      <c r="L236" s="12"/>
      <c r="M236" s="12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customFormat="false" ht="15.75" hidden="false" customHeight="true" outlineLevel="0" collapsed="false">
      <c r="A237" s="38" t="s">
        <v>264</v>
      </c>
      <c r="B237" s="38" t="str">
        <f aca="false" t="array" ref="B237:B237">IF(A237="","",IFERROR(INDEX('CLM &amp; IM Mapping'!$B$2:$B$270,MATCH(TRIM(A237),'CLM &amp; IM Mapping'!$A$2:$A$270,0)),"Not Mapped"))</f>
        <v>Arun Raj</v>
      </c>
      <c r="C237" s="38" t="str">
        <f aca="false" t="array" ref="C237:C237">IF(A237="","",IFERROR(INDEX('CLM &amp; IM Mapping'!$C$2:$C$270,MATCH(TRIM(A237),'CLM &amp; IM Mapping'!$A$2:$A$270,0)),"Not Mapped"))</f>
        <v>Simon Manoharan</v>
      </c>
      <c r="D237" s="38"/>
      <c r="E237" s="38" t="n">
        <v>4</v>
      </c>
      <c r="F237" s="38"/>
      <c r="G237" s="38"/>
      <c r="H237" s="38"/>
      <c r="I237" s="38"/>
      <c r="J237" s="38" t="n">
        <v>4</v>
      </c>
      <c r="K237" s="38" t="n">
        <v>3</v>
      </c>
      <c r="L237" s="12"/>
      <c r="M237" s="12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customFormat="false" ht="15.75" hidden="false" customHeight="true" outlineLevel="0" collapsed="false">
      <c r="A238" s="38" t="s">
        <v>25</v>
      </c>
      <c r="B238" s="38" t="str">
        <f aca="false" t="array" ref="B238:B238">IF(A238="","",IFERROR(INDEX('CLM &amp; IM Mapping'!$B$2:$B$270,MATCH(TRIM(A238),'CLM &amp; IM Mapping'!$A$2:$A$270,0)),"Not Mapped"))</f>
        <v>Arun Raj</v>
      </c>
      <c r="C238" s="38" t="str">
        <f aca="false" t="array" ref="C238:C238">IF(A238="","",IFERROR(INDEX('CLM &amp; IM Mapping'!$C$2:$C$270,MATCH(TRIM(A238),'CLM &amp; IM Mapping'!$A$2:$A$270,0)),"Not Mapped"))</f>
        <v>Simon Manoharan</v>
      </c>
      <c r="D238" s="38" t="n">
        <v>0</v>
      </c>
      <c r="E238" s="38" t="n">
        <v>1</v>
      </c>
      <c r="F238" s="38" t="n">
        <v>0</v>
      </c>
      <c r="G238" s="38" t="n">
        <v>2</v>
      </c>
      <c r="H238" s="38" t="n">
        <v>0</v>
      </c>
      <c r="I238" s="38"/>
      <c r="J238" s="38" t="n">
        <v>3</v>
      </c>
      <c r="K238" s="38" t="n">
        <v>2</v>
      </c>
      <c r="L238" s="12"/>
      <c r="M238" s="12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customFormat="false" ht="15.75" hidden="false" customHeight="true" outlineLevel="0" collapsed="false">
      <c r="A239" s="38" t="s">
        <v>222</v>
      </c>
      <c r="B239" s="38" t="str">
        <f aca="false" t="array" ref="B239:B239">IF(A239="","",IFERROR(INDEX('CLM &amp; IM Mapping'!$B$2:$B$270,MATCH(TRIM(A239),'CLM &amp; IM Mapping'!$A$2:$A$270,0)),"Not Mapped"))</f>
        <v>Vishnu V</v>
      </c>
      <c r="C239" s="38" t="str">
        <f aca="false" t="array" ref="C239:C239">IF(A239="","",IFERROR(INDEX('CLM &amp; IM Mapping'!$C$2:$C$270,MATCH(TRIM(A239),'CLM &amp; IM Mapping'!$A$2:$A$270,0)),"Not Mapped"))</f>
        <v>Arivind S</v>
      </c>
      <c r="D239" s="38" t="n">
        <v>0</v>
      </c>
      <c r="E239" s="38" t="n">
        <v>0</v>
      </c>
      <c r="F239" s="38" t="n">
        <v>0</v>
      </c>
      <c r="G239" s="38" t="n">
        <v>1</v>
      </c>
      <c r="H239" s="38" t="n">
        <v>2</v>
      </c>
      <c r="I239" s="38" t="n">
        <v>0</v>
      </c>
      <c r="J239" s="38" t="n">
        <v>3</v>
      </c>
      <c r="K239" s="38" t="n">
        <v>3</v>
      </c>
      <c r="L239" s="12"/>
      <c r="M239" s="12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customFormat="false" ht="15.75" hidden="false" customHeight="true" outlineLevel="0" collapsed="false">
      <c r="A240" s="38" t="s">
        <v>219</v>
      </c>
      <c r="B240" s="38" t="str">
        <f aca="false" t="array" ref="B240:B240">IF(A240="","",IFERROR(INDEX('CLM &amp; IM Mapping'!$B$2:$B$270,MATCH(TRIM(A240),'CLM &amp; IM Mapping'!$A$2:$A$270,0)),"Not Mapped"))</f>
        <v>Vishnu V</v>
      </c>
      <c r="C240" s="38" t="str">
        <f aca="false" t="array" ref="C240:C240">IF(A240="","",IFERROR(INDEX('CLM &amp; IM Mapping'!$C$2:$C$270,MATCH(TRIM(A240),'CLM &amp; IM Mapping'!$A$2:$A$270,0)),"Not Mapped"))</f>
        <v>Arivind S</v>
      </c>
      <c r="D240" s="38" t="n">
        <v>0</v>
      </c>
      <c r="E240" s="38" t="n">
        <v>0</v>
      </c>
      <c r="F240" s="38" t="n">
        <v>0</v>
      </c>
      <c r="G240" s="38" t="n">
        <v>3</v>
      </c>
      <c r="H240" s="38" t="n">
        <v>0</v>
      </c>
      <c r="I240" s="38" t="n">
        <v>0</v>
      </c>
      <c r="J240" s="38" t="n">
        <v>3</v>
      </c>
      <c r="K240" s="38" t="n">
        <v>3</v>
      </c>
      <c r="L240" s="12"/>
      <c r="M240" s="12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customFormat="false" ht="15.75" hidden="false" customHeight="true" outlineLevel="0" collapsed="false">
      <c r="A241" s="38" t="s">
        <v>163</v>
      </c>
      <c r="B241" s="38" t="str">
        <f aca="false" t="array" ref="B241:B241">IF(A241="","",IFERROR(INDEX('CLM &amp; IM Mapping'!$B$2:$B$270,MATCH(TRIM(A241),'CLM &amp; IM Mapping'!$A$2:$A$270,0)),"Not Mapped"))</f>
        <v>Basil Scariya</v>
      </c>
      <c r="C241" s="38" t="str">
        <f aca="false" t="array" ref="C241:C241">IF(A241="","",IFERROR(INDEX('CLM &amp; IM Mapping'!$C$2:$C$270,MATCH(TRIM(A241),'CLM &amp; IM Mapping'!$A$2:$A$270,0)),"Not Mapped"))</f>
        <v>Prakash BS</v>
      </c>
      <c r="D241" s="38" t="n">
        <v>0</v>
      </c>
      <c r="E241" s="38" t="n">
        <v>2</v>
      </c>
      <c r="F241" s="38" t="n">
        <v>0</v>
      </c>
      <c r="G241" s="38" t="n">
        <v>1</v>
      </c>
      <c r="H241" s="38" t="n">
        <v>0</v>
      </c>
      <c r="I241" s="38" t="n">
        <v>0</v>
      </c>
      <c r="J241" s="38" t="n">
        <v>3</v>
      </c>
      <c r="K241" s="38" t="n">
        <v>1</v>
      </c>
      <c r="L241" s="12"/>
      <c r="M241" s="12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customFormat="false" ht="15.75" hidden="false" customHeight="true" outlineLevel="0" collapsed="false">
      <c r="A242" s="38" t="s">
        <v>131</v>
      </c>
      <c r="B242" s="38" t="str">
        <f aca="false" t="array" ref="B242:B242">IF(A242="","",IFERROR(INDEX('CLM &amp; IM Mapping'!$B$2:$B$270,MATCH(TRIM(A242),'CLM &amp; IM Mapping'!$A$2:$A$270,0)),"Not Mapped"))</f>
        <v>Santhosha M</v>
      </c>
      <c r="C242" s="38" t="str">
        <f aca="false" t="array" ref="C242:C242">IF(A242="","",IFERROR(INDEX('CLM &amp; IM Mapping'!$C$2:$C$270,MATCH(TRIM(A242),'CLM &amp; IM Mapping'!$A$2:$A$270,0)),"Not Mapped"))</f>
        <v>Aravind S</v>
      </c>
      <c r="D242" s="38" t="n">
        <v>0</v>
      </c>
      <c r="E242" s="38" t="n">
        <v>0</v>
      </c>
      <c r="F242" s="38" t="n">
        <v>0</v>
      </c>
      <c r="G242" s="38" t="n">
        <v>1</v>
      </c>
      <c r="H242" s="38" t="n">
        <v>0</v>
      </c>
      <c r="I242" s="38" t="n">
        <v>0</v>
      </c>
      <c r="J242" s="38" t="n">
        <v>1</v>
      </c>
      <c r="K242" s="38" t="n">
        <v>1</v>
      </c>
      <c r="L242" s="12"/>
      <c r="M242" s="12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customFormat="false" ht="15.75" hidden="false" customHeight="true" outlineLevel="0" collapsed="false">
      <c r="A243" s="38" t="s">
        <v>172</v>
      </c>
      <c r="B243" s="38" t="str">
        <f aca="false" t="array" ref="B243:B243">IF(A243="","",IFERROR(INDEX('CLM &amp; IM Mapping'!$B$2:$B$270,MATCH(TRIM(A243),'CLM &amp; IM Mapping'!$A$2:$A$270,0)),"Not Mapped"))</f>
        <v>Arun Raj</v>
      </c>
      <c r="C243" s="38" t="str">
        <f aca="false" t="array" ref="C243:C243">IF(A243="","",IFERROR(INDEX('CLM &amp; IM Mapping'!$C$2:$C$270,MATCH(TRIM(A243),'CLM &amp; IM Mapping'!$A$2:$A$270,0)),"Not Mapped"))</f>
        <v>Simon Manoharan</v>
      </c>
      <c r="D243" s="38" t="n">
        <v>0</v>
      </c>
      <c r="E243" s="38" t="n">
        <v>0</v>
      </c>
      <c r="F243" s="38" t="n">
        <v>0</v>
      </c>
      <c r="G243" s="38" t="n">
        <v>1</v>
      </c>
      <c r="H243" s="38"/>
      <c r="I243" s="38"/>
      <c r="J243" s="38" t="n">
        <v>1</v>
      </c>
      <c r="K243" s="38" t="n">
        <v>1</v>
      </c>
      <c r="L243" s="12"/>
      <c r="M243" s="12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customFormat="false" ht="15.75" hidden="false" customHeight="true" outlineLevel="0" collapsed="false">
      <c r="A244" s="38" t="s">
        <v>231</v>
      </c>
      <c r="B244" s="38" t="str">
        <f aca="false" t="array" ref="B244:B244">IF(A244="","",IFERROR(INDEX('CLM &amp; IM Mapping'!$B$2:$B$270,MATCH(TRIM(A244),'CLM &amp; IM Mapping'!$A$2:$A$270,0)),"Not Mapped"))</f>
        <v>Vishnu V</v>
      </c>
      <c r="C244" s="38" t="str">
        <f aca="false" t="array" ref="C244:C244">IF(A244="","",IFERROR(INDEX('CLM &amp; IM Mapping'!$C$2:$C$270,MATCH(TRIM(A244),'CLM &amp; IM Mapping'!$A$2:$A$270,0)),"Not Mapped"))</f>
        <v>Arivind S</v>
      </c>
      <c r="D244" s="38" t="n">
        <v>0</v>
      </c>
      <c r="E244" s="38" t="n">
        <v>0</v>
      </c>
      <c r="F244" s="38" t="n">
        <v>0</v>
      </c>
      <c r="G244" s="38" t="n">
        <v>0</v>
      </c>
      <c r="H244" s="38" t="n">
        <v>0</v>
      </c>
      <c r="I244" s="38" t="n">
        <v>0</v>
      </c>
      <c r="J244" s="38" t="n">
        <v>0</v>
      </c>
      <c r="K244" s="38" t="n">
        <v>0</v>
      </c>
      <c r="L244" s="12"/>
      <c r="M244" s="12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customFormat="false" ht="15.75" hidden="false" customHeight="true" outlineLevel="0" collapsed="false">
      <c r="A245" s="38" t="s">
        <v>315</v>
      </c>
      <c r="B245" s="38" t="str">
        <f aca="false" t="array" ref="B245:B245">IF(A245="","",IFERROR(INDEX('CLM &amp; IM Mapping'!$B$2:$B$270,MATCH(TRIM(A245),'CLM &amp; IM Mapping'!$A$2:$A$270,0)),"Not Mapped"))</f>
        <v>Basil Scariya</v>
      </c>
      <c r="C245" s="38" t="str">
        <f aca="false" t="array" ref="C245:C245">IF(A245="","",IFERROR(INDEX('CLM &amp; IM Mapping'!$C$2:$C$270,MATCH(TRIM(A245),'CLM &amp; IM Mapping'!$A$2:$A$270,0)),"Not Mapped"))</f>
        <v>Prakash BS</v>
      </c>
      <c r="D245" s="38" t="n">
        <v>0</v>
      </c>
      <c r="E245" s="38" t="n">
        <v>0</v>
      </c>
      <c r="F245" s="38"/>
      <c r="G245" s="38"/>
      <c r="H245" s="38"/>
      <c r="I245" s="38" t="n">
        <v>0</v>
      </c>
      <c r="J245" s="38" t="n">
        <v>0</v>
      </c>
      <c r="K245" s="38"/>
      <c r="L245" s="12"/>
      <c r="M245" s="12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customFormat="false" ht="15.75" hidden="false" customHeight="true" outlineLevel="0" collapsed="false">
      <c r="A246" s="38" t="s">
        <v>274</v>
      </c>
      <c r="B246" s="38" t="str">
        <f aca="false" t="array" ref="B246:B246">IF(A246="","",IFERROR(INDEX('CLM &amp; IM Mapping'!$B$2:$B$270,MATCH(TRIM(A246),'CLM &amp; IM Mapping'!$A$2:$A$270,0)),"Not Mapped"))</f>
        <v>Arun Raj</v>
      </c>
      <c r="C246" s="38" t="str">
        <f aca="false" t="array" ref="C246:C246">IF(A246="","",IFERROR(INDEX('CLM &amp; IM Mapping'!$C$2:$C$270,MATCH(TRIM(A246),'CLM &amp; IM Mapping'!$A$2:$A$270,0)),"Not Mapped"))</f>
        <v>Simon Manoharan</v>
      </c>
      <c r="D246" s="38" t="n">
        <v>0</v>
      </c>
      <c r="E246" s="38" t="n">
        <v>0</v>
      </c>
      <c r="F246" s="38" t="n">
        <v>0</v>
      </c>
      <c r="G246" s="38" t="n">
        <v>0</v>
      </c>
      <c r="H246" s="38" t="n">
        <v>0</v>
      </c>
      <c r="I246" s="38"/>
      <c r="J246" s="38" t="n">
        <v>0</v>
      </c>
      <c r="K246" s="38" t="n">
        <v>0</v>
      </c>
      <c r="L246" s="12"/>
      <c r="M246" s="12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customFormat="false" ht="15.75" hidden="false" customHeight="true" outlineLevel="0" collapsed="false">
      <c r="A247" s="38" t="s">
        <v>236</v>
      </c>
      <c r="B247" s="38" t="str">
        <f aca="false" t="array" ref="B247:B247">IF(A247="","",IFERROR(INDEX('CLM &amp; IM Mapping'!$B$2:$B$270,MATCH(TRIM(A247),'CLM &amp; IM Mapping'!$A$2:$A$270,0)),"Not Mapped"))</f>
        <v>Vishnu V</v>
      </c>
      <c r="C247" s="38" t="str">
        <f aca="false" t="array" ref="C247:C247">IF(A247="","",IFERROR(INDEX('CLM &amp; IM Mapping'!$C$2:$C$270,MATCH(TRIM(A247),'CLM &amp; IM Mapping'!$A$2:$A$270,0)),"Not Mapped"))</f>
        <v>Arivind S</v>
      </c>
      <c r="D247" s="38" t="n">
        <v>0</v>
      </c>
      <c r="E247" s="38" t="n">
        <v>0</v>
      </c>
      <c r="F247" s="38" t="n">
        <v>0</v>
      </c>
      <c r="G247" s="38" t="n">
        <v>0</v>
      </c>
      <c r="H247" s="38" t="n">
        <v>0</v>
      </c>
      <c r="I247" s="38" t="n">
        <v>0</v>
      </c>
      <c r="J247" s="38" t="n">
        <v>0</v>
      </c>
      <c r="K247" s="38" t="n">
        <v>0</v>
      </c>
      <c r="L247" s="12"/>
      <c r="M247" s="12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customFormat="false" ht="15.75" hidden="false" customHeight="true" outlineLevel="0" collapsed="false">
      <c r="A248" s="38" t="s">
        <v>246</v>
      </c>
      <c r="B248" s="38" t="str">
        <f aca="false" t="array" ref="B248:B248">IF(A248="","",IFERROR(INDEX('CLM &amp; IM Mapping'!$B$2:$B$270,MATCH(TRIM(A248),'CLM &amp; IM Mapping'!$A$2:$A$270,0)),"Not Mapped"))</f>
        <v>Vishnu V</v>
      </c>
      <c r="C248" s="38" t="str">
        <f aca="false" t="array" ref="C248:C248">IF(A248="","",IFERROR(INDEX('CLM &amp; IM Mapping'!$C$2:$C$270,MATCH(TRIM(A248),'CLM &amp; IM Mapping'!$A$2:$A$270,0)),"Not Mapped"))</f>
        <v>Arivind S</v>
      </c>
      <c r="D248" s="38" t="n">
        <v>0</v>
      </c>
      <c r="E248" s="38" t="n">
        <v>0</v>
      </c>
      <c r="F248" s="38" t="n">
        <v>0</v>
      </c>
      <c r="G248" s="38" t="n">
        <v>0</v>
      </c>
      <c r="H248" s="38" t="n">
        <v>0</v>
      </c>
      <c r="I248" s="38" t="n">
        <v>0</v>
      </c>
      <c r="J248" s="38" t="n">
        <v>0</v>
      </c>
      <c r="K248" s="38" t="n">
        <v>0</v>
      </c>
      <c r="L248" s="12"/>
      <c r="M248" s="12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customFormat="false" ht="15.75" hidden="false" customHeight="true" outlineLevel="0" collapsed="false">
      <c r="A249" s="38" t="s">
        <v>207</v>
      </c>
      <c r="B249" s="38" t="str">
        <f aca="false" t="array" ref="B249:B249">IF(A249="","",IFERROR(INDEX('CLM &amp; IM Mapping'!$B$2:$B$270,MATCH(TRIM(A249),'CLM &amp; IM Mapping'!$A$2:$A$270,0)),"Not Mapped"))</f>
        <v>John Britto</v>
      </c>
      <c r="C249" s="38" t="str">
        <f aca="false" t="array" ref="C249:C249">IF(A249="","",IFERROR(INDEX('CLM &amp; IM Mapping'!$C$2:$C$270,MATCH(TRIM(A249),'CLM &amp; IM Mapping'!$A$2:$A$270,0)),"Not Mapped"))</f>
        <v>Aravind S</v>
      </c>
      <c r="D249" s="38" t="n">
        <v>0</v>
      </c>
      <c r="E249" s="38" t="n">
        <v>0</v>
      </c>
      <c r="F249" s="38" t="n">
        <v>0</v>
      </c>
      <c r="G249" s="38" t="n">
        <v>0</v>
      </c>
      <c r="H249" s="38" t="n">
        <v>0</v>
      </c>
      <c r="I249" s="38" t="n">
        <v>0</v>
      </c>
      <c r="J249" s="38" t="n">
        <v>0</v>
      </c>
      <c r="K249" s="38" t="n">
        <v>0</v>
      </c>
      <c r="L249" s="12"/>
      <c r="M249" s="12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customFormat="false" ht="15.75" hidden="false" customHeight="true" outlineLevel="0" collapsed="false">
      <c r="A250" s="38" t="s">
        <v>128</v>
      </c>
      <c r="B250" s="38" t="str">
        <f aca="false" t="array" ref="B250:B250">IF(A250="","",IFERROR(INDEX('CLM &amp; IM Mapping'!$B$2:$B$270,MATCH(TRIM(A250),'CLM &amp; IM Mapping'!$A$2:$A$270,0)),"Not Mapped"))</f>
        <v>Arun Raj</v>
      </c>
      <c r="C250" s="38" t="str">
        <f aca="false" t="array" ref="C250:C250">IF(A250="","",IFERROR(INDEX('CLM &amp; IM Mapping'!$C$2:$C$270,MATCH(TRIM(A250),'CLM &amp; IM Mapping'!$A$2:$A$270,0)),"Not Mapped"))</f>
        <v>Simon Manoharan</v>
      </c>
      <c r="D250" s="38" t="n">
        <v>0</v>
      </c>
      <c r="E250" s="38" t="n">
        <v>0</v>
      </c>
      <c r="F250" s="38" t="n">
        <v>0</v>
      </c>
      <c r="G250" s="38" t="n">
        <v>0</v>
      </c>
      <c r="H250" s="38" t="n">
        <v>0</v>
      </c>
      <c r="I250" s="38"/>
      <c r="J250" s="38" t="n">
        <v>0</v>
      </c>
      <c r="K250" s="38" t="n">
        <v>0</v>
      </c>
      <c r="L250" s="12"/>
      <c r="M250" s="12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customFormat="false" ht="15.75" hidden="false" customHeight="true" outlineLevel="0" collapsed="false">
      <c r="A251" s="38" t="s">
        <v>197</v>
      </c>
      <c r="B251" s="38" t="str">
        <f aca="false" t="array" ref="B251:B251">IF(A251="","",IFERROR(INDEX('CLM &amp; IM Mapping'!$B$2:$B$270,MATCH(TRIM(A251),'CLM &amp; IM Mapping'!$A$2:$A$270,0)),"Not Mapped"))</f>
        <v>Arun Raj</v>
      </c>
      <c r="C251" s="38" t="str">
        <f aca="false" t="array" ref="C251:C251">IF(A251="","",IFERROR(INDEX('CLM &amp; IM Mapping'!$C$2:$C$270,MATCH(TRIM(A251),'CLM &amp; IM Mapping'!$A$2:$A$270,0)),"Not Mapped"))</f>
        <v>Simon Manoharan</v>
      </c>
      <c r="D251" s="38" t="n">
        <v>0</v>
      </c>
      <c r="E251" s="38" t="n">
        <v>0</v>
      </c>
      <c r="F251" s="38" t="n">
        <v>0</v>
      </c>
      <c r="G251" s="38" t="n">
        <v>0</v>
      </c>
      <c r="H251" s="38" t="n">
        <v>0</v>
      </c>
      <c r="I251" s="38"/>
      <c r="J251" s="38" t="n">
        <v>0</v>
      </c>
      <c r="K251" s="38" t="n">
        <v>0</v>
      </c>
      <c r="L251" s="12"/>
      <c r="M251" s="12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customFormat="false" ht="15.75" hidden="false" customHeight="true" outlineLevel="0" collapsed="false">
      <c r="A252" s="38" t="s">
        <v>184</v>
      </c>
      <c r="B252" s="38" t="str">
        <f aca="false" t="array" ref="B252:B252">IF(A252="","",IFERROR(INDEX('CLM &amp; IM Mapping'!$B$2:$B$270,MATCH(TRIM(A252),'CLM &amp; IM Mapping'!$A$2:$A$270,0)),"Not Mapped"))</f>
        <v>Arun Raj</v>
      </c>
      <c r="C252" s="38" t="str">
        <f aca="false" t="array" ref="C252:C252">IF(A252="","",IFERROR(INDEX('CLM &amp; IM Mapping'!$C$2:$C$270,MATCH(TRIM(A252),'CLM &amp; IM Mapping'!$A$2:$A$270,0)),"Not Mapped"))</f>
        <v>Simon Manoharan</v>
      </c>
      <c r="D252" s="38" t="n">
        <v>0</v>
      </c>
      <c r="E252" s="38"/>
      <c r="F252" s="38"/>
      <c r="G252" s="38"/>
      <c r="H252" s="38"/>
      <c r="I252" s="38"/>
      <c r="J252" s="38" t="n">
        <v>0</v>
      </c>
      <c r="K252" s="38"/>
      <c r="L252" s="12"/>
      <c r="M252" s="12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customFormat="false" ht="15.75" hidden="false" customHeight="tru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customFormat="false" ht="15.75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customFormat="false" ht="15.75" hidden="false" customHeight="tru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customFormat="false" ht="15.75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customFormat="false" ht="15.75" hidden="false" customHeight="tru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customFormat="false" ht="15.75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customFormat="false" ht="15.75" hidden="false" customHeight="tru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customFormat="false" ht="15.7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customFormat="false" ht="15.75" hidden="false" customHeight="tru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customFormat="false" ht="15.7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customFormat="false" ht="15.75" hidden="false" customHeight="tru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customFormat="false" ht="15.7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customFormat="false" ht="15.75" hidden="false" customHeight="tru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customFormat="false" ht="15.7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customFormat="false" ht="15.75" hidden="false" customHeight="tru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customFormat="false" ht="15.7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customFormat="false" ht="15.75" hidden="false" customHeight="tru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customFormat="false" ht="15.7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customFormat="false" ht="15.75" hidden="false" customHeight="tru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customFormat="false" ht="15.7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customFormat="false" ht="15.75" hidden="false" customHeight="tru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customFormat="false" ht="15.7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customFormat="false" ht="15.75" hidden="false" customHeight="tru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customFormat="false" ht="15.7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customFormat="false" ht="15.75" hidden="false" customHeight="tru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customFormat="false" ht="15.7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customFormat="false" ht="15.75" hidden="false" customHeight="tru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customFormat="false" ht="15.7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customFormat="false" ht="15.75" hidden="false" customHeight="tru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customFormat="false" ht="15.7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customFormat="false" ht="15.75" hidden="false" customHeight="tru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customFormat="false" ht="15.7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customFormat="false" ht="15.75" hidden="false" customHeight="tru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customFormat="false" ht="15.7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customFormat="false" ht="15.75" hidden="false" customHeight="tru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customFormat="false" ht="15.7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customFormat="false" ht="15.75" hidden="false" customHeight="tru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customFormat="false" ht="15.7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customFormat="false" ht="15.75" hidden="false" customHeight="tru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customFormat="false" ht="15.7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customFormat="false" ht="15.75" hidden="false" customHeight="tru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customFormat="false" ht="15.7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customFormat="false" ht="15.75" hidden="false" customHeight="tru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customFormat="false" ht="15.7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customFormat="false" ht="15.75" hidden="false" customHeight="tru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customFormat="false" ht="15.7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customFormat="false" ht="15.75" hidden="false" customHeight="tru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customFormat="false" ht="15.7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customFormat="false" ht="15.75" hidden="false" customHeight="tru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customFormat="false" ht="15.7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customFormat="false" ht="15.75" hidden="false" customHeight="tru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customFormat="false" ht="15.7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customFormat="false" ht="15.75" hidden="false" customHeight="tru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customFormat="false" ht="15.7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customFormat="false" ht="15.75" hidden="false" customHeight="tru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customFormat="false" ht="15.7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customFormat="false" ht="15.75" hidden="false" customHeight="tru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customFormat="false" ht="15.7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customFormat="false" ht="15.75" hidden="false" customHeight="tru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customFormat="false" ht="15.7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customFormat="false" ht="15.7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customFormat="false" ht="15.75" hidden="false" customHeight="tru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customFormat="false" ht="15.7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customFormat="false" ht="15.75" hidden="false" customHeight="tru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customFormat="false" ht="15.7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customFormat="false" ht="15.75" hidden="false" customHeight="tru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customFormat="false" ht="15.7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customFormat="false" ht="15.75" hidden="false" customHeight="tru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customFormat="false" ht="15.7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customFormat="false" ht="15.75" hidden="false" customHeight="tru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customFormat="false" ht="15.7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customFormat="false" ht="15.75" hidden="false" customHeight="tru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customFormat="false" ht="15.7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customFormat="false" ht="15.75" hidden="false" customHeight="tru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customFormat="false" ht="15.7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customFormat="false" ht="15.75" hidden="false" customHeight="tru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customFormat="false" ht="15.7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customFormat="false" ht="15.75" hidden="false" customHeight="tru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customFormat="false" ht="15.7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customFormat="false" ht="15.75" hidden="false" customHeight="tru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customFormat="false" ht="15.7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customFormat="false" ht="15.75" hidden="false" customHeight="tru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customFormat="false" ht="15.7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customFormat="false" ht="15.75" hidden="false" customHeight="tru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customFormat="false" ht="15.7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customFormat="false" ht="15.75" hidden="false" customHeight="tru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customFormat="false" ht="15.7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customFormat="false" ht="15.75" hidden="false" customHeight="tru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customFormat="false" ht="15.7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customFormat="false" ht="15.75" hidden="false" customHeight="tru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customFormat="false" ht="15.7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customFormat="false" ht="15.75" hidden="false" customHeight="tru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customFormat="false" ht="15.7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customFormat="false" ht="15.75" hidden="false" customHeight="tru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customFormat="false" ht="15.7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customFormat="false" ht="15.75" hidden="false" customHeight="tru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customFormat="false" ht="15.7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customFormat="false" ht="15.75" hidden="false" customHeight="tru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customFormat="false" ht="15.7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customFormat="false" ht="15.75" hidden="false" customHeight="tru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customFormat="false" ht="15.7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customFormat="false" ht="15.75" hidden="false" customHeight="tru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customFormat="false" ht="15.7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customFormat="false" ht="15.75" hidden="false" customHeight="tru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customFormat="false" ht="15.7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customFormat="false" ht="15.75" hidden="false" customHeight="tru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customFormat="false" ht="15.7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customFormat="false" ht="15.75" hidden="false" customHeight="tru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customFormat="false" ht="15.7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customFormat="false" ht="15.75" hidden="false" customHeight="tru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customFormat="false" ht="15.7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customFormat="false" ht="15.75" hidden="false" customHeight="tru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customFormat="false" ht="15.7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customFormat="false" ht="15.75" hidden="false" customHeight="tru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customFormat="false" ht="15.7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customFormat="false" ht="15.75" hidden="false" customHeight="tru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customFormat="false" ht="15.7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customFormat="false" ht="15.75" hidden="false" customHeight="tru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customFormat="false" ht="15.7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customFormat="false" ht="15.75" hidden="false" customHeight="tru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customFormat="false" ht="15.7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customFormat="false" ht="15.75" hidden="false" customHeight="tru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customFormat="false" ht="15.7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customFormat="false" ht="15.75" hidden="false" customHeight="tru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customFormat="false" ht="15.7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customFormat="false" ht="15.75" hidden="false" customHeight="tru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customFormat="false" ht="15.7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customFormat="false" ht="15.75" hidden="false" customHeight="tru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customFormat="false" ht="15.7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customFormat="false" ht="15.75" hidden="false" customHeight="tru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customFormat="false" ht="15.7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customFormat="false" ht="15.75" hidden="false" customHeight="tru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customFormat="false" ht="15.7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customFormat="false" ht="15.75" hidden="false" customHeight="tru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customFormat="false" ht="15.7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customFormat="false" ht="15.75" hidden="false" customHeight="tru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customFormat="false" ht="15.7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customFormat="false" ht="15.75" hidden="false" customHeight="tru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customFormat="false" ht="15.7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customFormat="false" ht="15.75" hidden="false" customHeight="tru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customFormat="false" ht="15.7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customFormat="false" ht="15.75" hidden="false" customHeight="tru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customFormat="false" ht="15.7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customFormat="false" ht="15.75" hidden="false" customHeight="tru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customFormat="false" ht="15.7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customFormat="false" ht="15.75" hidden="false" customHeight="tru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customFormat="false" ht="15.7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customFormat="false" ht="15.75" hidden="false" customHeight="tru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customFormat="false" ht="15.7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customFormat="false" ht="15.75" hidden="false" customHeight="tru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customFormat="false" ht="15.7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customFormat="false" ht="15.75" hidden="false" customHeight="tru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customFormat="false" ht="15.7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customFormat="false" ht="15.75" hidden="false" customHeight="tru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customFormat="false" ht="15.7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customFormat="false" ht="15.75" hidden="false" customHeight="tru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customFormat="false" ht="15.7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customFormat="false" ht="15.75" hidden="false" customHeight="tru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customFormat="false" ht="15.7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customFormat="false" ht="15.75" hidden="false" customHeight="tru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customFormat="false" ht="15.7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customFormat="false" ht="15.75" hidden="false" customHeight="tru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customFormat="false" ht="15.7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customFormat="false" ht="15.75" hidden="false" customHeight="tru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customFormat="false" ht="15.7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customFormat="false" ht="15.75" hidden="false" customHeight="tru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customFormat="false" ht="15.7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customFormat="false" ht="15.75" hidden="false" customHeight="tru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customFormat="false" ht="15.7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customFormat="false" ht="15.75" hidden="false" customHeight="tru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customFormat="false" ht="15.7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customFormat="false" ht="15.75" hidden="false" customHeight="tru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customFormat="false" ht="15.7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customFormat="false" ht="15.75" hidden="false" customHeight="tru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customFormat="false" ht="15.7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customFormat="false" ht="15.75" hidden="false" customHeight="tru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customFormat="false" ht="15.7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customFormat="false" ht="15.75" hidden="false" customHeight="tru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customFormat="false" ht="15.7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customFormat="false" ht="15.75" hidden="false" customHeight="tru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customFormat="false" ht="15.7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customFormat="false" ht="15.75" hidden="false" customHeight="tru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customFormat="false" ht="15.7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customFormat="false" ht="15.75" hidden="false" customHeight="tru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customFormat="false" ht="15.7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customFormat="false" ht="15.75" hidden="false" customHeight="tru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customFormat="false" ht="15.7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customFormat="false" ht="15.75" hidden="false" customHeight="tru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customFormat="false" ht="15.7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customFormat="false" ht="15.75" hidden="false" customHeight="tru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customFormat="false" ht="15.7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customFormat="false" ht="15.75" hidden="false" customHeight="tru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customFormat="false" ht="15.7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customFormat="false" ht="15.75" hidden="false" customHeight="tru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customFormat="false" ht="15.7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customFormat="false" ht="15.75" hidden="false" customHeight="tru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customFormat="false" ht="15.7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customFormat="false" ht="15.75" hidden="false" customHeight="tru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customFormat="false" ht="15.7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customFormat="false" ht="15.75" hidden="false" customHeight="tru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customFormat="false" ht="15.7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customFormat="false" ht="15.75" hidden="false" customHeight="tru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customFormat="false" ht="15.7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customFormat="false" ht="15.75" hidden="false" customHeight="tru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customFormat="false" ht="15.7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customFormat="false" ht="15.75" hidden="false" customHeight="tru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customFormat="false" ht="15.7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customFormat="false" ht="15.75" hidden="false" customHeight="tru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customFormat="false" ht="15.7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customFormat="false" ht="15.75" hidden="false" customHeight="tru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customFormat="false" ht="15.7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customFormat="false" ht="15.75" hidden="false" customHeight="tru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customFormat="false" ht="15.7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customFormat="false" ht="15.75" hidden="false" customHeight="tru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customFormat="false" ht="15.7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customFormat="false" ht="15.75" hidden="false" customHeight="tru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customFormat="false" ht="15.7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customFormat="false" ht="15.75" hidden="false" customHeight="tru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customFormat="false" ht="15.7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customFormat="false" ht="15.75" hidden="false" customHeight="tru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customFormat="false" ht="15.7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customFormat="false" ht="15.75" hidden="false" customHeight="tru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customFormat="false" ht="15.7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customFormat="false" ht="15.75" hidden="false" customHeight="tru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customFormat="false" ht="15.7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customFormat="false" ht="15.75" hidden="false" customHeight="tru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customFormat="false" ht="15.7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customFormat="false" ht="15.75" hidden="false" customHeight="tru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customFormat="false" ht="15.7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customFormat="false" ht="15.75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customFormat="false" ht="15.7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customFormat="false" ht="15.75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customFormat="false" ht="15.7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customFormat="false" ht="15.75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customFormat="false" ht="15.7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customFormat="false" ht="15.75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customFormat="false" ht="15.7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customFormat="false" ht="15.75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customFormat="false" ht="15.7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customFormat="false" ht="15.75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customFormat="false" ht="15.7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customFormat="false" ht="15.75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customFormat="false" ht="15.7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customFormat="false" ht="15.75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customFormat="false" ht="15.7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customFormat="false" ht="15.75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customFormat="false" ht="15.7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customFormat="false" ht="15.75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customFormat="false" ht="15.7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customFormat="false" ht="15.75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customFormat="false" ht="15.7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customFormat="false" ht="15.75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customFormat="false" ht="15.7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customFormat="false" ht="15.75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customFormat="false" ht="15.7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customFormat="false" ht="15.75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customFormat="false" ht="15.7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customFormat="false" ht="15.75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customFormat="false" ht="15.7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customFormat="false" ht="15.75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customFormat="false" ht="15.7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customFormat="false" ht="15.75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customFormat="false" ht="15.7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customFormat="false" ht="15.75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customFormat="false" ht="15.7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customFormat="false" ht="15.75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customFormat="false" ht="15.7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customFormat="false" ht="15.75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customFormat="false" ht="15.7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customFormat="false" ht="15.75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customFormat="false" ht="15.7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customFormat="false" ht="15.75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customFormat="false" ht="15.7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customFormat="false" ht="15.75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customFormat="false" ht="15.7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customFormat="false" ht="15.75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customFormat="false" ht="15.7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customFormat="false" ht="15.75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customFormat="false" ht="15.7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customFormat="false" ht="15.75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customFormat="false" ht="15.7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customFormat="false" ht="15.75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customFormat="false" ht="15.7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customFormat="false" ht="15.75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customFormat="false" ht="15.7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customFormat="false" ht="15.75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customFormat="false" ht="15.7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customFormat="false" ht="15.75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customFormat="false" ht="15.7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customFormat="false" ht="15.75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customFormat="false" ht="15.7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customFormat="false" ht="15.75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customFormat="false" ht="15.7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customFormat="false" ht="15.75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customFormat="false" ht="15.7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customFormat="false" ht="15.75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customFormat="false" ht="15.7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customFormat="false" ht="15.75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customFormat="false" ht="15.7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customFormat="false" ht="15.75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customFormat="false" ht="15.7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customFormat="false" ht="15.75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customFormat="false" ht="15.7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customFormat="false" ht="15.75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customFormat="false" ht="15.7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customFormat="false" ht="15.75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customFormat="false" ht="15.7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customFormat="false" ht="15.75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customFormat="false" ht="15.7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customFormat="false" ht="15.75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customFormat="false" ht="15.7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customFormat="false" ht="15.75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customFormat="false" ht="15.7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customFormat="false" ht="15.75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customFormat="false" ht="15.7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customFormat="false" ht="15.75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customFormat="false" ht="15.7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customFormat="false" ht="15.75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customFormat="false" ht="15.7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customFormat="false" ht="15.75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customFormat="false" ht="15.7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customFormat="false" ht="15.75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customFormat="false" ht="15.7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customFormat="false" ht="15.75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customFormat="false" ht="15.7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customFormat="false" ht="15.75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customFormat="false" ht="15.7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customFormat="false" ht="15.75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customFormat="false" ht="15.7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customFormat="false" ht="15.75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customFormat="false" ht="15.7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customFormat="false" ht="15.75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customFormat="false" ht="15.7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customFormat="false" ht="15.75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customFormat="false" ht="15.7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customFormat="false" ht="15.75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customFormat="false" ht="15.7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customFormat="false" ht="15.75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customFormat="false" ht="15.7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customFormat="false" ht="15.75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customFormat="false" ht="15.7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customFormat="false" ht="15.75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customFormat="false" ht="15.7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customFormat="false" ht="15.75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customFormat="false" ht="15.7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customFormat="false" ht="15.75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customFormat="false" ht="15.7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customFormat="false" ht="15.75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customFormat="false" ht="15.7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customFormat="false" ht="15.75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customFormat="false" ht="15.7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customFormat="false" ht="15.75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customFormat="false" ht="15.7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customFormat="false" ht="15.75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customFormat="false" ht="15.7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customFormat="false" ht="15.75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customFormat="false" ht="15.7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customFormat="false" ht="15.75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customFormat="false" ht="15.7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customFormat="false" ht="15.75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customFormat="false" ht="15.7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customFormat="false" ht="15.75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customFormat="false" ht="15.7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customFormat="false" ht="15.75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customFormat="false" ht="15.7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customFormat="false" ht="15.75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customFormat="false" ht="15.7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customFormat="false" ht="15.75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customFormat="false" ht="15.7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customFormat="false" ht="15.75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customFormat="false" ht="15.7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customFormat="false" ht="15.75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customFormat="false" ht="15.7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customFormat="false" ht="15.75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customFormat="false" ht="15.7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customFormat="false" ht="15.75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customFormat="false" ht="15.7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customFormat="false" ht="15.75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customFormat="false" ht="15.7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customFormat="false" ht="15.75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customFormat="false" ht="15.7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customFormat="false" ht="15.75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customFormat="false" ht="15.7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customFormat="false" ht="15.75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customFormat="false" ht="15.7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customFormat="false" ht="15.75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customFormat="false" ht="15.7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customFormat="false" ht="15.75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customFormat="false" ht="15.7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customFormat="false" ht="15.75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customFormat="false" ht="15.7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customFormat="false" ht="15.75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customFormat="false" ht="15.7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customFormat="false" ht="15.75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customFormat="false" ht="15.7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customFormat="false" ht="15.75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customFormat="false" ht="15.7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customFormat="false" ht="15.75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customFormat="false" ht="15.7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customFormat="false" ht="15.75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customFormat="false" ht="15.7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customFormat="false" ht="15.75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customFormat="false" ht="15.7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customFormat="false" ht="15.75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customFormat="false" ht="15.7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customFormat="false" ht="15.75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customFormat="false" ht="15.7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customFormat="false" ht="15.75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customFormat="false" ht="15.7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customFormat="false" ht="15.75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customFormat="false" ht="15.7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customFormat="false" ht="15.75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customFormat="false" ht="15.7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customFormat="false" ht="15.75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customFormat="false" ht="15.7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customFormat="false" ht="15.75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customFormat="false" ht="15.7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customFormat="false" ht="15.75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customFormat="false" ht="15.7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customFormat="false" ht="15.75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customFormat="false" ht="15.7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customFormat="false" ht="15.75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customFormat="false" ht="15.7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customFormat="false" ht="15.75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customFormat="false" ht="15.7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customFormat="false" ht="15.75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customFormat="false" ht="15.7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customFormat="false" ht="15.75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customFormat="false" ht="15.7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customFormat="false" ht="15.75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customFormat="false" ht="15.7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customFormat="false" ht="15.75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customFormat="false" ht="15.7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customFormat="false" ht="15.75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customFormat="false" ht="15.7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customFormat="false" ht="15.75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customFormat="false" ht="15.7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customFormat="false" ht="15.75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customFormat="false" ht="15.7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customFormat="false" ht="15.75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customFormat="false" ht="15.7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customFormat="false" ht="15.75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customFormat="false" ht="15.7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customFormat="false" ht="15.75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customFormat="false" ht="15.7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customFormat="false" ht="15.75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customFormat="false" ht="15.7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customFormat="false" ht="15.75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customFormat="false" ht="15.7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customFormat="false" ht="15.75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customFormat="false" ht="15.7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customFormat="false" ht="15.75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customFormat="false" ht="15.7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customFormat="false" ht="15.75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customFormat="false" ht="15.7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customFormat="false" ht="15.75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customFormat="false" ht="15.7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customFormat="false" ht="15.75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customFormat="false" ht="15.7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customFormat="false" ht="15.75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customFormat="false" ht="15.7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customFormat="false" ht="15.75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customFormat="false" ht="15.7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customFormat="false" ht="15.75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customFormat="false" ht="15.7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customFormat="false" ht="15.75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customFormat="false" ht="15.7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customFormat="false" ht="15.75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customFormat="false" ht="15.7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customFormat="false" ht="15.75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customFormat="false" ht="15.7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customFormat="false" ht="15.75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customFormat="false" ht="15.7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customFormat="false" ht="15.75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customFormat="false" ht="15.7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customFormat="false" ht="15.75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customFormat="false" ht="15.7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customFormat="false" ht="15.75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customFormat="false" ht="15.7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customFormat="false" ht="15.75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customFormat="false" ht="15.7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customFormat="false" ht="15.75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customFormat="false" ht="15.7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customFormat="false" ht="15.75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customFormat="false" ht="15.7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customFormat="false" ht="15.75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customFormat="false" ht="15.7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customFormat="false" ht="15.75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customFormat="false" ht="15.7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customFormat="false" ht="15.75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customFormat="false" ht="15.7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customFormat="false" ht="15.75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customFormat="false" ht="15.7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customFormat="false" ht="15.75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customFormat="false" ht="15.7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customFormat="false" ht="15.75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customFormat="false" ht="15.7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customFormat="false" ht="15.75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customFormat="false" ht="15.7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customFormat="false" ht="15.75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customFormat="false" ht="15.7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customFormat="false" ht="15.75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customFormat="false" ht="15.7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customFormat="false" ht="15.75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customFormat="false" ht="15.7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customFormat="false" ht="15.75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customFormat="false" ht="15.7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customFormat="false" ht="15.75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customFormat="false" ht="15.7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customFormat="false" ht="15.75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customFormat="false" ht="15.7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customFormat="false" ht="15.75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customFormat="false" ht="15.7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customFormat="false" ht="15.75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customFormat="false" ht="15.7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customFormat="false" ht="15.75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customFormat="false" ht="15.7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customFormat="false" ht="15.75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customFormat="false" ht="15.7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customFormat="false" ht="15.75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customFormat="false" ht="15.7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customFormat="false" ht="15.75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customFormat="false" ht="15.7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customFormat="false" ht="15.75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customFormat="false" ht="15.7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customFormat="false" ht="15.75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customFormat="false" ht="15.7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customFormat="false" ht="15.75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customFormat="false" ht="15.7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customFormat="false" ht="15.75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customFormat="false" ht="15.7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customFormat="false" ht="15.75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customFormat="false" ht="15.7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customFormat="false" ht="15.75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customFormat="false" ht="15.7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customFormat="false" ht="15.75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customFormat="false" ht="15.7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customFormat="false" ht="15.75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customFormat="false" ht="15.7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customFormat="false" ht="15.75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customFormat="false" ht="15.7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customFormat="false" ht="15.75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customFormat="false" ht="15.7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customFormat="false" ht="15.75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customFormat="false" ht="15.7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customFormat="false" ht="15.75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customFormat="false" ht="15.7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customFormat="false" ht="15.75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customFormat="false" ht="15.7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customFormat="false" ht="15.75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customFormat="false" ht="15.7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customFormat="false" ht="15.75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customFormat="false" ht="15.7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customFormat="false" ht="15.75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customFormat="false" ht="15.7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customFormat="false" ht="15.75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customFormat="false" ht="15.7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customFormat="false" ht="15.75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customFormat="false" ht="15.7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customFormat="false" ht="15.75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customFormat="false" ht="15.7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customFormat="false" ht="15.75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customFormat="false" ht="15.7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customFormat="false" ht="15.75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customFormat="false" ht="15.7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customFormat="false" ht="15.75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customFormat="false" ht="15.7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customFormat="false" ht="15.75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customFormat="false" ht="15.7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customFormat="false" ht="15.75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customFormat="false" ht="15.7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customFormat="false" ht="15.75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customFormat="false" ht="15.7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customFormat="false" ht="15.75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customFormat="false" ht="15.7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customFormat="false" ht="15.75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customFormat="false" ht="15.7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customFormat="false" ht="15.75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customFormat="false" ht="15.7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customFormat="false" ht="15.75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customFormat="false" ht="15.7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customFormat="false" ht="15.75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customFormat="false" ht="15.7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customFormat="false" ht="15.75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customFormat="false" ht="15.7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customFormat="false" ht="15.75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customFormat="false" ht="15.7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customFormat="false" ht="15.75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customFormat="false" ht="15.7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customFormat="false" ht="15.75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customFormat="false" ht="15.7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customFormat="false" ht="15.75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customFormat="false" ht="15.7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customFormat="false" ht="15.75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customFormat="false" ht="15.7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customFormat="false" ht="15.75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customFormat="false" ht="15.7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customFormat="false" ht="15.75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customFormat="false" ht="15.7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customFormat="false" ht="15.75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customFormat="false" ht="15.7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customFormat="false" ht="15.75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customFormat="false" ht="15.7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customFormat="false" ht="15.75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customFormat="false" ht="15.7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customFormat="false" ht="15.75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customFormat="false" ht="15.7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customFormat="false" ht="15.75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customFormat="false" ht="15.7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customFormat="false" ht="15.75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customFormat="false" ht="15.7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customFormat="false" ht="15.75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customFormat="false" ht="15.7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customFormat="false" ht="15.75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customFormat="false" ht="15.7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customFormat="false" ht="15.75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customFormat="false" ht="15.7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customFormat="false" ht="15.75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customFormat="false" ht="15.7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customFormat="false" ht="15.75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customFormat="false" ht="15.7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customFormat="false" ht="15.75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customFormat="false" ht="15.7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customFormat="false" ht="15.75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customFormat="false" ht="15.7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customFormat="false" ht="15.75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customFormat="false" ht="15.7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customFormat="false" ht="15.75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customFormat="false" ht="15.7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customFormat="false" ht="15.75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customFormat="false" ht="15.7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customFormat="false" ht="15.75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customFormat="false" ht="15.7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customFormat="false" ht="15.75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customFormat="false" ht="15.7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customFormat="false" ht="15.75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customFormat="false" ht="15.7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customFormat="false" ht="15.75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customFormat="false" ht="15.7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customFormat="false" ht="15.75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customFormat="false" ht="15.7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customFormat="false" ht="15.75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customFormat="false" ht="15.7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customFormat="false" ht="15.75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customFormat="false" ht="15.7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customFormat="false" ht="15.75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customFormat="false" ht="15.7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customFormat="false" ht="15.75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customFormat="false" ht="15.7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customFormat="false" ht="15.75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customFormat="false" ht="15.7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customFormat="false" ht="15.75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customFormat="false" ht="15.7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customFormat="false" ht="15.75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customFormat="false" ht="15.7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customFormat="false" ht="15.75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customFormat="false" ht="15.7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customFormat="false" ht="15.75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customFormat="false" ht="15.7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customFormat="false" ht="15.75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customFormat="false" ht="15.7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customFormat="false" ht="15.75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customFormat="false" ht="15.7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customFormat="false" ht="15.75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customFormat="false" ht="15.7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customFormat="false" ht="15.75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customFormat="false" ht="15.7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customFormat="false" ht="15.75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customFormat="false" ht="15.7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customFormat="false" ht="15.75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customFormat="false" ht="15.7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customFormat="false" ht="15.75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customFormat="false" ht="15.7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customFormat="false" ht="15.75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customFormat="false" ht="15.7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customFormat="false" ht="15.75" hidden="false" customHeight="tru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customFormat="false" ht="15.75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customFormat="false" ht="15.75" hidden="false" customHeight="tru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customFormat="false" ht="15.75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customFormat="false" ht="15.75" hidden="false" customHeight="tru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customFormat="false" ht="15.75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customFormat="false" ht="15.75" hidden="false" customHeight="tru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customFormat="false" ht="15.75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customFormat="false" ht="15.75" hidden="false" customHeight="tru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customFormat="false" ht="15.75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customFormat="false" ht="15.75" hidden="false" customHeight="tru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customFormat="false" ht="15.75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customFormat="false" ht="15.75" hidden="false" customHeight="tru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customFormat="false" ht="15.75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customFormat="false" ht="15.75" hidden="false" customHeight="tru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customFormat="false" ht="15.75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customFormat="false" ht="15.75" hidden="false" customHeight="tru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customFormat="false" ht="15.75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customFormat="false" ht="15.75" hidden="false" customHeight="tru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customFormat="false" ht="15.75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customFormat="false" ht="15.75" hidden="false" customHeight="tru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customFormat="false" ht="15.75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customFormat="false" ht="15.75" hidden="false" customHeight="tru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customFormat="false" ht="15.75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customFormat="false" ht="15.75" hidden="false" customHeight="tru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customFormat="false" ht="15.75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customFormat="false" ht="15.75" hidden="false" customHeight="tru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customFormat="false" ht="15.75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customFormat="false" ht="15.75" hidden="false" customHeight="tru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customFormat="false" ht="15.75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customFormat="false" ht="15.75" hidden="false" customHeight="tru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customFormat="false" ht="15.75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customFormat="false" ht="15.75" hidden="false" customHeight="tru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customFormat="false" ht="15.75" hidden="false" customHeight="tru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customFormat="false" ht="15.75" hidden="false" customHeight="tru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customFormat="false" ht="15.75" hidden="false" customHeight="tru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customFormat="false" ht="15.75" hidden="false" customHeight="tru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customFormat="false" ht="15.75" hidden="false" customHeight="tru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customFormat="false" ht="15.75" hidden="false" customHeight="tru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customFormat="false" ht="15.75" hidden="false" customHeight="tru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customFormat="false" ht="15.75" hidden="false" customHeight="tru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customFormat="false" ht="15.75" hidden="false" customHeight="tru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customFormat="false" ht="15.75" hidden="false" customHeight="tru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customFormat="false" ht="15.75" hidden="false" customHeight="tru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customFormat="false" ht="15.75" hidden="false" customHeight="tru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customFormat="false" ht="15.75" hidden="false" customHeight="tru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customFormat="false" ht="15.75" hidden="false" customHeight="tru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customFormat="false" ht="15.75" hidden="false" customHeight="tru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customFormat="false" ht="15.75" hidden="false" customHeight="tru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customFormat="false" ht="15.75" hidden="false" customHeight="true" outlineLevel="0" collapsed="false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customFormat="false" ht="15.75" hidden="false" customHeight="true" outlineLevel="0" collapsed="false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</sheetData>
  <conditionalFormatting sqref="D2:D25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25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:F252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:G252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252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I252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:J252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252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6.38"/>
    <col collapsed="false" customWidth="true" hidden="false" outlineLevel="0" max="2" min="2" style="0" width="22.25"/>
    <col collapsed="false" customWidth="true" hidden="false" outlineLevel="0" max="3" min="3" style="0" width="18.13"/>
    <col collapsed="false" customWidth="true" hidden="false" outlineLevel="0" max="4" min="4" style="0" width="11.25"/>
    <col collapsed="false" customWidth="true" hidden="false" outlineLevel="0" max="5" min="5" style="0" width="13.75"/>
    <col collapsed="false" customWidth="true" hidden="false" outlineLevel="0" max="6" min="6" style="0" width="11.63"/>
    <col collapsed="false" customWidth="true" hidden="false" outlineLevel="0" max="8" min="7" style="0" width="12.13"/>
    <col collapsed="false" customWidth="true" hidden="false" outlineLevel="0" max="10" min="9" style="0" width="51.13"/>
  </cols>
  <sheetData>
    <row r="1" customFormat="false" ht="15.75" hidden="false" customHeight="true" outlineLevel="0" collapsed="false">
      <c r="A1" s="37" t="s">
        <v>365</v>
      </c>
      <c r="B1" s="37" t="s">
        <v>3</v>
      </c>
      <c r="C1" s="37" t="s">
        <v>4</v>
      </c>
      <c r="D1" s="37" t="s">
        <v>374</v>
      </c>
      <c r="E1" s="37" t="s">
        <v>375</v>
      </c>
      <c r="F1" s="37" t="s">
        <v>376</v>
      </c>
      <c r="G1" s="37" t="s">
        <v>372</v>
      </c>
      <c r="H1" s="39" t="s">
        <v>372</v>
      </c>
      <c r="I1" s="37" t="s">
        <v>312</v>
      </c>
      <c r="J1" s="37" t="s">
        <v>313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customFormat="false" ht="15.75" hidden="false" customHeight="true" outlineLevel="0" collapsed="false">
      <c r="A2" s="38" t="s">
        <v>90</v>
      </c>
      <c r="B2" s="38" t="str">
        <f aca="false" t="array" ref="B2:B2">IF(A2="","",IFERROR(INDEX('CLM &amp; IM Mapping'!$B$2:$B$270,MATCH(TRIM(A2),'CLM &amp; IM Mapping'!$A$2:$A$270,0)),"Not Mapped"))</f>
        <v>Adhavan Subramani</v>
      </c>
      <c r="C2" s="38" t="str">
        <f aca="false" t="array" ref="C2:C2">IF(A2="","",IFERROR(INDEX('CLM &amp; IM Mapping'!$C$2:$C$270,MATCH(TRIM(A2),'CLM &amp; IM Mapping'!$A$2:$A$270,0)),"Not Mapped"))</f>
        <v>Mohammed Akbar</v>
      </c>
      <c r="D2" s="38"/>
      <c r="E2" s="38"/>
      <c r="F2" s="38" t="n">
        <v>1632</v>
      </c>
      <c r="G2" s="38" t="n">
        <v>1632</v>
      </c>
      <c r="H2" s="40" t="n">
        <v>107843.72</v>
      </c>
      <c r="I2" s="12"/>
      <c r="J2" s="1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customFormat="false" ht="15.75" hidden="false" customHeight="true" outlineLevel="0" collapsed="false">
      <c r="A3" s="38" t="s">
        <v>107</v>
      </c>
      <c r="B3" s="38" t="str">
        <f aca="false" t="array" ref="B3:B3">IF(A3="","",IFERROR(INDEX('CLM &amp; IM Mapping'!$B$2:$B$270,MATCH(TRIM(A3),'CLM &amp; IM Mapping'!$A$2:$A$270,0)),"Not Mapped"))</f>
        <v>Manoj Kj</v>
      </c>
      <c r="C3" s="38" t="str">
        <f aca="false" t="array" ref="C3:C3">IF(A3="","",IFERROR(INDEX('CLM &amp; IM Mapping'!$C$2:$C$270,MATCH(TRIM(A3),'CLM &amp; IM Mapping'!$A$2:$A$270,0)),"Not Mapped"))</f>
        <v>Srittam Dhal</v>
      </c>
      <c r="D3" s="38"/>
      <c r="E3" s="38"/>
      <c r="F3" s="38" t="n">
        <v>882</v>
      </c>
      <c r="G3" s="38" t="n">
        <v>882</v>
      </c>
      <c r="H3" s="40" t="n">
        <v>104241.31</v>
      </c>
      <c r="I3" s="12"/>
      <c r="J3" s="12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customFormat="false" ht="15.75" hidden="false" customHeight="true" outlineLevel="0" collapsed="false">
      <c r="A4" s="38" t="s">
        <v>127</v>
      </c>
      <c r="B4" s="38" t="str">
        <f aca="false" t="array" ref="B4:B4">IF(A4="","",IFERROR(INDEX('CLM &amp; IM Mapping'!$B$2:$B$270,MATCH(TRIM(A4),'CLM &amp; IM Mapping'!$A$2:$A$270,0)),"Not Mapped"))</f>
        <v>Rizwan Ahmed</v>
      </c>
      <c r="C4" s="38" t="str">
        <f aca="false" t="array" ref="C4:C4">IF(A4="","",IFERROR(INDEX('CLM &amp; IM Mapping'!$C$2:$C$270,MATCH(TRIM(A4),'CLM &amp; IM Mapping'!$A$2:$A$270,0)),"Not Mapped"))</f>
        <v>Prakash BS</v>
      </c>
      <c r="D4" s="38" t="n">
        <v>62</v>
      </c>
      <c r="E4" s="38"/>
      <c r="F4" s="38" t="n">
        <v>383</v>
      </c>
      <c r="G4" s="38" t="n">
        <v>445</v>
      </c>
      <c r="H4" s="40" t="n">
        <v>97053.76</v>
      </c>
      <c r="I4" s="12"/>
      <c r="J4" s="12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customFormat="false" ht="15.75" hidden="false" customHeight="true" outlineLevel="0" collapsed="false">
      <c r="A5" s="38" t="s">
        <v>67</v>
      </c>
      <c r="B5" s="38" t="str">
        <f aca="false" t="array" ref="B5:B5">IF(A5="","",IFERROR(INDEX('CLM &amp; IM Mapping'!$B$2:$B$270,MATCH(TRIM(A5),'CLM &amp; IM Mapping'!$A$2:$A$270,0)),"Not Mapped"))</f>
        <v>Arun Raj</v>
      </c>
      <c r="C5" s="38" t="str">
        <f aca="false" t="array" ref="C5:C5">IF(A5="","",IFERROR(INDEX('CLM &amp; IM Mapping'!$C$2:$C$270,MATCH(TRIM(A5),'CLM &amp; IM Mapping'!$A$2:$A$270,0)),"Not Mapped"))</f>
        <v>Simon Manoharan</v>
      </c>
      <c r="D5" s="38" t="n">
        <v>74</v>
      </c>
      <c r="E5" s="38"/>
      <c r="F5" s="38" t="n">
        <v>143</v>
      </c>
      <c r="G5" s="38" t="n">
        <v>217</v>
      </c>
      <c r="H5" s="40" t="n">
        <v>90995.49</v>
      </c>
      <c r="I5" s="12"/>
      <c r="J5" s="12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customFormat="false" ht="15.75" hidden="false" customHeight="true" outlineLevel="0" collapsed="false">
      <c r="A6" s="38" t="s">
        <v>40</v>
      </c>
      <c r="B6" s="38" t="str">
        <f aca="false" t="array" ref="B6:B6">IF(A6="","",IFERROR(INDEX('CLM &amp; IM Mapping'!$B$2:$B$270,MATCH(TRIM(A6),'CLM &amp; IM Mapping'!$A$2:$A$270,0)),"Not Mapped"))</f>
        <v>Rizwan Ahmed</v>
      </c>
      <c r="C6" s="38" t="str">
        <f aca="false" t="array" ref="C6:C6">IF(A6="","",IFERROR(INDEX('CLM &amp; IM Mapping'!$C$2:$C$270,MATCH(TRIM(A6),'CLM &amp; IM Mapping'!$A$2:$A$270,0)),"Not Mapped"))</f>
        <v>Un Mapped</v>
      </c>
      <c r="D6" s="38" t="n">
        <v>111</v>
      </c>
      <c r="E6" s="38"/>
      <c r="F6" s="38" t="n">
        <v>1055</v>
      </c>
      <c r="G6" s="38" t="n">
        <v>1166</v>
      </c>
      <c r="H6" s="40" t="n">
        <v>81078.71</v>
      </c>
      <c r="I6" s="12"/>
      <c r="J6" s="12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customFormat="false" ht="15.75" hidden="false" customHeight="true" outlineLevel="0" collapsed="false">
      <c r="A7" s="38" t="s">
        <v>30</v>
      </c>
      <c r="B7" s="38" t="str">
        <f aca="false" t="array" ref="B7:B7">IF(A7="","",IFERROR(INDEX('CLM &amp; IM Mapping'!$B$2:$B$270,MATCH(TRIM(A7),'CLM &amp; IM Mapping'!$A$2:$A$270,0)),"Not Mapped"))</f>
        <v>Rizwan Ahmed</v>
      </c>
      <c r="C7" s="38" t="str">
        <f aca="false" t="array" ref="C7:C7">IF(A7="","",IFERROR(INDEX('CLM &amp; IM Mapping'!$C$2:$C$270,MATCH(TRIM(A7),'CLM &amp; IM Mapping'!$A$2:$A$270,0)),"Not Mapped"))</f>
        <v>Un Mapped</v>
      </c>
      <c r="D7" s="38" t="n">
        <v>514</v>
      </c>
      <c r="E7" s="38"/>
      <c r="F7" s="38" t="n">
        <v>32</v>
      </c>
      <c r="G7" s="38" t="n">
        <v>546</v>
      </c>
      <c r="H7" s="40" t="n">
        <v>68476.09</v>
      </c>
      <c r="I7" s="12"/>
      <c r="J7" s="12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customFormat="false" ht="15.75" hidden="false" customHeight="true" outlineLevel="0" collapsed="false">
      <c r="A8" s="38" t="s">
        <v>72</v>
      </c>
      <c r="B8" s="38" t="str">
        <f aca="false" t="array" ref="B8:B8">IF(A8="","",IFERROR(INDEX('CLM &amp; IM Mapping'!$B$2:$B$270,MATCH(TRIM(A8),'CLM &amp; IM Mapping'!$A$2:$A$270,0)),"Not Mapped"))</f>
        <v>Akshay P</v>
      </c>
      <c r="C8" s="38" t="str">
        <f aca="false" t="array" ref="C8:C8">IF(A8="","",IFERROR(INDEX('CLM &amp; IM Mapping'!$C$2:$C$270,MATCH(TRIM(A8),'CLM &amp; IM Mapping'!$A$2:$A$270,0)),"Not Mapped"))</f>
        <v>Srittam Dhal</v>
      </c>
      <c r="D8" s="38" t="n">
        <v>221</v>
      </c>
      <c r="E8" s="38"/>
      <c r="F8" s="38" t="n">
        <v>486</v>
      </c>
      <c r="G8" s="38" t="n">
        <v>707</v>
      </c>
      <c r="H8" s="40" t="n">
        <v>54546.34</v>
      </c>
      <c r="I8" s="12"/>
      <c r="J8" s="1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customFormat="false" ht="15.75" hidden="false" customHeight="true" outlineLevel="0" collapsed="false">
      <c r="A9" s="38" t="s">
        <v>251</v>
      </c>
      <c r="B9" s="38" t="str">
        <f aca="false" t="array" ref="B9:B9">IF(A9="","",IFERROR(INDEX('CLM &amp; IM Mapping'!$B$2:$B$270,MATCH(TRIM(A9),'CLM &amp; IM Mapping'!$A$2:$A$270,0)),"Not Mapped"))</f>
        <v>Vijay M</v>
      </c>
      <c r="C9" s="38" t="str">
        <f aca="false" t="array" ref="C9:C9">IF(A9="","",IFERROR(INDEX('CLM &amp; IM Mapping'!$C$2:$C$270,MATCH(TRIM(A9),'CLM &amp; IM Mapping'!$A$2:$A$270,0)),"Not Mapped"))</f>
        <v>Kantha Kumar</v>
      </c>
      <c r="D9" s="38" t="n">
        <v>407</v>
      </c>
      <c r="E9" s="38"/>
      <c r="F9" s="38"/>
      <c r="G9" s="38" t="n">
        <v>407</v>
      </c>
      <c r="H9" s="40" t="n">
        <v>45794.29</v>
      </c>
      <c r="I9" s="12"/>
      <c r="J9" s="12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customFormat="false" ht="15.75" hidden="false" customHeight="true" outlineLevel="0" collapsed="false">
      <c r="A10" s="38" t="s">
        <v>264</v>
      </c>
      <c r="B10" s="38" t="str">
        <f aca="false" t="array" ref="B10:B10">IF(A10="","",IFERROR(INDEX('CLM &amp; IM Mapping'!$B$2:$B$270,MATCH(TRIM(A10),'CLM &amp; IM Mapping'!$A$2:$A$270,0)),"Not Mapped"))</f>
        <v>Arun Raj</v>
      </c>
      <c r="C10" s="38" t="str">
        <f aca="false" t="array" ref="C10:C10">IF(A10="","",IFERROR(INDEX('CLM &amp; IM Mapping'!$C$2:$C$270,MATCH(TRIM(A10),'CLM &amp; IM Mapping'!$A$2:$A$270,0)),"Not Mapped"))</f>
        <v>Simon Manoharan</v>
      </c>
      <c r="D10" s="38"/>
      <c r="E10" s="38"/>
      <c r="F10" s="38" t="n">
        <v>235</v>
      </c>
      <c r="G10" s="38" t="n">
        <v>235</v>
      </c>
      <c r="H10" s="40" t="n">
        <v>45393.64</v>
      </c>
      <c r="I10" s="12"/>
      <c r="J10" s="12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customFormat="false" ht="15.75" hidden="false" customHeight="true" outlineLevel="0" collapsed="false">
      <c r="A11" s="38" t="s">
        <v>93</v>
      </c>
      <c r="B11" s="38" t="str">
        <f aca="false" t="array" ref="B11:B11">IF(A11="","",IFERROR(INDEX('CLM &amp; IM Mapping'!$B$2:$B$270,MATCH(TRIM(A11),'CLM &amp; IM Mapping'!$A$2:$A$270,0)),"Not Mapped"))</f>
        <v>Manjunatha V</v>
      </c>
      <c r="C11" s="38" t="str">
        <f aca="false" t="array" ref="C11:C11">IF(A11="","",IFERROR(INDEX('CLM &amp; IM Mapping'!$C$2:$C$270,MATCH(TRIM(A11),'CLM &amp; IM Mapping'!$A$2:$A$270,0)),"Not Mapped"))</f>
        <v>Un Mapped</v>
      </c>
      <c r="D11" s="38" t="n">
        <v>343</v>
      </c>
      <c r="E11" s="38"/>
      <c r="F11" s="38" t="n">
        <v>304</v>
      </c>
      <c r="G11" s="38" t="n">
        <v>647</v>
      </c>
      <c r="H11" s="40" t="n">
        <v>45135.89</v>
      </c>
      <c r="I11" s="12"/>
      <c r="J11" s="12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customFormat="false" ht="15.75" hidden="false" customHeight="true" outlineLevel="0" collapsed="false">
      <c r="A12" s="38" t="s">
        <v>120</v>
      </c>
      <c r="B12" s="38" t="str">
        <f aca="false" t="array" ref="B12:B12">IF(A12="","",IFERROR(INDEX('CLM &amp; IM Mapping'!$B$2:$B$270,MATCH(TRIM(A12),'CLM &amp; IM Mapping'!$A$2:$A$270,0)),"Not Mapped"))</f>
        <v>Basil Scariya</v>
      </c>
      <c r="C12" s="38" t="str">
        <f aca="false" t="array" ref="C12:C12">IF(A12="","",IFERROR(INDEX('CLM &amp; IM Mapping'!$C$2:$C$270,MATCH(TRIM(A12),'CLM &amp; IM Mapping'!$A$2:$A$270,0)),"Not Mapped"))</f>
        <v>Prakash BS</v>
      </c>
      <c r="D12" s="38" t="n">
        <v>83</v>
      </c>
      <c r="E12" s="38"/>
      <c r="F12" s="38" t="n">
        <v>334</v>
      </c>
      <c r="G12" s="38" t="n">
        <v>417</v>
      </c>
      <c r="H12" s="40" t="n">
        <v>40392.6</v>
      </c>
      <c r="I12" s="12"/>
      <c r="J12" s="12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customFormat="false" ht="15.75" hidden="false" customHeight="true" outlineLevel="0" collapsed="false">
      <c r="A13" s="38" t="s">
        <v>300</v>
      </c>
      <c r="B13" s="38" t="str">
        <f aca="false" t="array" ref="B13:B13">IF(A13="","",IFERROR(INDEX('CLM &amp; IM Mapping'!$B$2:$B$270,MATCH(TRIM(A13),'CLM &amp; IM Mapping'!$A$2:$A$270,0)),"Not Mapped"))</f>
        <v>Arun Raj</v>
      </c>
      <c r="C13" s="38" t="str">
        <f aca="false" t="array" ref="C13:C13">IF(A13="","",IFERROR(INDEX('CLM &amp; IM Mapping'!$C$2:$C$270,MATCH(TRIM(A13),'CLM &amp; IM Mapping'!$A$2:$A$270,0)),"Not Mapped"))</f>
        <v>Simon Manoharan</v>
      </c>
      <c r="D13" s="38"/>
      <c r="E13" s="38"/>
      <c r="F13" s="38" t="n">
        <v>131</v>
      </c>
      <c r="G13" s="38" t="n">
        <v>131</v>
      </c>
      <c r="H13" s="40" t="n">
        <v>40273.88</v>
      </c>
      <c r="I13" s="12"/>
      <c r="J13" s="12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customFormat="false" ht="15.75" hidden="false" customHeight="true" outlineLevel="0" collapsed="false">
      <c r="A14" s="38" t="s">
        <v>46</v>
      </c>
      <c r="B14" s="38" t="str">
        <f aca="false" t="array" ref="B14:B14">IF(A14="","",IFERROR(INDEX('CLM &amp; IM Mapping'!$B$2:$B$270,MATCH(TRIM(A14),'CLM &amp; IM Mapping'!$A$2:$A$270,0)),"Not Mapped"))</f>
        <v>Keshav G</v>
      </c>
      <c r="C14" s="38" t="str">
        <f aca="false" t="array" ref="C14:C14">IF(A14="","",IFERROR(INDEX('CLM &amp; IM Mapping'!$C$2:$C$270,MATCH(TRIM(A14),'CLM &amp; IM Mapping'!$A$2:$A$270,0)),"Not Mapped"))</f>
        <v>Mohammed Akbar</v>
      </c>
      <c r="D14" s="38" t="n">
        <v>48</v>
      </c>
      <c r="E14" s="38" t="n">
        <v>15</v>
      </c>
      <c r="F14" s="38" t="n">
        <v>580</v>
      </c>
      <c r="G14" s="38" t="n">
        <v>643</v>
      </c>
      <c r="H14" s="40" t="n">
        <v>32712.68</v>
      </c>
      <c r="I14" s="12"/>
      <c r="J14" s="12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customFormat="false" ht="15.75" hidden="false" customHeight="true" outlineLevel="0" collapsed="false">
      <c r="A15" s="38" t="s">
        <v>279</v>
      </c>
      <c r="B15" s="38" t="str">
        <f aca="false" t="array" ref="B15:B15">IF(A15="","",IFERROR(INDEX('CLM &amp; IM Mapping'!$B$2:$B$270,MATCH(TRIM(A15),'CLM &amp; IM Mapping'!$A$2:$A$270,0)),"Not Mapped"))</f>
        <v>Manjunatha V</v>
      </c>
      <c r="C15" s="38" t="str">
        <f aca="false" t="array" ref="C15:C15">IF(A15="","",IFERROR(INDEX('CLM &amp; IM Mapping'!$C$2:$C$270,MATCH(TRIM(A15),'CLM &amp; IM Mapping'!$A$2:$A$270,0)),"Not Mapped"))</f>
        <v>Un Mapped</v>
      </c>
      <c r="D15" s="38"/>
      <c r="E15" s="38"/>
      <c r="F15" s="38" t="n">
        <v>267</v>
      </c>
      <c r="G15" s="38" t="n">
        <v>267</v>
      </c>
      <c r="H15" s="40" t="n">
        <v>31035.39</v>
      </c>
      <c r="I15" s="12"/>
      <c r="J15" s="12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customFormat="false" ht="15.75" hidden="false" customHeight="true" outlineLevel="0" collapsed="false">
      <c r="A16" s="38" t="s">
        <v>98</v>
      </c>
      <c r="B16" s="38" t="str">
        <f aca="false" t="array" ref="B16:B16">IF(A16="","",IFERROR(INDEX('CLM &amp; IM Mapping'!$B$2:$B$270,MATCH(TRIM(A16),'CLM &amp; IM Mapping'!$A$2:$A$270,0)),"Not Mapped"))</f>
        <v>Silambarasan E</v>
      </c>
      <c r="C16" s="38" t="str">
        <f aca="false" t="array" ref="C16:C16">IF(A16="","",IFERROR(INDEX('CLM &amp; IM Mapping'!$C$2:$C$270,MATCH(TRIM(A16),'CLM &amp; IM Mapping'!$A$2:$A$270,0)),"Not Mapped"))</f>
        <v>Arivind S</v>
      </c>
      <c r="D16" s="38"/>
      <c r="E16" s="38"/>
      <c r="F16" s="38" t="n">
        <v>150</v>
      </c>
      <c r="G16" s="38" t="n">
        <v>150</v>
      </c>
      <c r="H16" s="40" t="n">
        <v>29719.31</v>
      </c>
      <c r="I16" s="12"/>
      <c r="J16" s="12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customFormat="false" ht="15.75" hidden="false" customHeight="true" outlineLevel="0" collapsed="false">
      <c r="A17" s="38" t="s">
        <v>80</v>
      </c>
      <c r="B17" s="38" t="str">
        <f aca="false" t="array" ref="B17:B17">IF(A17="","",IFERROR(INDEX('CLM &amp; IM Mapping'!$B$2:$B$270,MATCH(TRIM(A17),'CLM &amp; IM Mapping'!$A$2:$A$270,0)),"Not Mapped"))</f>
        <v>Akshay P</v>
      </c>
      <c r="C17" s="38" t="str">
        <f aca="false" t="array" ref="C17:C17">IF(A17="","",IFERROR(INDEX('CLM &amp; IM Mapping'!$C$2:$C$270,MATCH(TRIM(A17),'CLM &amp; IM Mapping'!$A$2:$A$270,0)),"Not Mapped"))</f>
        <v>Srittam Dhal</v>
      </c>
      <c r="D17" s="38" t="n">
        <v>300</v>
      </c>
      <c r="E17" s="38"/>
      <c r="F17" s="38" t="n">
        <v>122</v>
      </c>
      <c r="G17" s="38" t="n">
        <v>422</v>
      </c>
      <c r="H17" s="40" t="n">
        <v>29420.75</v>
      </c>
      <c r="I17" s="12"/>
      <c r="J17" s="12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customFormat="false" ht="15.75" hidden="false" customHeight="true" outlineLevel="0" collapsed="false">
      <c r="A18" s="38" t="s">
        <v>137</v>
      </c>
      <c r="B18" s="38" t="str">
        <f aca="false" t="array" ref="B18:B18">IF(A18="","",IFERROR(INDEX('CLM &amp; IM Mapping'!$B$2:$B$270,MATCH(TRIM(A18),'CLM &amp; IM Mapping'!$A$2:$A$270,0)),"Not Mapped"))</f>
        <v>Akshay P</v>
      </c>
      <c r="C18" s="38" t="str">
        <f aca="false" t="array" ref="C18:C18">IF(A18="","",IFERROR(INDEX('CLM &amp; IM Mapping'!$C$2:$C$270,MATCH(TRIM(A18),'CLM &amp; IM Mapping'!$A$2:$A$270,0)),"Not Mapped"))</f>
        <v>Srittam Dhal</v>
      </c>
      <c r="D18" s="38" t="n">
        <v>103</v>
      </c>
      <c r="E18" s="38" t="n">
        <v>143</v>
      </c>
      <c r="F18" s="38"/>
      <c r="G18" s="38" t="n">
        <v>246</v>
      </c>
      <c r="H18" s="40" t="n">
        <v>28773.12</v>
      </c>
      <c r="I18" s="12"/>
      <c r="J18" s="12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customFormat="false" ht="15.75" hidden="false" customHeight="true" outlineLevel="0" collapsed="false">
      <c r="A19" s="38" t="s">
        <v>211</v>
      </c>
      <c r="B19" s="38" t="str">
        <f aca="false" t="array" ref="B19:B19">IF(A19="","",IFERROR(INDEX('CLM &amp; IM Mapping'!$B$2:$B$270,MATCH(TRIM(A19),'CLM &amp; IM Mapping'!$A$2:$A$270,0)),"Not Mapped"))</f>
        <v>Arun Raj</v>
      </c>
      <c r="C19" s="38" t="str">
        <f aca="false" t="array" ref="C19:C19">IF(A19="","",IFERROR(INDEX('CLM &amp; IM Mapping'!$C$2:$C$270,MATCH(TRIM(A19),'CLM &amp; IM Mapping'!$A$2:$A$270,0)),"Not Mapped"))</f>
        <v>Simon Manoharan</v>
      </c>
      <c r="D19" s="38"/>
      <c r="E19" s="38"/>
      <c r="F19" s="38" t="n">
        <v>113</v>
      </c>
      <c r="G19" s="38" t="n">
        <v>113</v>
      </c>
      <c r="H19" s="40" t="n">
        <v>27828.42</v>
      </c>
      <c r="I19" s="12"/>
      <c r="J19" s="12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customFormat="false" ht="15.75" hidden="false" customHeight="true" outlineLevel="0" collapsed="false">
      <c r="A20" s="38" t="s">
        <v>26</v>
      </c>
      <c r="B20" s="38" t="str">
        <f aca="false" t="array" ref="B20:B20">IF(A20="","",IFERROR(INDEX('CLM &amp; IM Mapping'!$B$2:$B$270,MATCH(TRIM(A20),'CLM &amp; IM Mapping'!$A$2:$A$270,0)),"Not Mapped"))</f>
        <v>Manoj Kj</v>
      </c>
      <c r="C20" s="38" t="str">
        <f aca="false" t="array" ref="C20:C20">IF(A20="","",IFERROR(INDEX('CLM &amp; IM Mapping'!$C$2:$C$270,MATCH(TRIM(A20),'CLM &amp; IM Mapping'!$A$2:$A$270,0)),"Not Mapped"))</f>
        <v>Srittam Dhal</v>
      </c>
      <c r="D20" s="38"/>
      <c r="E20" s="38"/>
      <c r="F20" s="38" t="n">
        <v>516</v>
      </c>
      <c r="G20" s="38" t="n">
        <v>516</v>
      </c>
      <c r="H20" s="40" t="n">
        <v>27752.88</v>
      </c>
      <c r="I20" s="12"/>
      <c r="J20" s="12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customFormat="false" ht="15.75" hidden="false" customHeight="true" outlineLevel="0" collapsed="false">
      <c r="A21" s="38" t="s">
        <v>62</v>
      </c>
      <c r="B21" s="38" t="str">
        <f aca="false" t="array" ref="B21:B21">IF(A21="","",IFERROR(INDEX('CLM &amp; IM Mapping'!$B$2:$B$270,MATCH(TRIM(A21),'CLM &amp; IM Mapping'!$A$2:$A$270,0)),"Not Mapped"))</f>
        <v>Silambarasan E</v>
      </c>
      <c r="C21" s="38" t="str">
        <f aca="false" t="array" ref="C21:C21">IF(A21="","",IFERROR(INDEX('CLM &amp; IM Mapping'!$C$2:$C$270,MATCH(TRIM(A21),'CLM &amp; IM Mapping'!$A$2:$A$270,0)),"Not Mapped"))</f>
        <v>Arivind S</v>
      </c>
      <c r="D21" s="38" t="n">
        <v>3</v>
      </c>
      <c r="E21" s="38"/>
      <c r="F21" s="38" t="n">
        <v>264</v>
      </c>
      <c r="G21" s="38" t="n">
        <v>267</v>
      </c>
      <c r="H21" s="40" t="n">
        <v>25563.77</v>
      </c>
      <c r="I21" s="12"/>
      <c r="J21" s="12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customFormat="false" ht="15.75" hidden="false" customHeight="true" outlineLevel="0" collapsed="false">
      <c r="A22" s="38" t="s">
        <v>28</v>
      </c>
      <c r="B22" s="38" t="str">
        <f aca="false" t="array" ref="B22:B22">IF(A22="","",IFERROR(INDEX('CLM &amp; IM Mapping'!$B$2:$B$270,MATCH(TRIM(A22),'CLM &amp; IM Mapping'!$A$2:$A$270,0)),"Not Mapped"))</f>
        <v>Vijay M</v>
      </c>
      <c r="C22" s="38" t="str">
        <f aca="false" t="array" ref="C22:C22">IF(A22="","",IFERROR(INDEX('CLM &amp; IM Mapping'!$C$2:$C$270,MATCH(TRIM(A22),'CLM &amp; IM Mapping'!$A$2:$A$270,0)),"Not Mapped"))</f>
        <v>Kantha Kumar</v>
      </c>
      <c r="D22" s="38" t="n">
        <v>37</v>
      </c>
      <c r="E22" s="38" t="n">
        <v>46</v>
      </c>
      <c r="F22" s="38" t="n">
        <v>159</v>
      </c>
      <c r="G22" s="38" t="n">
        <v>242</v>
      </c>
      <c r="H22" s="40" t="n">
        <v>24100.68</v>
      </c>
      <c r="I22" s="12"/>
      <c r="J22" s="12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customFormat="false" ht="15.75" hidden="false" customHeight="true" outlineLevel="0" collapsed="false">
      <c r="A23" s="38" t="s">
        <v>139</v>
      </c>
      <c r="B23" s="38" t="str">
        <f aca="false" t="array" ref="B23:B23">IF(A23="","",IFERROR(INDEX('CLM &amp; IM Mapping'!$B$2:$B$270,MATCH(TRIM(A23),'CLM &amp; IM Mapping'!$A$2:$A$270,0)),"Not Mapped"))</f>
        <v>Mohaideen DH</v>
      </c>
      <c r="C23" s="38" t="str">
        <f aca="false" t="array" ref="C23:C23">IF(A23="","",IFERROR(INDEX('CLM &amp; IM Mapping'!$C$2:$C$270,MATCH(TRIM(A23),'CLM &amp; IM Mapping'!$A$2:$A$270,0)),"Not Mapped"))</f>
        <v>Mohammed Akbar</v>
      </c>
      <c r="D23" s="38" t="n">
        <v>248</v>
      </c>
      <c r="E23" s="38" t="n">
        <v>1</v>
      </c>
      <c r="F23" s="38"/>
      <c r="G23" s="38" t="n">
        <v>249</v>
      </c>
      <c r="H23" s="40" t="n">
        <v>23064.55</v>
      </c>
      <c r="I23" s="12"/>
      <c r="J23" s="12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customFormat="false" ht="15.75" hidden="false" customHeight="true" outlineLevel="0" collapsed="false">
      <c r="A24" s="38" t="s">
        <v>70</v>
      </c>
      <c r="B24" s="38" t="str">
        <f aca="false" t="array" ref="B24:B24">IF(A24="","",IFERROR(INDEX('CLM &amp; IM Mapping'!$B$2:$B$270,MATCH(TRIM(A24),'CLM &amp; IM Mapping'!$A$2:$A$270,0)),"Not Mapped"))</f>
        <v>Mohaideen DH</v>
      </c>
      <c r="C24" s="38" t="str">
        <f aca="false" t="array" ref="C24:C24">IF(A24="","",IFERROR(INDEX('CLM &amp; IM Mapping'!$C$2:$C$270,MATCH(TRIM(A24),'CLM &amp; IM Mapping'!$A$2:$A$270,0)),"Not Mapped"))</f>
        <v>Mohammed Akbar</v>
      </c>
      <c r="D24" s="38"/>
      <c r="E24" s="38" t="n">
        <v>41</v>
      </c>
      <c r="F24" s="38" t="n">
        <v>75</v>
      </c>
      <c r="G24" s="38" t="n">
        <v>116</v>
      </c>
      <c r="H24" s="40" t="n">
        <v>21903.32</v>
      </c>
      <c r="I24" s="12"/>
      <c r="J24" s="12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customFormat="false" ht="15.75" hidden="false" customHeight="true" outlineLevel="0" collapsed="false">
      <c r="A25" s="38" t="s">
        <v>108</v>
      </c>
      <c r="B25" s="38" t="str">
        <f aca="false" t="array" ref="B25:B25">IF(A25="","",IFERROR(INDEX('CLM &amp; IM Mapping'!$B$2:$B$270,MATCH(TRIM(A25),'CLM &amp; IM Mapping'!$A$2:$A$270,0)),"Not Mapped"))</f>
        <v>Vijay M</v>
      </c>
      <c r="C25" s="38" t="str">
        <f aca="false" t="array" ref="C25:C25">IF(A25="","",IFERROR(INDEX('CLM &amp; IM Mapping'!$C$2:$C$270,MATCH(TRIM(A25),'CLM &amp; IM Mapping'!$A$2:$A$270,0)),"Not Mapped"))</f>
        <v>Kantha Kumar</v>
      </c>
      <c r="D25" s="38"/>
      <c r="E25" s="38" t="n">
        <v>171</v>
      </c>
      <c r="F25" s="38" t="n">
        <v>79</v>
      </c>
      <c r="G25" s="38" t="n">
        <v>250</v>
      </c>
      <c r="H25" s="40" t="n">
        <v>20254.73</v>
      </c>
      <c r="I25" s="12"/>
      <c r="J25" s="12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customFormat="false" ht="15.75" hidden="false" customHeight="true" outlineLevel="0" collapsed="false">
      <c r="A26" s="38" t="s">
        <v>44</v>
      </c>
      <c r="B26" s="38" t="str">
        <f aca="false" t="array" ref="B26:B26">IF(A26="","",IFERROR(INDEX('CLM &amp; IM Mapping'!$B$2:$B$270,MATCH(TRIM(A26),'CLM &amp; IM Mapping'!$A$2:$A$270,0)),"Not Mapped"))</f>
        <v>Silambarasan E</v>
      </c>
      <c r="C26" s="38" t="str">
        <f aca="false" t="array" ref="C26:C26">IF(A26="","",IFERROR(INDEX('CLM &amp; IM Mapping'!$C$2:$C$270,MATCH(TRIM(A26),'CLM &amp; IM Mapping'!$A$2:$A$270,0)),"Not Mapped"))</f>
        <v>Arivind S</v>
      </c>
      <c r="D26" s="38" t="n">
        <v>166</v>
      </c>
      <c r="E26" s="38" t="n">
        <v>1</v>
      </c>
      <c r="F26" s="38" t="n">
        <v>240</v>
      </c>
      <c r="G26" s="38" t="n">
        <v>407</v>
      </c>
      <c r="H26" s="40" t="n">
        <v>19335.48</v>
      </c>
      <c r="I26" s="12"/>
      <c r="J26" s="12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customFormat="false" ht="15.75" hidden="false" customHeight="true" outlineLevel="0" collapsed="false">
      <c r="A27" s="38" t="s">
        <v>38</v>
      </c>
      <c r="B27" s="38" t="str">
        <f aca="false" t="array" ref="B27:B27">IF(A27="","",IFERROR(INDEX('CLM &amp; IM Mapping'!$B$2:$B$270,MATCH(TRIM(A27),'CLM &amp; IM Mapping'!$A$2:$A$270,0)),"Not Mapped"))</f>
        <v>Adhavan Subramani</v>
      </c>
      <c r="C27" s="38" t="str">
        <f aca="false" t="array" ref="C27:C27">IF(A27="","",IFERROR(INDEX('CLM &amp; IM Mapping'!$C$2:$C$270,MATCH(TRIM(A27),'CLM &amp; IM Mapping'!$A$2:$A$270,0)),"Not Mapped"))</f>
        <v>Mohammed Akbar</v>
      </c>
      <c r="D27" s="38" t="n">
        <v>247</v>
      </c>
      <c r="E27" s="38"/>
      <c r="F27" s="38" t="n">
        <v>16</v>
      </c>
      <c r="G27" s="38" t="n">
        <v>263</v>
      </c>
      <c r="H27" s="40" t="n">
        <v>19258.09</v>
      </c>
      <c r="I27" s="12"/>
      <c r="J27" s="12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customFormat="false" ht="15.75" hidden="false" customHeight="true" outlineLevel="0" collapsed="false">
      <c r="A28" s="38" t="s">
        <v>281</v>
      </c>
      <c r="B28" s="38" t="str">
        <f aca="false" t="array" ref="B28:B28">IF(A28="","",IFERROR(INDEX('CLM &amp; IM Mapping'!$B$2:$B$270,MATCH(TRIM(A28),'CLM &amp; IM Mapping'!$A$2:$A$270,0)),"Not Mapped"))</f>
        <v>Basil Scariya</v>
      </c>
      <c r="C28" s="38" t="str">
        <f aca="false" t="array" ref="C28:C28">IF(A28="","",IFERROR(INDEX('CLM &amp; IM Mapping'!$C$2:$C$270,MATCH(TRIM(A28),'CLM &amp; IM Mapping'!$A$2:$A$270,0)),"Not Mapped"))</f>
        <v>Prakash BS</v>
      </c>
      <c r="D28" s="38" t="n">
        <v>32</v>
      </c>
      <c r="E28" s="38"/>
      <c r="F28" s="38" t="n">
        <v>3</v>
      </c>
      <c r="G28" s="38" t="n">
        <v>35</v>
      </c>
      <c r="H28" s="40" t="n">
        <v>13998.49</v>
      </c>
      <c r="I28" s="12"/>
      <c r="J28" s="12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customFormat="false" ht="15.75" hidden="false" customHeight="true" outlineLevel="0" collapsed="false">
      <c r="A29" s="38" t="s">
        <v>113</v>
      </c>
      <c r="B29" s="38" t="str">
        <f aca="false" t="array" ref="B29:B29">IF(A29="","",IFERROR(INDEX('CLM &amp; IM Mapping'!$B$2:$B$270,MATCH(TRIM(A29),'CLM &amp; IM Mapping'!$A$2:$A$270,0)),"Not Mapped"))</f>
        <v>Suhas N</v>
      </c>
      <c r="C29" s="38" t="str">
        <f aca="false" t="array" ref="C29:C29">IF(A29="","",IFERROR(INDEX('CLM &amp; IM Mapping'!$C$2:$C$270,MATCH(TRIM(A29),'CLM &amp; IM Mapping'!$A$2:$A$270,0)),"Not Mapped"))</f>
        <v>Aravind S</v>
      </c>
      <c r="D29" s="38" t="n">
        <v>30</v>
      </c>
      <c r="E29" s="38" t="n">
        <v>10</v>
      </c>
      <c r="F29" s="38" t="n">
        <v>57</v>
      </c>
      <c r="G29" s="38" t="n">
        <v>97</v>
      </c>
      <c r="H29" s="40" t="n">
        <v>13851.48</v>
      </c>
      <c r="I29" s="12"/>
      <c r="J29" s="12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customFormat="false" ht="15.75" hidden="false" customHeight="true" outlineLevel="0" collapsed="false">
      <c r="A30" s="38" t="s">
        <v>88</v>
      </c>
      <c r="B30" s="38" t="str">
        <f aca="false" t="array" ref="B30:B30">IF(A30="","",IFERROR(INDEX('CLM &amp; IM Mapping'!$B$2:$B$270,MATCH(TRIM(A30),'CLM &amp; IM Mapping'!$A$2:$A$270,0)),"Not Mapped"))</f>
        <v>Richard Harris</v>
      </c>
      <c r="C30" s="38" t="str">
        <f aca="false" t="array" ref="C30:C30">IF(A30="","",IFERROR(INDEX('CLM &amp; IM Mapping'!$C$2:$C$270,MATCH(TRIM(A30),'CLM &amp; IM Mapping'!$A$2:$A$270,0)),"Not Mapped"))</f>
        <v>Kantha Kumar</v>
      </c>
      <c r="D30" s="38"/>
      <c r="E30" s="38"/>
      <c r="F30" s="38" t="n">
        <v>42</v>
      </c>
      <c r="G30" s="38" t="n">
        <v>42</v>
      </c>
      <c r="H30" s="40" t="n">
        <v>13670.67</v>
      </c>
      <c r="I30" s="12"/>
      <c r="J30" s="12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customFormat="false" ht="15.75" hidden="false" customHeight="true" outlineLevel="0" collapsed="false">
      <c r="A31" s="38" t="s">
        <v>296</v>
      </c>
      <c r="B31" s="38" t="str">
        <f aca="false" t="array" ref="B31:B31">IF(A31="","",IFERROR(INDEX('CLM &amp; IM Mapping'!$B$2:$B$270,MATCH(TRIM(A31),'CLM &amp; IM Mapping'!$A$2:$A$270,0)),"Not Mapped"))</f>
        <v>Sundaresh S</v>
      </c>
      <c r="C31" s="38" t="str">
        <f aca="false" t="array" ref="C31:C31">IF(A31="","",IFERROR(INDEX('CLM &amp; IM Mapping'!$C$2:$C$270,MATCH(TRIM(A31),'CLM &amp; IM Mapping'!$A$2:$A$270,0)),"Not Mapped"))</f>
        <v>Un Mapped</v>
      </c>
      <c r="D31" s="38" t="n">
        <v>79</v>
      </c>
      <c r="E31" s="38"/>
      <c r="F31" s="38" t="n">
        <v>12</v>
      </c>
      <c r="G31" s="38" t="n">
        <v>91</v>
      </c>
      <c r="H31" s="40" t="n">
        <v>13577.18</v>
      </c>
      <c r="I31" s="12"/>
      <c r="J31" s="12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customFormat="false" ht="15.75" hidden="false" customHeight="true" outlineLevel="0" collapsed="false">
      <c r="A32" s="38" t="s">
        <v>33</v>
      </c>
      <c r="B32" s="38" t="str">
        <f aca="false" t="array" ref="B32:B32">IF(A32="","",IFERROR(INDEX('CLM &amp; IM Mapping'!$B$2:$B$270,MATCH(TRIM(A32),'CLM &amp; IM Mapping'!$A$2:$A$270,0)),"Not Mapped"))</f>
        <v>Arun Raj</v>
      </c>
      <c r="C32" s="38" t="str">
        <f aca="false" t="array" ref="C32:C32">IF(A32="","",IFERROR(INDEX('CLM &amp; IM Mapping'!$C$2:$C$270,MATCH(TRIM(A32),'CLM &amp; IM Mapping'!$A$2:$A$270,0)),"Not Mapped"))</f>
        <v>Simon Manoharan</v>
      </c>
      <c r="D32" s="38"/>
      <c r="E32" s="38"/>
      <c r="F32" s="38" t="n">
        <v>58</v>
      </c>
      <c r="G32" s="38" t="n">
        <v>58</v>
      </c>
      <c r="H32" s="40" t="n">
        <v>12880.59</v>
      </c>
      <c r="I32" s="12"/>
      <c r="J32" s="12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customFormat="false" ht="15.75" hidden="false" customHeight="true" outlineLevel="0" collapsed="false">
      <c r="A33" s="38" t="s">
        <v>54</v>
      </c>
      <c r="B33" s="38" t="str">
        <f aca="false" t="array" ref="B33:B33">IF(A33="","",IFERROR(INDEX('CLM &amp; IM Mapping'!$B$2:$B$270,MATCH(TRIM(A33),'CLM &amp; IM Mapping'!$A$2:$A$270,0)),"Not Mapped"))</f>
        <v>Suhas N</v>
      </c>
      <c r="C33" s="38" t="str">
        <f aca="false" t="array" ref="C33:C33">IF(A33="","",IFERROR(INDEX('CLM &amp; IM Mapping'!$C$2:$C$270,MATCH(TRIM(A33),'CLM &amp; IM Mapping'!$A$2:$A$270,0)),"Not Mapped"))</f>
        <v>Aravind S</v>
      </c>
      <c r="D33" s="38"/>
      <c r="E33" s="38" t="n">
        <v>112</v>
      </c>
      <c r="F33" s="38"/>
      <c r="G33" s="38" t="n">
        <v>112</v>
      </c>
      <c r="H33" s="40" t="n">
        <v>12850.85</v>
      </c>
      <c r="I33" s="12"/>
      <c r="J33" s="12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customFormat="false" ht="15.75" hidden="false" customHeight="true" outlineLevel="0" collapsed="false">
      <c r="A34" s="38" t="s">
        <v>74</v>
      </c>
      <c r="B34" s="38" t="str">
        <f aca="false" t="array" ref="B34:B34">IF(A34="","",IFERROR(INDEX('CLM &amp; IM Mapping'!$B$2:$B$270,MATCH(TRIM(A34),'CLM &amp; IM Mapping'!$A$2:$A$270,0)),"Not Mapped"))</f>
        <v>Manoj Kj</v>
      </c>
      <c r="C34" s="38" t="str">
        <f aca="false" t="array" ref="C34:C34">IF(A34="","",IFERROR(INDEX('CLM &amp; IM Mapping'!$C$2:$C$270,MATCH(TRIM(A34),'CLM &amp; IM Mapping'!$A$2:$A$270,0)),"Not Mapped"))</f>
        <v>Srittam Dhal</v>
      </c>
      <c r="D34" s="38" t="n">
        <v>163</v>
      </c>
      <c r="E34" s="38"/>
      <c r="F34" s="38" t="n">
        <v>93</v>
      </c>
      <c r="G34" s="38" t="n">
        <v>256</v>
      </c>
      <c r="H34" s="40" t="n">
        <v>12819.34</v>
      </c>
      <c r="I34" s="12"/>
      <c r="J34" s="12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customFormat="false" ht="15.75" hidden="false" customHeight="true" outlineLevel="0" collapsed="false">
      <c r="A35" s="38" t="s">
        <v>51</v>
      </c>
      <c r="B35" s="38" t="str">
        <f aca="false" t="array" ref="B35:B35">IF(A35="","",IFERROR(INDEX('CLM &amp; IM Mapping'!$B$2:$B$270,MATCH(TRIM(A35),'CLM &amp; IM Mapping'!$A$2:$A$270,0)),"Not Mapped"))</f>
        <v>Raghavendra Vernekar</v>
      </c>
      <c r="C35" s="38" t="str">
        <f aca="false" t="array" ref="C35:C35">IF(A35="","",IFERROR(INDEX('CLM &amp; IM Mapping'!$C$2:$C$270,MATCH(TRIM(A35),'CLM &amp; IM Mapping'!$A$2:$A$270,0)),"Not Mapped"))</f>
        <v>Prakash BS</v>
      </c>
      <c r="D35" s="38" t="n">
        <v>39</v>
      </c>
      <c r="E35" s="38"/>
      <c r="F35" s="38" t="n">
        <v>108</v>
      </c>
      <c r="G35" s="38" t="n">
        <v>147</v>
      </c>
      <c r="H35" s="40" t="n">
        <v>11961.78</v>
      </c>
      <c r="I35" s="12"/>
      <c r="J35" s="12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customFormat="false" ht="15.75" hidden="false" customHeight="true" outlineLevel="0" collapsed="false">
      <c r="A36" s="38" t="s">
        <v>87</v>
      </c>
      <c r="B36" s="38" t="str">
        <f aca="false" t="array" ref="B36:B36">IF(A36="","",IFERROR(INDEX('CLM &amp; IM Mapping'!$B$2:$B$270,MATCH(TRIM(A36),'CLM &amp; IM Mapping'!$A$2:$A$270,0)),"Not Mapped"))</f>
        <v>Silambarasan E</v>
      </c>
      <c r="C36" s="38" t="str">
        <f aca="false" t="array" ref="C36:C36">IF(A36="","",IFERROR(INDEX('CLM &amp; IM Mapping'!$C$2:$C$270,MATCH(TRIM(A36),'CLM &amp; IM Mapping'!$A$2:$A$270,0)),"Not Mapped"))</f>
        <v>Arivind S</v>
      </c>
      <c r="D36" s="38" t="n">
        <v>178</v>
      </c>
      <c r="E36" s="38"/>
      <c r="F36" s="38"/>
      <c r="G36" s="38" t="n">
        <v>178</v>
      </c>
      <c r="H36" s="40" t="n">
        <v>11834.6</v>
      </c>
      <c r="I36" s="12"/>
      <c r="J36" s="12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customFormat="false" ht="15.75" hidden="false" customHeight="true" outlineLevel="0" collapsed="false">
      <c r="A37" s="38" t="s">
        <v>147</v>
      </c>
      <c r="B37" s="38" t="str">
        <f aca="false" t="array" ref="B37:B37">IF(A37="","",IFERROR(INDEX('CLM &amp; IM Mapping'!$B$2:$B$270,MATCH(TRIM(A37),'CLM &amp; IM Mapping'!$A$2:$A$270,0)),"Not Mapped"))</f>
        <v>Manjunatha V</v>
      </c>
      <c r="C37" s="38" t="str">
        <f aca="false" t="array" ref="C37:C37">IF(A37="","",IFERROR(INDEX('CLM &amp; IM Mapping'!$C$2:$C$270,MATCH(TRIM(A37),'CLM &amp; IM Mapping'!$A$2:$A$270,0)),"Not Mapped"))</f>
        <v>Un Mapped</v>
      </c>
      <c r="D37" s="38" t="n">
        <v>56</v>
      </c>
      <c r="E37" s="38"/>
      <c r="F37" s="38" t="n">
        <v>38</v>
      </c>
      <c r="G37" s="38" t="n">
        <v>94</v>
      </c>
      <c r="H37" s="40" t="n">
        <v>11658.72</v>
      </c>
      <c r="I37" s="12"/>
      <c r="J37" s="12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customFormat="false" ht="15.75" hidden="false" customHeight="true" outlineLevel="0" collapsed="false">
      <c r="A38" s="38" t="s">
        <v>266</v>
      </c>
      <c r="B38" s="38" t="str">
        <f aca="false" t="array" ref="B38:B38">IF(A38="","",IFERROR(INDEX('CLM &amp; IM Mapping'!$B$2:$B$270,MATCH(TRIM(A38),'CLM &amp; IM Mapping'!$A$2:$A$270,0)),"Not Mapped"))</f>
        <v>Sundaresh S</v>
      </c>
      <c r="C38" s="38" t="str">
        <f aca="false" t="array" ref="C38:C38">IF(A38="","",IFERROR(INDEX('CLM &amp; IM Mapping'!$C$2:$C$270,MATCH(TRIM(A38),'CLM &amp; IM Mapping'!$A$2:$A$270,0)),"Not Mapped"))</f>
        <v>Un Mapped</v>
      </c>
      <c r="D38" s="38" t="n">
        <v>2</v>
      </c>
      <c r="E38" s="38"/>
      <c r="F38" s="38" t="n">
        <v>11</v>
      </c>
      <c r="G38" s="38" t="n">
        <v>13</v>
      </c>
      <c r="H38" s="40" t="n">
        <v>11027.58</v>
      </c>
      <c r="I38" s="12"/>
      <c r="J38" s="12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customFormat="false" ht="15.75" hidden="false" customHeight="true" outlineLevel="0" collapsed="false">
      <c r="A39" s="38" t="s">
        <v>125</v>
      </c>
      <c r="B39" s="38" t="str">
        <f aca="false" t="array" ref="B39:B39">IF(A39="","",IFERROR(INDEX('CLM &amp; IM Mapping'!$B$2:$B$270,MATCH(TRIM(A39),'CLM &amp; IM Mapping'!$A$2:$A$270,0)),"Not Mapped"))</f>
        <v>Adhavan Subramani</v>
      </c>
      <c r="C39" s="38" t="str">
        <f aca="false" t="array" ref="C39:C39">IF(A39="","",IFERROR(INDEX('CLM &amp; IM Mapping'!$C$2:$C$270,MATCH(TRIM(A39),'CLM &amp; IM Mapping'!$A$2:$A$270,0)),"Not Mapped"))</f>
        <v>Mohammed Akbar</v>
      </c>
      <c r="D39" s="38" t="n">
        <v>94</v>
      </c>
      <c r="E39" s="38"/>
      <c r="F39" s="38"/>
      <c r="G39" s="38" t="n">
        <v>94</v>
      </c>
      <c r="H39" s="40" t="n">
        <v>10939.86</v>
      </c>
      <c r="I39" s="12"/>
      <c r="J39" s="12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customFormat="false" ht="15.75" hidden="false" customHeight="true" outlineLevel="0" collapsed="false">
      <c r="A40" s="38" t="s">
        <v>248</v>
      </c>
      <c r="B40" s="38" t="str">
        <f aca="false" t="array" ref="B40:B40">IF(A40="","",IFERROR(INDEX('CLM &amp; IM Mapping'!$B$2:$B$270,MATCH(TRIM(A40),'CLM &amp; IM Mapping'!$A$2:$A$270,0)),"Not Mapped"))</f>
        <v>Rizwan Ahmed</v>
      </c>
      <c r="C40" s="38" t="str">
        <f aca="false" t="array" ref="C40:C40">IF(A40="","",IFERROR(INDEX('CLM &amp; IM Mapping'!$C$2:$C$270,MATCH(TRIM(A40),'CLM &amp; IM Mapping'!$A$2:$A$270,0)),"Not Mapped"))</f>
        <v>Un Mapped</v>
      </c>
      <c r="D40" s="38"/>
      <c r="E40" s="38"/>
      <c r="F40" s="38" t="n">
        <v>69</v>
      </c>
      <c r="G40" s="38" t="n">
        <v>69</v>
      </c>
      <c r="H40" s="40" t="n">
        <v>10330.25</v>
      </c>
      <c r="I40" s="12"/>
      <c r="J40" s="12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customFormat="false" ht="15.75" hidden="false" customHeight="true" outlineLevel="0" collapsed="false">
      <c r="A41" s="38" t="s">
        <v>212</v>
      </c>
      <c r="B41" s="38" t="str">
        <f aca="false" t="array" ref="B41:B41">IF(A41="","",IFERROR(INDEX('CLM &amp; IM Mapping'!$B$2:$B$270,MATCH(TRIM(A41),'CLM &amp; IM Mapping'!$A$2:$A$270,0)),"Not Mapped"))</f>
        <v>Adhavan Subramani</v>
      </c>
      <c r="C41" s="38" t="str">
        <f aca="false" t="array" ref="C41:C41">IF(A41="","",IFERROR(INDEX('CLM &amp; IM Mapping'!$C$2:$C$270,MATCH(TRIM(A41),'CLM &amp; IM Mapping'!$A$2:$A$270,0)),"Not Mapped"))</f>
        <v>Mohammed Akbar</v>
      </c>
      <c r="D41" s="38"/>
      <c r="E41" s="38" t="n">
        <v>2</v>
      </c>
      <c r="F41" s="38" t="n">
        <v>128</v>
      </c>
      <c r="G41" s="38" t="n">
        <v>130</v>
      </c>
      <c r="H41" s="40" t="n">
        <v>9870.32</v>
      </c>
      <c r="I41" s="12"/>
      <c r="J41" s="12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customFormat="false" ht="15.75" hidden="false" customHeight="true" outlineLevel="0" collapsed="false">
      <c r="A42" s="38" t="s">
        <v>154</v>
      </c>
      <c r="B42" s="38" t="str">
        <f aca="false" t="array" ref="B42:B42">IF(A42="","",IFERROR(INDEX('CLM &amp; IM Mapping'!$B$2:$B$270,MATCH(TRIM(A42),'CLM &amp; IM Mapping'!$A$2:$A$270,0)),"Not Mapped"))</f>
        <v>Akshay P</v>
      </c>
      <c r="C42" s="38" t="str">
        <f aca="false" t="array" ref="C42:C42">IF(A42="","",IFERROR(INDEX('CLM &amp; IM Mapping'!$C$2:$C$270,MATCH(TRIM(A42),'CLM &amp; IM Mapping'!$A$2:$A$270,0)),"Not Mapped"))</f>
        <v>Srittam Dhal</v>
      </c>
      <c r="D42" s="38"/>
      <c r="E42" s="38"/>
      <c r="F42" s="38" t="n">
        <v>58</v>
      </c>
      <c r="G42" s="38" t="n">
        <v>58</v>
      </c>
      <c r="H42" s="40" t="n">
        <v>9337.94</v>
      </c>
      <c r="I42" s="12"/>
      <c r="J42" s="12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customFormat="false" ht="15.75" hidden="false" customHeight="true" outlineLevel="0" collapsed="false">
      <c r="A43" s="38" t="s">
        <v>206</v>
      </c>
      <c r="B43" s="38" t="str">
        <f aca="false" t="array" ref="B43:B43">IF(A43="","",IFERROR(INDEX('CLM &amp; IM Mapping'!$B$2:$B$270,MATCH(TRIM(A43),'CLM &amp; IM Mapping'!$A$2:$A$270,0)),"Not Mapped"))</f>
        <v>Raghavendra Vernekar</v>
      </c>
      <c r="C43" s="38" t="str">
        <f aca="false" t="array" ref="C43:C43">IF(A43="","",IFERROR(INDEX('CLM &amp; IM Mapping'!$C$2:$C$270,MATCH(TRIM(A43),'CLM &amp; IM Mapping'!$A$2:$A$270,0)),"Not Mapped"))</f>
        <v>Prakash BS</v>
      </c>
      <c r="D43" s="38" t="n">
        <v>69</v>
      </c>
      <c r="E43" s="38"/>
      <c r="F43" s="38" t="n">
        <v>69</v>
      </c>
      <c r="G43" s="38" t="n">
        <v>138</v>
      </c>
      <c r="H43" s="40" t="n">
        <v>9025.76</v>
      </c>
      <c r="I43" s="12"/>
      <c r="J43" s="12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customFormat="false" ht="15.75" hidden="false" customHeight="true" outlineLevel="0" collapsed="false">
      <c r="A44" s="38" t="s">
        <v>315</v>
      </c>
      <c r="B44" s="38" t="str">
        <f aca="false" t="array" ref="B44:B44">IF(A44="","",IFERROR(INDEX('CLM &amp; IM Mapping'!$B$2:$B$270,MATCH(TRIM(A44),'CLM &amp; IM Mapping'!$A$2:$A$270,0)),"Not Mapped"))</f>
        <v>Basil Scariya</v>
      </c>
      <c r="C44" s="38" t="str">
        <f aca="false" t="array" ref="C44:C44">IF(A44="","",IFERROR(INDEX('CLM &amp; IM Mapping'!$C$2:$C$270,MATCH(TRIM(A44),'CLM &amp; IM Mapping'!$A$2:$A$270,0)),"Not Mapped"))</f>
        <v>Prakash BS</v>
      </c>
      <c r="D44" s="38"/>
      <c r="E44" s="38"/>
      <c r="F44" s="38" t="n">
        <v>44</v>
      </c>
      <c r="G44" s="38" t="n">
        <v>44</v>
      </c>
      <c r="H44" s="40" t="n">
        <v>8292.26</v>
      </c>
      <c r="I44" s="12"/>
      <c r="J44" s="12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customFormat="false" ht="15.75" hidden="false" customHeight="true" outlineLevel="0" collapsed="false">
      <c r="A45" s="38" t="s">
        <v>64</v>
      </c>
      <c r="B45" s="38" t="str">
        <f aca="false" t="array" ref="B45:B45">IF(A45="","",IFERROR(INDEX('CLM &amp; IM Mapping'!$B$2:$B$270,MATCH(TRIM(A45),'CLM &amp; IM Mapping'!$A$2:$A$270,0)),"Not Mapped"))</f>
        <v>Ashwath S</v>
      </c>
      <c r="C45" s="38" t="str">
        <f aca="false" t="array" ref="C45:C45">IF(A45="","",IFERROR(INDEX('CLM &amp; IM Mapping'!$C$2:$C$270,MATCH(TRIM(A45),'CLM &amp; IM Mapping'!$A$2:$A$270,0)),"Not Mapped"))</f>
        <v>Kantha Kumar</v>
      </c>
      <c r="D45" s="38"/>
      <c r="E45" s="38"/>
      <c r="F45" s="38" t="n">
        <v>67</v>
      </c>
      <c r="G45" s="38" t="n">
        <v>67</v>
      </c>
      <c r="H45" s="40" t="n">
        <v>8262.07</v>
      </c>
      <c r="I45" s="12"/>
      <c r="J45" s="12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customFormat="false" ht="15.75" hidden="false" customHeight="true" outlineLevel="0" collapsed="false">
      <c r="A46" s="38" t="s">
        <v>217</v>
      </c>
      <c r="B46" s="38" t="str">
        <f aca="false" t="array" ref="B46:B46">IF(A46="","",IFERROR(INDEX('CLM &amp; IM Mapping'!$B$2:$B$270,MATCH(TRIM(A46),'CLM &amp; IM Mapping'!$A$2:$A$270,0)),"Not Mapped"))</f>
        <v>Richard Harris</v>
      </c>
      <c r="C46" s="38" t="str">
        <f aca="false" t="array" ref="C46:C46">IF(A46="","",IFERROR(INDEX('CLM &amp; IM Mapping'!$C$2:$C$270,MATCH(TRIM(A46),'CLM &amp; IM Mapping'!$A$2:$A$270,0)),"Not Mapped"))</f>
        <v>Kantha Kumar</v>
      </c>
      <c r="D46" s="38" t="n">
        <v>9</v>
      </c>
      <c r="E46" s="38"/>
      <c r="F46" s="38"/>
      <c r="G46" s="38" t="n">
        <v>9</v>
      </c>
      <c r="H46" s="40" t="n">
        <v>8055.75</v>
      </c>
      <c r="I46" s="12"/>
      <c r="J46" s="12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customFormat="false" ht="15.75" hidden="false" customHeight="true" outlineLevel="0" collapsed="false">
      <c r="A47" s="38" t="s">
        <v>25</v>
      </c>
      <c r="B47" s="38" t="str">
        <f aca="false" t="array" ref="B47:B47">IF(A47="","",IFERROR(INDEX('CLM &amp; IM Mapping'!$B$2:$B$270,MATCH(TRIM(A47),'CLM &amp; IM Mapping'!$A$2:$A$270,0)),"Not Mapped"))</f>
        <v>Arun Raj</v>
      </c>
      <c r="C47" s="38" t="str">
        <f aca="false" t="array" ref="C47:C47">IF(A47="","",IFERROR(INDEX('CLM &amp; IM Mapping'!$C$2:$C$270,MATCH(TRIM(A47),'CLM &amp; IM Mapping'!$A$2:$A$270,0)),"Not Mapped"))</f>
        <v>Simon Manoharan</v>
      </c>
      <c r="D47" s="38"/>
      <c r="E47" s="38"/>
      <c r="F47" s="38" t="n">
        <v>30</v>
      </c>
      <c r="G47" s="38" t="n">
        <v>30</v>
      </c>
      <c r="H47" s="40" t="n">
        <v>8012.12</v>
      </c>
      <c r="I47" s="12"/>
      <c r="J47" s="12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customFormat="false" ht="15.75" hidden="false" customHeight="true" outlineLevel="0" collapsed="false">
      <c r="A48" s="38" t="s">
        <v>194</v>
      </c>
      <c r="B48" s="38" t="str">
        <f aca="false" t="array" ref="B48:B48">IF(A48="","",IFERROR(INDEX('CLM &amp; IM Mapping'!$B$2:$B$270,MATCH(TRIM(A48),'CLM &amp; IM Mapping'!$A$2:$A$270,0)),"Not Mapped"))</f>
        <v>Balaji G</v>
      </c>
      <c r="C48" s="38" t="str">
        <f aca="false" t="array" ref="C48:C48">IF(A48="","",IFERROR(INDEX('CLM &amp; IM Mapping'!$C$2:$C$270,MATCH(TRIM(A48),'CLM &amp; IM Mapping'!$A$2:$A$270,0)),"Not Mapped"))</f>
        <v>Mohammed Akbar</v>
      </c>
      <c r="D48" s="38" t="n">
        <v>67</v>
      </c>
      <c r="E48" s="38"/>
      <c r="F48" s="38"/>
      <c r="G48" s="38" t="n">
        <v>67</v>
      </c>
      <c r="H48" s="40" t="n">
        <v>6954.88</v>
      </c>
      <c r="I48" s="12"/>
      <c r="J48" s="12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customFormat="false" ht="15.75" hidden="false" customHeight="true" outlineLevel="0" collapsed="false">
      <c r="A49" s="38" t="s">
        <v>92</v>
      </c>
      <c r="B49" s="38" t="str">
        <f aca="false" t="array" ref="B49:B49">IF(A49="","",IFERROR(INDEX('CLM &amp; IM Mapping'!$B$2:$B$270,MATCH(TRIM(A49),'CLM &amp; IM Mapping'!$A$2:$A$270,0)),"Not Mapped"))</f>
        <v>Adhavan Subramani</v>
      </c>
      <c r="C49" s="38" t="str">
        <f aca="false" t="array" ref="C49:C49">IF(A49="","",IFERROR(INDEX('CLM &amp; IM Mapping'!$C$2:$C$270,MATCH(TRIM(A49),'CLM &amp; IM Mapping'!$A$2:$A$270,0)),"Not Mapped"))</f>
        <v>Mohammed Akbar</v>
      </c>
      <c r="D49" s="38" t="n">
        <v>2</v>
      </c>
      <c r="E49" s="38"/>
      <c r="F49" s="38" t="n">
        <v>39</v>
      </c>
      <c r="G49" s="38" t="n">
        <v>41</v>
      </c>
      <c r="H49" s="40" t="n">
        <v>6943.72</v>
      </c>
      <c r="I49" s="12"/>
      <c r="J49" s="12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customFormat="false" ht="15.75" hidden="false" customHeight="true" outlineLevel="0" collapsed="false">
      <c r="A50" s="38" t="s">
        <v>81</v>
      </c>
      <c r="B50" s="38" t="str">
        <f aca="false" t="array" ref="B50:B50">IF(A50="","",IFERROR(INDEX('CLM &amp; IM Mapping'!$B$2:$B$270,MATCH(TRIM(A50),'CLM &amp; IM Mapping'!$A$2:$A$270,0)),"Not Mapped"))</f>
        <v>Arun Raj</v>
      </c>
      <c r="C50" s="38" t="str">
        <f aca="false" t="array" ref="C50:C50">IF(A50="","",IFERROR(INDEX('CLM &amp; IM Mapping'!$C$2:$C$270,MATCH(TRIM(A50),'CLM &amp; IM Mapping'!$A$2:$A$270,0)),"Not Mapped"))</f>
        <v>Simon Manoharan</v>
      </c>
      <c r="D50" s="38"/>
      <c r="E50" s="38"/>
      <c r="F50" s="38" t="n">
        <v>26</v>
      </c>
      <c r="G50" s="38" t="n">
        <v>26</v>
      </c>
      <c r="H50" s="40" t="n">
        <v>6287.3</v>
      </c>
      <c r="I50" s="12"/>
      <c r="J50" s="12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customFormat="false" ht="15.75" hidden="false" customHeight="true" outlineLevel="0" collapsed="false">
      <c r="A51" s="38" t="s">
        <v>32</v>
      </c>
      <c r="B51" s="38" t="str">
        <f aca="false" t="array" ref="B51:B51">IF(A51="","",IFERROR(INDEX('CLM &amp; IM Mapping'!$B$2:$B$270,MATCH(TRIM(A51),'CLM &amp; IM Mapping'!$A$2:$A$270,0)),"Not Mapped"))</f>
        <v>Saddam Hussain</v>
      </c>
      <c r="C51" s="38" t="str">
        <f aca="false" t="array" ref="C51:C51">IF(A51="","",IFERROR(INDEX('CLM &amp; IM Mapping'!$C$2:$C$270,MATCH(TRIM(A51),'CLM &amp; IM Mapping'!$A$2:$A$270,0)),"Not Mapped"))</f>
        <v>Un Mapped</v>
      </c>
      <c r="D51" s="38"/>
      <c r="E51" s="38"/>
      <c r="F51" s="38" t="n">
        <v>19</v>
      </c>
      <c r="G51" s="38" t="n">
        <v>19</v>
      </c>
      <c r="H51" s="40" t="n">
        <v>6121.96</v>
      </c>
      <c r="I51" s="12"/>
      <c r="J51" s="12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customFormat="false" ht="15.75" hidden="false" customHeight="true" outlineLevel="0" collapsed="false">
      <c r="A52" s="38" t="s">
        <v>97</v>
      </c>
      <c r="B52" s="38" t="str">
        <f aca="false" t="array" ref="B52:B52">IF(A52="","",IFERROR(INDEX('CLM &amp; IM Mapping'!$B$2:$B$270,MATCH(TRIM(A52),'CLM &amp; IM Mapping'!$A$2:$A$270,0)),"Not Mapped"))</f>
        <v>Akshay P</v>
      </c>
      <c r="C52" s="38" t="str">
        <f aca="false" t="array" ref="C52:C52">IF(A52="","",IFERROR(INDEX('CLM &amp; IM Mapping'!$C$2:$C$270,MATCH(TRIM(A52),'CLM &amp; IM Mapping'!$A$2:$A$270,0)),"Not Mapped"))</f>
        <v>Srittam Dhal</v>
      </c>
      <c r="D52" s="38"/>
      <c r="E52" s="38" t="n">
        <v>48</v>
      </c>
      <c r="F52" s="38" t="n">
        <v>52</v>
      </c>
      <c r="G52" s="38" t="n">
        <v>100</v>
      </c>
      <c r="H52" s="40" t="n">
        <v>6079.39</v>
      </c>
      <c r="I52" s="12"/>
      <c r="J52" s="12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customFormat="false" ht="15.75" hidden="false" customHeight="true" outlineLevel="0" collapsed="false">
      <c r="A53" s="38" t="s">
        <v>270</v>
      </c>
      <c r="B53" s="38" t="str">
        <f aca="false" t="array" ref="B53:B53">IF(A53="","",IFERROR(INDEX('CLM &amp; IM Mapping'!$B$2:$B$270,MATCH(TRIM(A53),'CLM &amp; IM Mapping'!$A$2:$A$270,0)),"Not Mapped"))</f>
        <v>Arun Raj</v>
      </c>
      <c r="C53" s="38" t="str">
        <f aca="false" t="array" ref="C53:C53">IF(A53="","",IFERROR(INDEX('CLM &amp; IM Mapping'!$C$2:$C$270,MATCH(TRIM(A53),'CLM &amp; IM Mapping'!$A$2:$A$270,0)),"Not Mapped"))</f>
        <v>Simon Manoharan</v>
      </c>
      <c r="D53" s="38"/>
      <c r="E53" s="38"/>
      <c r="F53" s="38" t="n">
        <v>35</v>
      </c>
      <c r="G53" s="38" t="n">
        <v>35</v>
      </c>
      <c r="H53" s="40" t="n">
        <v>5858.75</v>
      </c>
      <c r="I53" s="12"/>
      <c r="J53" s="12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customFormat="false" ht="15.75" hidden="false" customHeight="true" outlineLevel="0" collapsed="false">
      <c r="A54" s="38" t="s">
        <v>168</v>
      </c>
      <c r="B54" s="38" t="str">
        <f aca="false" t="array" ref="B54:B54">IF(A54="","",IFERROR(INDEX('CLM &amp; IM Mapping'!$B$2:$B$270,MATCH(TRIM(A54),'CLM &amp; IM Mapping'!$A$2:$A$270,0)),"Not Mapped"))</f>
        <v>Saddam Hussain</v>
      </c>
      <c r="C54" s="38" t="str">
        <f aca="false" t="array" ref="C54:C54">IF(A54="","",IFERROR(INDEX('CLM &amp; IM Mapping'!$C$2:$C$270,MATCH(TRIM(A54),'CLM &amp; IM Mapping'!$A$2:$A$270,0)),"Not Mapped"))</f>
        <v>Un Mapped</v>
      </c>
      <c r="D54" s="38"/>
      <c r="E54" s="38"/>
      <c r="F54" s="38" t="n">
        <v>11</v>
      </c>
      <c r="G54" s="38" t="n">
        <v>11</v>
      </c>
      <c r="H54" s="40" t="n">
        <v>5405.32</v>
      </c>
      <c r="I54" s="12"/>
      <c r="J54" s="12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customFormat="false" ht="15.75" hidden="false" customHeight="true" outlineLevel="0" collapsed="false">
      <c r="A55" s="38" t="s">
        <v>102</v>
      </c>
      <c r="B55" s="38" t="str">
        <f aca="false" t="array" ref="B55:B55">IF(A55="","",IFERROR(INDEX('CLM &amp; IM Mapping'!$B$2:$B$270,MATCH(TRIM(A55),'CLM &amp; IM Mapping'!$A$2:$A$270,0)),"Not Mapped"))</f>
        <v>Ashwath S</v>
      </c>
      <c r="C55" s="38" t="str">
        <f aca="false" t="array" ref="C55:C55">IF(A55="","",IFERROR(INDEX('CLM &amp; IM Mapping'!$C$2:$C$270,MATCH(TRIM(A55),'CLM &amp; IM Mapping'!$A$2:$A$270,0)),"Not Mapped"))</f>
        <v>Kantha Kumar</v>
      </c>
      <c r="D55" s="38" t="n">
        <v>54</v>
      </c>
      <c r="E55" s="38"/>
      <c r="F55" s="38" t="n">
        <v>7</v>
      </c>
      <c r="G55" s="38" t="n">
        <v>61</v>
      </c>
      <c r="H55" s="40" t="n">
        <v>5404.3</v>
      </c>
      <c r="I55" s="12"/>
      <c r="J55" s="12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customFormat="false" ht="15.75" hidden="false" customHeight="true" outlineLevel="0" collapsed="false">
      <c r="A56" s="38" t="s">
        <v>204</v>
      </c>
      <c r="B56" s="38" t="str">
        <f aca="false" t="array" ref="B56:B56">IF(A56="","",IFERROR(INDEX('CLM &amp; IM Mapping'!$B$2:$B$270,MATCH(TRIM(A56),'CLM &amp; IM Mapping'!$A$2:$A$270,0)),"Not Mapped"))</f>
        <v>Ravishankar gowda</v>
      </c>
      <c r="C56" s="38" t="str">
        <f aca="false" t="array" ref="C56:C56">IF(A56="","",IFERROR(INDEX('CLM &amp; IM Mapping'!$C$2:$C$270,MATCH(TRIM(A56),'CLM &amp; IM Mapping'!$A$2:$A$270,0)),"Not Mapped"))</f>
        <v>Kishor K</v>
      </c>
      <c r="D56" s="38"/>
      <c r="E56" s="38"/>
      <c r="F56" s="38" t="n">
        <v>47</v>
      </c>
      <c r="G56" s="38" t="n">
        <v>47</v>
      </c>
      <c r="H56" s="40" t="n">
        <v>5337.87</v>
      </c>
      <c r="I56" s="12"/>
      <c r="J56" s="12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customFormat="false" ht="15.75" hidden="false" customHeight="true" outlineLevel="0" collapsed="false">
      <c r="A57" s="38" t="s">
        <v>79</v>
      </c>
      <c r="B57" s="38" t="str">
        <f aca="false" t="array" ref="B57:B57">IF(A57="","",IFERROR(INDEX('CLM &amp; IM Mapping'!$B$2:$B$270,MATCH(TRIM(A57),'CLM &amp; IM Mapping'!$A$2:$A$270,0)),"Not Mapped"))</f>
        <v>Ashwath S</v>
      </c>
      <c r="C57" s="38" t="str">
        <f aca="false" t="array" ref="C57:C57">IF(A57="","",IFERROR(INDEX('CLM &amp; IM Mapping'!$C$2:$C$270,MATCH(TRIM(A57),'CLM &amp; IM Mapping'!$A$2:$A$270,0)),"Not Mapped"))</f>
        <v>Kantha Kumar</v>
      </c>
      <c r="D57" s="38"/>
      <c r="E57" s="38"/>
      <c r="F57" s="38" t="n">
        <v>14</v>
      </c>
      <c r="G57" s="38" t="n">
        <v>14</v>
      </c>
      <c r="H57" s="40" t="n">
        <v>5024.04</v>
      </c>
      <c r="I57" s="12"/>
      <c r="J57" s="12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customFormat="false" ht="15.75" hidden="false" customHeight="true" outlineLevel="0" collapsed="false">
      <c r="A58" s="38" t="s">
        <v>269</v>
      </c>
      <c r="B58" s="38" t="str">
        <f aca="false" t="array" ref="B58:B58">IF(A58="","",IFERROR(INDEX('CLM &amp; IM Mapping'!$B$2:$B$270,MATCH(TRIM(A58),'CLM &amp; IM Mapping'!$A$2:$A$270,0)),"Not Mapped"))</f>
        <v>Sundaresh S</v>
      </c>
      <c r="C58" s="38" t="str">
        <f aca="false" t="array" ref="C58:C58">IF(A58="","",IFERROR(INDEX('CLM &amp; IM Mapping'!$C$2:$C$270,MATCH(TRIM(A58),'CLM &amp; IM Mapping'!$A$2:$A$270,0)),"Not Mapped"))</f>
        <v>Un Mapped</v>
      </c>
      <c r="D58" s="38" t="n">
        <v>127</v>
      </c>
      <c r="E58" s="38"/>
      <c r="F58" s="38"/>
      <c r="G58" s="38" t="n">
        <v>127</v>
      </c>
      <c r="H58" s="40" t="n">
        <v>4907.14</v>
      </c>
      <c r="I58" s="12"/>
      <c r="J58" s="12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customFormat="false" ht="15.75" hidden="false" customHeight="true" outlineLevel="0" collapsed="false">
      <c r="A59" s="38" t="s">
        <v>243</v>
      </c>
      <c r="B59" s="38" t="str">
        <f aca="false" t="array" ref="B59:B59">IF(A59="","",IFERROR(INDEX('CLM &amp; IM Mapping'!$B$2:$B$270,MATCH(TRIM(A59),'CLM &amp; IM Mapping'!$A$2:$A$270,0)),"Not Mapped"))</f>
        <v>Manjunatha V</v>
      </c>
      <c r="C59" s="38" t="str">
        <f aca="false" t="array" ref="C59:C59">IF(A59="","",IFERROR(INDEX('CLM &amp; IM Mapping'!$C$2:$C$270,MATCH(TRIM(A59),'CLM &amp; IM Mapping'!$A$2:$A$270,0)),"Not Mapped"))</f>
        <v>Un Mapped</v>
      </c>
      <c r="D59" s="38"/>
      <c r="E59" s="38" t="n">
        <v>3</v>
      </c>
      <c r="F59" s="38"/>
      <c r="G59" s="38" t="n">
        <v>3</v>
      </c>
      <c r="H59" s="40" t="n">
        <v>4739.25</v>
      </c>
      <c r="I59" s="12"/>
      <c r="J59" s="12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customFormat="false" ht="15.75" hidden="false" customHeight="true" outlineLevel="0" collapsed="false">
      <c r="A60" s="38" t="s">
        <v>69</v>
      </c>
      <c r="B60" s="38" t="str">
        <f aca="false" t="array" ref="B60:B60">IF(A60="","",IFERROR(INDEX('CLM &amp; IM Mapping'!$B$2:$B$270,MATCH(TRIM(A60),'CLM &amp; IM Mapping'!$A$2:$A$270,0)),"Not Mapped"))</f>
        <v>Sundaresh S</v>
      </c>
      <c r="C60" s="38" t="str">
        <f aca="false" t="array" ref="C60:C60">IF(A60="","",IFERROR(INDEX('CLM &amp; IM Mapping'!$C$2:$C$270,MATCH(TRIM(A60),'CLM &amp; IM Mapping'!$A$2:$A$270,0)),"Not Mapped"))</f>
        <v>Un Mapped</v>
      </c>
      <c r="D60" s="38"/>
      <c r="E60" s="38"/>
      <c r="F60" s="38" t="n">
        <v>9</v>
      </c>
      <c r="G60" s="38" t="n">
        <v>9</v>
      </c>
      <c r="H60" s="40" t="n">
        <v>4633.28</v>
      </c>
      <c r="I60" s="12"/>
      <c r="J60" s="12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customFormat="false" ht="15.75" hidden="false" customHeight="true" outlineLevel="0" collapsed="false">
      <c r="A61" s="38" t="s">
        <v>68</v>
      </c>
      <c r="B61" s="38" t="str">
        <f aca="false" t="array" ref="B61:B61">IF(A61="","",IFERROR(INDEX('CLM &amp; IM Mapping'!$B$2:$B$270,MATCH(TRIM(A61),'CLM &amp; IM Mapping'!$A$2:$A$270,0)),"Not Mapped"))</f>
        <v>Mohaideen DH</v>
      </c>
      <c r="C61" s="38" t="str">
        <f aca="false" t="array" ref="C61:C61">IF(A61="","",IFERROR(INDEX('CLM &amp; IM Mapping'!$C$2:$C$270,MATCH(TRIM(A61),'CLM &amp; IM Mapping'!$A$2:$A$270,0)),"Not Mapped"))</f>
        <v>Mohammed Akbar</v>
      </c>
      <c r="D61" s="38" t="n">
        <v>48</v>
      </c>
      <c r="E61" s="38"/>
      <c r="F61" s="38"/>
      <c r="G61" s="38" t="n">
        <v>48</v>
      </c>
      <c r="H61" s="40" t="n">
        <v>4449.23</v>
      </c>
      <c r="I61" s="12"/>
      <c r="J61" s="12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customFormat="false" ht="15.75" hidden="false" customHeight="true" outlineLevel="0" collapsed="false">
      <c r="A62" s="38" t="s">
        <v>235</v>
      </c>
      <c r="B62" s="38" t="str">
        <f aca="false" t="array" ref="B62:B62">IF(A62="","",IFERROR(INDEX('CLM &amp; IM Mapping'!$B$2:$B$270,MATCH(TRIM(A62),'CLM &amp; IM Mapping'!$A$2:$A$270,0)),"Not Mapped"))</f>
        <v>Balaji G</v>
      </c>
      <c r="C62" s="38" t="str">
        <f aca="false" t="array" ref="C62:C62">IF(A62="","",IFERROR(INDEX('CLM &amp; IM Mapping'!$C$2:$C$270,MATCH(TRIM(A62),'CLM &amp; IM Mapping'!$A$2:$A$270,0)),"Not Mapped"))</f>
        <v>Mohammed Akbar</v>
      </c>
      <c r="D62" s="38"/>
      <c r="E62" s="38"/>
      <c r="F62" s="38" t="n">
        <v>10</v>
      </c>
      <c r="G62" s="38" t="n">
        <v>10</v>
      </c>
      <c r="H62" s="40" t="n">
        <v>4213.19</v>
      </c>
      <c r="I62" s="12"/>
      <c r="J62" s="12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customFormat="false" ht="15.75" hidden="false" customHeight="true" outlineLevel="0" collapsed="false">
      <c r="A63" s="38" t="s">
        <v>73</v>
      </c>
      <c r="B63" s="38" t="str">
        <f aca="false" t="array" ref="B63:B63">IF(A63="","",IFERROR(INDEX('CLM &amp; IM Mapping'!$B$2:$B$270,MATCH(TRIM(A63),'CLM &amp; IM Mapping'!$A$2:$A$270,0)),"Not Mapped"))</f>
        <v>Ashwath S</v>
      </c>
      <c r="C63" s="38" t="str">
        <f aca="false" t="array" ref="C63:C63">IF(A63="","",IFERROR(INDEX('CLM &amp; IM Mapping'!$C$2:$C$270,MATCH(TRIM(A63),'CLM &amp; IM Mapping'!$A$2:$A$270,0)),"Not Mapped"))</f>
        <v>Kantha Kumar</v>
      </c>
      <c r="D63" s="38"/>
      <c r="E63" s="38"/>
      <c r="F63" s="38" t="n">
        <v>7</v>
      </c>
      <c r="G63" s="38" t="n">
        <v>7</v>
      </c>
      <c r="H63" s="40" t="n">
        <v>4126.03</v>
      </c>
      <c r="I63" s="12"/>
      <c r="J63" s="12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customFormat="false" ht="15.75" hidden="false" customHeight="true" outlineLevel="0" collapsed="false">
      <c r="A64" s="38" t="s">
        <v>52</v>
      </c>
      <c r="B64" s="38" t="str">
        <f aca="false" t="array" ref="B64:B64">IF(A64="","",IFERROR(INDEX('CLM &amp; IM Mapping'!$B$2:$B$270,MATCH(TRIM(A64),'CLM &amp; IM Mapping'!$A$2:$A$270,0)),"Not Mapped"))</f>
        <v>Sundaresh S</v>
      </c>
      <c r="C64" s="38" t="str">
        <f aca="false" t="array" ref="C64:C64">IF(A64="","",IFERROR(INDEX('CLM &amp; IM Mapping'!$C$2:$C$270,MATCH(TRIM(A64),'CLM &amp; IM Mapping'!$A$2:$A$270,0)),"Not Mapped"))</f>
        <v>Un Mapped</v>
      </c>
      <c r="D64" s="38"/>
      <c r="E64" s="38" t="n">
        <v>13</v>
      </c>
      <c r="F64" s="38"/>
      <c r="G64" s="38" t="n">
        <v>13</v>
      </c>
      <c r="H64" s="40" t="n">
        <v>3959.47</v>
      </c>
      <c r="I64" s="12"/>
      <c r="J64" s="12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customFormat="false" ht="15.75" hidden="false" customHeight="true" outlineLevel="0" collapsed="false">
      <c r="A65" s="38" t="s">
        <v>247</v>
      </c>
      <c r="B65" s="38" t="str">
        <f aca="false" t="array" ref="B65:B65">IF(A65="","",IFERROR(INDEX('CLM &amp; IM Mapping'!$B$2:$B$270,MATCH(TRIM(A65),'CLM &amp; IM Mapping'!$A$2:$A$270,0)),"Not Mapped"))</f>
        <v>Balaji G</v>
      </c>
      <c r="C65" s="38" t="str">
        <f aca="false" t="array" ref="C65:C65">IF(A65="","",IFERROR(INDEX('CLM &amp; IM Mapping'!$C$2:$C$270,MATCH(TRIM(A65),'CLM &amp; IM Mapping'!$A$2:$A$270,0)),"Not Mapped"))</f>
        <v>Mohammed Akbar</v>
      </c>
      <c r="D65" s="38" t="n">
        <v>2</v>
      </c>
      <c r="E65" s="38"/>
      <c r="F65" s="38" t="n">
        <v>11</v>
      </c>
      <c r="G65" s="38" t="n">
        <v>13</v>
      </c>
      <c r="H65" s="40" t="n">
        <v>3875.48</v>
      </c>
      <c r="I65" s="12"/>
      <c r="J65" s="12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customFormat="false" ht="15.75" hidden="false" customHeight="true" outlineLevel="0" collapsed="false">
      <c r="A66" s="38" t="s">
        <v>292</v>
      </c>
      <c r="B66" s="38" t="str">
        <f aca="false" t="array" ref="B66:B66">IF(A66="","",IFERROR(INDEX('CLM &amp; IM Mapping'!$B$2:$B$270,MATCH(TRIM(A66),'CLM &amp; IM Mapping'!$A$2:$A$270,0)),"Not Mapped"))</f>
        <v>Mohaideen DH</v>
      </c>
      <c r="C66" s="38" t="str">
        <f aca="false" t="array" ref="C66:C66">IF(A66="","",IFERROR(INDEX('CLM &amp; IM Mapping'!$C$2:$C$270,MATCH(TRIM(A66),'CLM &amp; IM Mapping'!$A$2:$A$270,0)),"Not Mapped"))</f>
        <v>Mohammed Akbar</v>
      </c>
      <c r="D66" s="38"/>
      <c r="E66" s="38"/>
      <c r="F66" s="38" t="n">
        <v>71</v>
      </c>
      <c r="G66" s="38" t="n">
        <v>71</v>
      </c>
      <c r="H66" s="40" t="n">
        <v>3855.48</v>
      </c>
      <c r="I66" s="12"/>
      <c r="J66" s="12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customFormat="false" ht="15.75" hidden="false" customHeight="true" outlineLevel="0" collapsed="false">
      <c r="A67" s="38" t="s">
        <v>177</v>
      </c>
      <c r="B67" s="38" t="str">
        <f aca="false" t="array" ref="B67:B67">IF(A67="","",IFERROR(INDEX('CLM &amp; IM Mapping'!$B$2:$B$270,MATCH(TRIM(A67),'CLM &amp; IM Mapping'!$A$2:$A$270,0)),"Not Mapped"))</f>
        <v>Arun Raj</v>
      </c>
      <c r="C67" s="38" t="str">
        <f aca="false" t="array" ref="C67:C67">IF(A67="","",IFERROR(INDEX('CLM &amp; IM Mapping'!$C$2:$C$270,MATCH(TRIM(A67),'CLM &amp; IM Mapping'!$A$2:$A$270,0)),"Not Mapped"))</f>
        <v>Simon Manoharan</v>
      </c>
      <c r="D67" s="38"/>
      <c r="E67" s="38"/>
      <c r="F67" s="38" t="n">
        <v>17</v>
      </c>
      <c r="G67" s="38" t="n">
        <v>17</v>
      </c>
      <c r="H67" s="40" t="n">
        <v>3817.58</v>
      </c>
      <c r="I67" s="12"/>
      <c r="J67" s="12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customFormat="false" ht="15.75" hidden="false" customHeight="true" outlineLevel="0" collapsed="false">
      <c r="A68" s="38" t="s">
        <v>48</v>
      </c>
      <c r="B68" s="38" t="str">
        <f aca="false" t="array" ref="B68:B68">IF(A68="","",IFERROR(INDEX('CLM &amp; IM Mapping'!$B$2:$B$270,MATCH(TRIM(A68),'CLM &amp; IM Mapping'!$A$2:$A$270,0)),"Not Mapped"))</f>
        <v>Raghavendra Vernekar</v>
      </c>
      <c r="C68" s="38" t="str">
        <f aca="false" t="array" ref="C68:C68">IF(A68="","",IFERROR(INDEX('CLM &amp; IM Mapping'!$C$2:$C$270,MATCH(TRIM(A68),'CLM &amp; IM Mapping'!$A$2:$A$270,0)),"Not Mapped"))</f>
        <v>Prakash BS</v>
      </c>
      <c r="D68" s="38" t="n">
        <v>15</v>
      </c>
      <c r="E68" s="38"/>
      <c r="F68" s="38" t="n">
        <v>12</v>
      </c>
      <c r="G68" s="38" t="n">
        <v>27</v>
      </c>
      <c r="H68" s="40" t="n">
        <v>3730.43</v>
      </c>
      <c r="I68" s="12"/>
      <c r="J68" s="12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customFormat="false" ht="15.75" hidden="false" customHeight="true" outlineLevel="0" collapsed="false">
      <c r="A69" s="38" t="s">
        <v>245</v>
      </c>
      <c r="B69" s="38" t="str">
        <f aca="false" t="array" ref="B69:B69">IF(A69="","",IFERROR(INDEX('CLM &amp; IM Mapping'!$B$2:$B$270,MATCH(TRIM(A69),'CLM &amp; IM Mapping'!$A$2:$A$270,0)),"Not Mapped"))</f>
        <v>Ashwath S</v>
      </c>
      <c r="C69" s="38" t="str">
        <f aca="false" t="array" ref="C69:C69">IF(A69="","",IFERROR(INDEX('CLM &amp; IM Mapping'!$C$2:$C$270,MATCH(TRIM(A69),'CLM &amp; IM Mapping'!$A$2:$A$270,0)),"Not Mapped"))</f>
        <v>Kantha Kumar</v>
      </c>
      <c r="D69" s="38"/>
      <c r="E69" s="38"/>
      <c r="F69" s="38" t="n">
        <v>21</v>
      </c>
      <c r="G69" s="38" t="n">
        <v>21</v>
      </c>
      <c r="H69" s="40" t="n">
        <v>3728.64</v>
      </c>
      <c r="I69" s="12"/>
      <c r="J69" s="12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customFormat="false" ht="15.75" hidden="false" customHeight="true" outlineLevel="0" collapsed="false">
      <c r="A70" s="38" t="s">
        <v>101</v>
      </c>
      <c r="B70" s="38" t="str">
        <f aca="false" t="array" ref="B70:B70">IF(A70="","",IFERROR(INDEX('CLM &amp; IM Mapping'!$B$2:$B$270,MATCH(TRIM(A70),'CLM &amp; IM Mapping'!$A$2:$A$270,0)),"Not Mapped"))</f>
        <v>Silambarasan E</v>
      </c>
      <c r="C70" s="38" t="str">
        <f aca="false" t="array" ref="C70:C70">IF(A70="","",IFERROR(INDEX('CLM &amp; IM Mapping'!$C$2:$C$270,MATCH(TRIM(A70),'CLM &amp; IM Mapping'!$A$2:$A$270,0)),"Not Mapped"))</f>
        <v>Arivind S</v>
      </c>
      <c r="D70" s="38" t="n">
        <v>17</v>
      </c>
      <c r="E70" s="38" t="n">
        <v>30</v>
      </c>
      <c r="F70" s="38" t="n">
        <v>2</v>
      </c>
      <c r="G70" s="38" t="n">
        <v>49</v>
      </c>
      <c r="H70" s="40" t="n">
        <v>3710.89</v>
      </c>
      <c r="I70" s="12"/>
      <c r="J70" s="12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customFormat="false" ht="15.75" hidden="false" customHeight="true" outlineLevel="0" collapsed="false">
      <c r="A71" s="38" t="s">
        <v>128</v>
      </c>
      <c r="B71" s="38" t="str">
        <f aca="false" t="array" ref="B71:B71">IF(A71="","",IFERROR(INDEX('CLM &amp; IM Mapping'!$B$2:$B$270,MATCH(TRIM(A71),'CLM &amp; IM Mapping'!$A$2:$A$270,0)),"Not Mapped"))</f>
        <v>Arun Raj</v>
      </c>
      <c r="C71" s="38" t="str">
        <f aca="false" t="array" ref="C71:C71">IF(A71="","",IFERROR(INDEX('CLM &amp; IM Mapping'!$C$2:$C$270,MATCH(TRIM(A71),'CLM &amp; IM Mapping'!$A$2:$A$270,0)),"Not Mapped"))</f>
        <v>Simon Manoharan</v>
      </c>
      <c r="D71" s="38"/>
      <c r="E71" s="38"/>
      <c r="F71" s="38" t="n">
        <v>19</v>
      </c>
      <c r="G71" s="38" t="n">
        <v>19</v>
      </c>
      <c r="H71" s="40" t="n">
        <v>3706.88</v>
      </c>
      <c r="I71" s="12"/>
      <c r="J71" s="12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customFormat="false" ht="15.75" hidden="false" customHeight="true" outlineLevel="0" collapsed="false">
      <c r="A72" s="38" t="s">
        <v>45</v>
      </c>
      <c r="B72" s="38" t="str">
        <f aca="false" t="array" ref="B72:B72">IF(A72="","",IFERROR(INDEX('CLM &amp; IM Mapping'!$B$2:$B$270,MATCH(TRIM(A72),'CLM &amp; IM Mapping'!$A$2:$A$270,0)),"Not Mapped"))</f>
        <v>Sundaresh S</v>
      </c>
      <c r="C72" s="38" t="str">
        <f aca="false" t="array" ref="C72:C72">IF(A72="","",IFERROR(INDEX('CLM &amp; IM Mapping'!$C$2:$C$270,MATCH(TRIM(A72),'CLM &amp; IM Mapping'!$A$2:$A$270,0)),"Not Mapped"))</f>
        <v>Un Mapped</v>
      </c>
      <c r="D72" s="38"/>
      <c r="E72" s="38"/>
      <c r="F72" s="38" t="n">
        <v>38</v>
      </c>
      <c r="G72" s="38" t="n">
        <v>38</v>
      </c>
      <c r="H72" s="40" t="n">
        <v>3684.21</v>
      </c>
      <c r="I72" s="12"/>
      <c r="J72" s="12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customFormat="false" ht="15.75" hidden="false" customHeight="true" outlineLevel="0" collapsed="false">
      <c r="A73" s="38" t="s">
        <v>258</v>
      </c>
      <c r="B73" s="38" t="str">
        <f aca="false" t="array" ref="B73:B73">IF(A73="","",IFERROR(INDEX('CLM &amp; IM Mapping'!$B$2:$B$270,MATCH(TRIM(A73),'CLM &amp; IM Mapping'!$A$2:$A$270,0)),"Not Mapped"))</f>
        <v>Bangareppa CS</v>
      </c>
      <c r="C73" s="38" t="str">
        <f aca="false" t="array" ref="C73:C73">IF(A73="","",IFERROR(INDEX('CLM &amp; IM Mapping'!$C$2:$C$270,MATCH(TRIM(A73),'CLM &amp; IM Mapping'!$A$2:$A$270,0)),"Not Mapped"))</f>
        <v>Kishor K</v>
      </c>
      <c r="D73" s="38"/>
      <c r="E73" s="38" t="n">
        <v>59</v>
      </c>
      <c r="F73" s="38" t="n">
        <v>99</v>
      </c>
      <c r="G73" s="38" t="n">
        <v>158</v>
      </c>
      <c r="H73" s="40" t="n">
        <v>3513.86</v>
      </c>
      <c r="I73" s="12"/>
      <c r="J73" s="12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customFormat="false" ht="15.75" hidden="false" customHeight="true" outlineLevel="0" collapsed="false">
      <c r="A74" s="38" t="s">
        <v>159</v>
      </c>
      <c r="B74" s="38" t="str">
        <f aca="false" t="array" ref="B74:B74">IF(A74="","",IFERROR(INDEX('CLM &amp; IM Mapping'!$B$2:$B$270,MATCH(TRIM(A74),'CLM &amp; IM Mapping'!$A$2:$A$270,0)),"Not Mapped"))</f>
        <v>Santhosha M</v>
      </c>
      <c r="C74" s="38" t="str">
        <f aca="false" t="array" ref="C74:C74">IF(A74="","",IFERROR(INDEX('CLM &amp; IM Mapping'!$C$2:$C$270,MATCH(TRIM(A74),'CLM &amp; IM Mapping'!$A$2:$A$270,0)),"Not Mapped"))</f>
        <v>Aravind S</v>
      </c>
      <c r="D74" s="38"/>
      <c r="E74" s="38"/>
      <c r="F74" s="38" t="n">
        <v>11</v>
      </c>
      <c r="G74" s="38" t="n">
        <v>11</v>
      </c>
      <c r="H74" s="40" t="n">
        <v>3275.33</v>
      </c>
      <c r="I74" s="12"/>
      <c r="J74" s="12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customFormat="false" ht="15.75" hidden="false" customHeight="true" outlineLevel="0" collapsed="false">
      <c r="A75" s="38" t="s">
        <v>142</v>
      </c>
      <c r="B75" s="38" t="str">
        <f aca="false" t="array" ref="B75:B75">IF(A75="","",IFERROR(INDEX('CLM &amp; IM Mapping'!$B$2:$B$270,MATCH(TRIM(A75),'CLM &amp; IM Mapping'!$A$2:$A$270,0)),"Not Mapped"))</f>
        <v>Balaji G</v>
      </c>
      <c r="C75" s="38" t="str">
        <f aca="false" t="array" ref="C75:C75">IF(A75="","",IFERROR(INDEX('CLM &amp; IM Mapping'!$C$2:$C$270,MATCH(TRIM(A75),'CLM &amp; IM Mapping'!$A$2:$A$270,0)),"Not Mapped"))</f>
        <v>Mohammed Akbar</v>
      </c>
      <c r="D75" s="38"/>
      <c r="E75" s="38"/>
      <c r="F75" s="38" t="n">
        <v>17</v>
      </c>
      <c r="G75" s="38" t="n">
        <v>17</v>
      </c>
      <c r="H75" s="40" t="n">
        <v>3153.75</v>
      </c>
      <c r="I75" s="12"/>
      <c r="J75" s="12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customFormat="false" ht="15.75" hidden="false" customHeight="true" outlineLevel="0" collapsed="false">
      <c r="A76" s="38" t="s">
        <v>224</v>
      </c>
      <c r="B76" s="38" t="str">
        <f aca="false" t="array" ref="B76:B76">IF(A76="","",IFERROR(INDEX('CLM &amp; IM Mapping'!$B$2:$B$270,MATCH(TRIM(A76),'CLM &amp; IM Mapping'!$A$2:$A$270,0)),"Not Mapped"))</f>
        <v>Santhosha M</v>
      </c>
      <c r="C76" s="38" t="str">
        <f aca="false" t="array" ref="C76:C76">IF(A76="","",IFERROR(INDEX('CLM &amp; IM Mapping'!$C$2:$C$270,MATCH(TRIM(A76),'CLM &amp; IM Mapping'!$A$2:$A$270,0)),"Not Mapped"))</f>
        <v>Aravind S</v>
      </c>
      <c r="D76" s="38"/>
      <c r="E76" s="38" t="n">
        <v>11</v>
      </c>
      <c r="F76" s="38" t="n">
        <v>5</v>
      </c>
      <c r="G76" s="38" t="n">
        <v>16</v>
      </c>
      <c r="H76" s="40" t="n">
        <v>3112.14</v>
      </c>
      <c r="I76" s="12"/>
      <c r="J76" s="12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customFormat="false" ht="15.75" hidden="false" customHeight="true" outlineLevel="0" collapsed="false">
      <c r="A77" s="38" t="s">
        <v>76</v>
      </c>
      <c r="B77" s="38" t="str">
        <f aca="false" t="array" ref="B77:B77">IF(A77="","",IFERROR(INDEX('CLM &amp; IM Mapping'!$B$2:$B$270,MATCH(TRIM(A77),'CLM &amp; IM Mapping'!$A$2:$A$270,0)),"Not Mapped"))</f>
        <v>Ashwath S</v>
      </c>
      <c r="C77" s="38" t="str">
        <f aca="false" t="array" ref="C77:C77">IF(A77="","",IFERROR(INDEX('CLM &amp; IM Mapping'!$C$2:$C$270,MATCH(TRIM(A77),'CLM &amp; IM Mapping'!$A$2:$A$270,0)),"Not Mapped"))</f>
        <v>Kantha Kumar</v>
      </c>
      <c r="D77" s="38"/>
      <c r="E77" s="38"/>
      <c r="F77" s="38" t="n">
        <v>52</v>
      </c>
      <c r="G77" s="38" t="n">
        <v>52</v>
      </c>
      <c r="H77" s="40" t="n">
        <v>3027.07</v>
      </c>
      <c r="I77" s="12"/>
      <c r="J77" s="12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customFormat="false" ht="15.75" hidden="false" customHeight="true" outlineLevel="0" collapsed="false">
      <c r="A78" s="38" t="s">
        <v>163</v>
      </c>
      <c r="B78" s="38" t="str">
        <f aca="false" t="array" ref="B78:B78">IF(A78="","",IFERROR(INDEX('CLM &amp; IM Mapping'!$B$2:$B$270,MATCH(TRIM(A78),'CLM &amp; IM Mapping'!$A$2:$A$270,0)),"Not Mapped"))</f>
        <v>Basil Scariya</v>
      </c>
      <c r="C78" s="38" t="str">
        <f aca="false" t="array" ref="C78:C78">IF(A78="","",IFERROR(INDEX('CLM &amp; IM Mapping'!$C$2:$C$270,MATCH(TRIM(A78),'CLM &amp; IM Mapping'!$A$2:$A$270,0)),"Not Mapped"))</f>
        <v>Prakash BS</v>
      </c>
      <c r="D78" s="38"/>
      <c r="E78" s="38"/>
      <c r="F78" s="38" t="n">
        <v>9</v>
      </c>
      <c r="G78" s="38" t="n">
        <v>9</v>
      </c>
      <c r="H78" s="40" t="n">
        <v>2813.68</v>
      </c>
      <c r="I78" s="12"/>
      <c r="J78" s="12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customFormat="false" ht="15.75" hidden="false" customHeight="true" outlineLevel="0" collapsed="false">
      <c r="A79" s="38" t="s">
        <v>103</v>
      </c>
      <c r="B79" s="38" t="str">
        <f aca="false" t="array" ref="B79:B79">IF(A79="","",IFERROR(INDEX('CLM &amp; IM Mapping'!$B$2:$B$270,MATCH(TRIM(A79),'CLM &amp; IM Mapping'!$A$2:$A$270,0)),"Not Mapped"))</f>
        <v>Arun Raj</v>
      </c>
      <c r="C79" s="38" t="str">
        <f aca="false" t="array" ref="C79:C79">IF(A79="","",IFERROR(INDEX('CLM &amp; IM Mapping'!$C$2:$C$270,MATCH(TRIM(A79),'CLM &amp; IM Mapping'!$A$2:$A$270,0)),"Not Mapped"))</f>
        <v>Simon Manoharan</v>
      </c>
      <c r="D79" s="38"/>
      <c r="E79" s="38"/>
      <c r="F79" s="38" t="n">
        <v>14</v>
      </c>
      <c r="G79" s="38" t="n">
        <v>14</v>
      </c>
      <c r="H79" s="40" t="n">
        <v>2672.66</v>
      </c>
      <c r="I79" s="12"/>
      <c r="J79" s="12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customFormat="false" ht="15.75" hidden="false" customHeight="true" outlineLevel="0" collapsed="false">
      <c r="A80" s="38" t="s">
        <v>41</v>
      </c>
      <c r="B80" s="38" t="str">
        <f aca="false" t="array" ref="B80:B80">IF(A80="","",IFERROR(INDEX('CLM &amp; IM Mapping'!$B$2:$B$270,MATCH(TRIM(A80),'CLM &amp; IM Mapping'!$A$2:$A$270,0)),"Not Mapped"))</f>
        <v>Narasimhamurthy R</v>
      </c>
      <c r="C80" s="38" t="str">
        <f aca="false" t="array" ref="C80:C80">IF(A80="","",IFERROR(INDEX('CLM &amp; IM Mapping'!$C$2:$C$270,MATCH(TRIM(A80),'CLM &amp; IM Mapping'!$A$2:$A$270,0)),"Not Mapped"))</f>
        <v>Kishor K</v>
      </c>
      <c r="D80" s="38"/>
      <c r="E80" s="38"/>
      <c r="F80" s="38" t="n">
        <v>47</v>
      </c>
      <c r="G80" s="38" t="n">
        <v>47</v>
      </c>
      <c r="H80" s="40" t="n">
        <v>2601.46</v>
      </c>
      <c r="I80" s="12"/>
      <c r="J80" s="12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customFormat="false" ht="15.75" hidden="false" customHeight="true" outlineLevel="0" collapsed="false">
      <c r="A81" s="38" t="s">
        <v>122</v>
      </c>
      <c r="B81" s="38" t="str">
        <f aca="false" t="array" ref="B81:B81">IF(A81="","",IFERROR(INDEX('CLM &amp; IM Mapping'!$B$2:$B$270,MATCH(TRIM(A81),'CLM &amp; IM Mapping'!$A$2:$A$270,0)),"Not Mapped"))</f>
        <v>Raghavendra Vernekar</v>
      </c>
      <c r="C81" s="38" t="str">
        <f aca="false" t="array" ref="C81:C81">IF(A81="","",IFERROR(INDEX('CLM &amp; IM Mapping'!$C$2:$C$270,MATCH(TRIM(A81),'CLM &amp; IM Mapping'!$A$2:$A$270,0)),"Not Mapped"))</f>
        <v>Prakash BS</v>
      </c>
      <c r="D81" s="38"/>
      <c r="E81" s="38"/>
      <c r="F81" s="38" t="n">
        <v>15</v>
      </c>
      <c r="G81" s="38" t="n">
        <v>15</v>
      </c>
      <c r="H81" s="40" t="n">
        <v>2595.44</v>
      </c>
      <c r="I81" s="12"/>
      <c r="J81" s="12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customFormat="false" ht="15.75" hidden="false" customHeight="true" outlineLevel="0" collapsed="false">
      <c r="A82" s="38" t="s">
        <v>37</v>
      </c>
      <c r="B82" s="38" t="str">
        <f aca="false" t="array" ref="B82:B82">IF(A82="","",IFERROR(INDEX('CLM &amp; IM Mapping'!$B$2:$B$270,MATCH(TRIM(A82),'CLM &amp; IM Mapping'!$A$2:$A$270,0)),"Not Mapped"))</f>
        <v>Basil Scariya</v>
      </c>
      <c r="C82" s="38" t="str">
        <f aca="false" t="array" ref="C82:C82">IF(A82="","",IFERROR(INDEX('CLM &amp; IM Mapping'!$C$2:$C$270,MATCH(TRIM(A82),'CLM &amp; IM Mapping'!$A$2:$A$270,0)),"Not Mapped"))</f>
        <v>Prakash BS</v>
      </c>
      <c r="D82" s="38"/>
      <c r="E82" s="38"/>
      <c r="F82" s="38" t="n">
        <v>17</v>
      </c>
      <c r="G82" s="38" t="n">
        <v>17</v>
      </c>
      <c r="H82" s="40" t="n">
        <v>2532.25</v>
      </c>
      <c r="I82" s="12"/>
      <c r="J82" s="12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customFormat="false" ht="15.75" hidden="false" customHeight="true" outlineLevel="0" collapsed="false">
      <c r="A83" s="38" t="s">
        <v>169</v>
      </c>
      <c r="B83" s="38" t="str">
        <f aca="false" t="array" ref="B83:B83">IF(A83="","",IFERROR(INDEX('CLM &amp; IM Mapping'!$B$2:$B$270,MATCH(TRIM(A83),'CLM &amp; IM Mapping'!$A$2:$A$270,0)),"Not Mapped"))</f>
        <v>Arun Raj</v>
      </c>
      <c r="C83" s="38" t="str">
        <f aca="false" t="array" ref="C83:C83">IF(A83="","",IFERROR(INDEX('CLM &amp; IM Mapping'!$C$2:$C$270,MATCH(TRIM(A83),'CLM &amp; IM Mapping'!$A$2:$A$270,0)),"Not Mapped"))</f>
        <v>Simon Manoharan</v>
      </c>
      <c r="D83" s="38"/>
      <c r="E83" s="38"/>
      <c r="F83" s="38" t="n">
        <v>10</v>
      </c>
      <c r="G83" s="38" t="n">
        <v>10</v>
      </c>
      <c r="H83" s="40" t="n">
        <v>2526.23</v>
      </c>
      <c r="I83" s="12"/>
      <c r="J83" s="12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customFormat="false" ht="15.75" hidden="false" customHeight="true" outlineLevel="0" collapsed="false">
      <c r="A84" s="38" t="s">
        <v>256</v>
      </c>
      <c r="B84" s="38" t="str">
        <f aca="false" t="array" ref="B84:B84">IF(A84="","",IFERROR(INDEX('CLM &amp; IM Mapping'!$B$2:$B$270,MATCH(TRIM(A84),'CLM &amp; IM Mapping'!$A$2:$A$270,0)),"Not Mapped"))</f>
        <v>Suhas N</v>
      </c>
      <c r="C84" s="38" t="str">
        <f aca="false" t="array" ref="C84:C84">IF(A84="","",IFERROR(INDEX('CLM &amp; IM Mapping'!$C$2:$C$270,MATCH(TRIM(A84),'CLM &amp; IM Mapping'!$A$2:$A$270,0)),"Not Mapped"))</f>
        <v>Aravind S</v>
      </c>
      <c r="D84" s="38" t="n">
        <v>4</v>
      </c>
      <c r="E84" s="38"/>
      <c r="F84" s="38" t="n">
        <v>43</v>
      </c>
      <c r="G84" s="38" t="n">
        <v>47</v>
      </c>
      <c r="H84" s="40" t="n">
        <v>2432.06</v>
      </c>
      <c r="I84" s="12"/>
      <c r="J84" s="12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customFormat="false" ht="15.75" hidden="false" customHeight="true" outlineLevel="0" collapsed="false">
      <c r="A85" s="38" t="s">
        <v>197</v>
      </c>
      <c r="B85" s="38" t="str">
        <f aca="false" t="array" ref="B85:B85">IF(A85="","",IFERROR(INDEX('CLM &amp; IM Mapping'!$B$2:$B$270,MATCH(TRIM(A85),'CLM &amp; IM Mapping'!$A$2:$A$270,0)),"Not Mapped"))</f>
        <v>Arun Raj</v>
      </c>
      <c r="C85" s="38" t="str">
        <f aca="false" t="array" ref="C85:C85">IF(A85="","",IFERROR(INDEX('CLM &amp; IM Mapping'!$C$2:$C$270,MATCH(TRIM(A85),'CLM &amp; IM Mapping'!$A$2:$A$270,0)),"Not Mapped"))</f>
        <v>Simon Manoharan</v>
      </c>
      <c r="D85" s="38"/>
      <c r="E85" s="38"/>
      <c r="F85" s="38" t="n">
        <v>7</v>
      </c>
      <c r="G85" s="38" t="n">
        <v>7</v>
      </c>
      <c r="H85" s="40" t="n">
        <v>2418.21</v>
      </c>
      <c r="I85" s="12"/>
      <c r="J85" s="12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customFormat="false" ht="15.75" hidden="false" customHeight="true" outlineLevel="0" collapsed="false">
      <c r="A86" s="38" t="s">
        <v>277</v>
      </c>
      <c r="B86" s="38" t="str">
        <f aca="false" t="array" ref="B86:B86">IF(A86="","",IFERROR(INDEX('CLM &amp; IM Mapping'!$B$2:$B$270,MATCH(TRIM(A86),'CLM &amp; IM Mapping'!$A$2:$A$270,0)),"Not Mapped"))</f>
        <v>Adhavan Subramani</v>
      </c>
      <c r="C86" s="38" t="str">
        <f aca="false" t="array" ref="C86:C86">IF(A86="","",IFERROR(INDEX('CLM &amp; IM Mapping'!$C$2:$C$270,MATCH(TRIM(A86),'CLM &amp; IM Mapping'!$A$2:$A$270,0)),"Not Mapped"))</f>
        <v>Mohammed Akbar</v>
      </c>
      <c r="D86" s="38" t="n">
        <v>6</v>
      </c>
      <c r="E86" s="38" t="n">
        <v>11</v>
      </c>
      <c r="F86" s="38"/>
      <c r="G86" s="38" t="n">
        <v>17</v>
      </c>
      <c r="H86" s="40" t="n">
        <v>2310.71</v>
      </c>
      <c r="I86" s="12"/>
      <c r="J86" s="12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customFormat="false" ht="15.75" hidden="false" customHeight="true" outlineLevel="0" collapsed="false">
      <c r="A87" s="38" t="s">
        <v>61</v>
      </c>
      <c r="B87" s="38" t="str">
        <f aca="false" t="array" ref="B87:B87">IF(A87="","",IFERROR(INDEX('CLM &amp; IM Mapping'!$B$2:$B$270,MATCH(TRIM(A87),'CLM &amp; IM Mapping'!$A$2:$A$270,0)),"Not Mapped"))</f>
        <v>Balaji G</v>
      </c>
      <c r="C87" s="38" t="str">
        <f aca="false" t="array" ref="C87:C87">IF(A87="","",IFERROR(INDEX('CLM &amp; IM Mapping'!$C$2:$C$270,MATCH(TRIM(A87),'CLM &amp; IM Mapping'!$A$2:$A$270,0)),"Not Mapped"))</f>
        <v>Mohammed Akbar</v>
      </c>
      <c r="D87" s="38"/>
      <c r="E87" s="38"/>
      <c r="F87" s="38" t="n">
        <v>7</v>
      </c>
      <c r="G87" s="38" t="n">
        <v>7</v>
      </c>
      <c r="H87" s="40" t="n">
        <v>2210.11</v>
      </c>
      <c r="I87" s="12"/>
      <c r="J87" s="12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customFormat="false" ht="15.75" hidden="false" customHeight="true" outlineLevel="0" collapsed="false">
      <c r="A88" s="38" t="s">
        <v>160</v>
      </c>
      <c r="B88" s="38" t="str">
        <f aca="false" t="array" ref="B88:B88">IF(A88="","",IFERROR(INDEX('CLM &amp; IM Mapping'!$B$2:$B$270,MATCH(TRIM(A88),'CLM &amp; IM Mapping'!$A$2:$A$270,0)),"Not Mapped"))</f>
        <v>Suhas N</v>
      </c>
      <c r="C88" s="38" t="str">
        <f aca="false" t="array" ref="C88:C88">IF(A88="","",IFERROR(INDEX('CLM &amp; IM Mapping'!$C$2:$C$270,MATCH(TRIM(A88),'CLM &amp; IM Mapping'!$A$2:$A$270,0)),"Not Mapped"))</f>
        <v>Aravind S</v>
      </c>
      <c r="D88" s="38"/>
      <c r="E88" s="38" t="n">
        <v>64</v>
      </c>
      <c r="F88" s="38"/>
      <c r="G88" s="38" t="n">
        <v>64</v>
      </c>
      <c r="H88" s="40" t="n">
        <v>2172.76</v>
      </c>
      <c r="I88" s="12"/>
      <c r="J88" s="12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customFormat="false" ht="15.75" hidden="false" customHeight="true" outlineLevel="0" collapsed="false">
      <c r="A89" s="38" t="s">
        <v>157</v>
      </c>
      <c r="B89" s="38" t="str">
        <f aca="false" t="array" ref="B89:B89">IF(A89="","",IFERROR(INDEX('CLM &amp; IM Mapping'!$B$2:$B$270,MATCH(TRIM(A89),'CLM &amp; IM Mapping'!$A$2:$A$270,0)),"Not Mapped"))</f>
        <v>Ashwath S</v>
      </c>
      <c r="C89" s="38" t="str">
        <f aca="false" t="array" ref="C89:C89">IF(A89="","",IFERROR(INDEX('CLM &amp; IM Mapping'!$C$2:$C$270,MATCH(TRIM(A89),'CLM &amp; IM Mapping'!$A$2:$A$270,0)),"Not Mapped"))</f>
        <v>Kantha Kumar</v>
      </c>
      <c r="D89" s="38"/>
      <c r="E89" s="38"/>
      <c r="F89" s="38" t="n">
        <v>29</v>
      </c>
      <c r="G89" s="38" t="n">
        <v>29</v>
      </c>
      <c r="H89" s="40" t="n">
        <v>2155.87</v>
      </c>
      <c r="I89" s="12"/>
      <c r="J89" s="12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customFormat="false" ht="15.75" hidden="false" customHeight="true" outlineLevel="0" collapsed="false">
      <c r="A90" s="38" t="s">
        <v>283</v>
      </c>
      <c r="B90" s="38" t="str">
        <f aca="false" t="array" ref="B90:B90">IF(A90="","",IFERROR(INDEX('CLM &amp; IM Mapping'!$B$2:$B$270,MATCH(TRIM(A90),'CLM &amp; IM Mapping'!$A$2:$A$270,0)),"Not Mapped"))</f>
        <v>Ravishankar gowda</v>
      </c>
      <c r="C90" s="38" t="str">
        <f aca="false" t="array" ref="C90:C90">IF(A90="","",IFERROR(INDEX('CLM &amp; IM Mapping'!$C$2:$C$270,MATCH(TRIM(A90),'CLM &amp; IM Mapping'!$A$2:$A$270,0)),"Not Mapped"))</f>
        <v>Kishor K</v>
      </c>
      <c r="D90" s="38"/>
      <c r="E90" s="38"/>
      <c r="F90" s="38" t="n">
        <v>6</v>
      </c>
      <c r="G90" s="38" t="n">
        <v>6</v>
      </c>
      <c r="H90" s="40" t="n">
        <v>2007.73</v>
      </c>
      <c r="I90" s="12"/>
      <c r="J90" s="12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customFormat="false" ht="15.75" hidden="false" customHeight="true" outlineLevel="0" collapsed="false">
      <c r="A91" s="38" t="s">
        <v>181</v>
      </c>
      <c r="B91" s="38" t="str">
        <f aca="false" t="array" ref="B91:B91">IF(A91="","",IFERROR(INDEX('CLM &amp; IM Mapping'!$B$2:$B$270,MATCH(TRIM(A91),'CLM &amp; IM Mapping'!$A$2:$A$270,0)),"Not Mapped"))</f>
        <v>Raghavendra Vernekar</v>
      </c>
      <c r="C91" s="38" t="str">
        <f aca="false" t="array" ref="C91:C91">IF(A91="","",IFERROR(INDEX('CLM &amp; IM Mapping'!$C$2:$C$270,MATCH(TRIM(A91),'CLM &amp; IM Mapping'!$A$2:$A$270,0)),"Not Mapped"))</f>
        <v>Prakash BS</v>
      </c>
      <c r="D91" s="38" t="n">
        <v>5</v>
      </c>
      <c r="E91" s="38"/>
      <c r="F91" s="38" t="n">
        <v>6</v>
      </c>
      <c r="G91" s="38" t="n">
        <v>11</v>
      </c>
      <c r="H91" s="40" t="n">
        <v>1904.4</v>
      </c>
      <c r="I91" s="12"/>
      <c r="J91" s="12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customFormat="false" ht="15.75" hidden="false" customHeight="true" outlineLevel="0" collapsed="false">
      <c r="A92" s="38" t="s">
        <v>290</v>
      </c>
      <c r="B92" s="38" t="str">
        <f aca="false" t="array" ref="B92:B92">IF(A92="","",IFERROR(INDEX('CLM &amp; IM Mapping'!$B$2:$B$270,MATCH(TRIM(A92),'CLM &amp; IM Mapping'!$A$2:$A$270,0)),"Not Mapped"))</f>
        <v>Basil Scariya</v>
      </c>
      <c r="C92" s="38" t="str">
        <f aca="false" t="array" ref="C92:C92">IF(A92="","",IFERROR(INDEX('CLM &amp; IM Mapping'!$C$2:$C$270,MATCH(TRIM(A92),'CLM &amp; IM Mapping'!$A$2:$A$270,0)),"Not Mapped"))</f>
        <v>Prakash BS</v>
      </c>
      <c r="D92" s="38"/>
      <c r="E92" s="38"/>
      <c r="F92" s="38" t="n">
        <v>69</v>
      </c>
      <c r="G92" s="38" t="n">
        <v>69</v>
      </c>
      <c r="H92" s="40" t="n">
        <v>1881.47</v>
      </c>
      <c r="I92" s="12"/>
      <c r="J92" s="12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customFormat="false" ht="15.75" hidden="false" customHeight="true" outlineLevel="0" collapsed="false">
      <c r="A93" s="38" t="s">
        <v>23</v>
      </c>
      <c r="B93" s="38" t="str">
        <f aca="false" t="array" ref="B93:B93">IF(A93="","",IFERROR(INDEX('CLM &amp; IM Mapping'!$B$2:$B$270,MATCH(TRIM(A93),'CLM &amp; IM Mapping'!$A$2:$A$270,0)),"Not Mapped"))</f>
        <v>Arun Raj</v>
      </c>
      <c r="C93" s="38" t="str">
        <f aca="false" t="array" ref="C93:C93">IF(A93="","",IFERROR(INDEX('CLM &amp; IM Mapping'!$C$2:$C$270,MATCH(TRIM(A93),'CLM &amp; IM Mapping'!$A$2:$A$270,0)),"Not Mapped"))</f>
        <v>Simon Manoharan</v>
      </c>
      <c r="D93" s="38"/>
      <c r="E93" s="38"/>
      <c r="F93" s="38" t="n">
        <v>18</v>
      </c>
      <c r="G93" s="38" t="n">
        <v>18</v>
      </c>
      <c r="H93" s="40" t="n">
        <v>1764.67</v>
      </c>
      <c r="I93" s="12"/>
      <c r="J93" s="12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customFormat="false" ht="15.75" hidden="false" customHeight="true" outlineLevel="0" collapsed="false">
      <c r="A94" s="38" t="s">
        <v>198</v>
      </c>
      <c r="B94" s="38" t="str">
        <f aca="false" t="array" ref="B94:B94">IF(A94="","",IFERROR(INDEX('CLM &amp; IM Mapping'!$B$2:$B$270,MATCH(TRIM(A94),'CLM &amp; IM Mapping'!$A$2:$A$270,0)),"Not Mapped"))</f>
        <v>Arun Raj</v>
      </c>
      <c r="C94" s="38" t="str">
        <f aca="false" t="array" ref="C94:C94">IF(A94="","",IFERROR(INDEX('CLM &amp; IM Mapping'!$C$2:$C$270,MATCH(TRIM(A94),'CLM &amp; IM Mapping'!$A$2:$A$270,0)),"Not Mapped"))</f>
        <v>Simon Manoharan</v>
      </c>
      <c r="D94" s="38"/>
      <c r="E94" s="38" t="n">
        <v>1</v>
      </c>
      <c r="F94" s="38" t="n">
        <v>3</v>
      </c>
      <c r="G94" s="38" t="n">
        <v>4</v>
      </c>
      <c r="H94" s="40" t="n">
        <v>1723.71</v>
      </c>
      <c r="I94" s="12"/>
      <c r="J94" s="12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customFormat="false" ht="15.75" hidden="false" customHeight="true" outlineLevel="0" collapsed="false">
      <c r="A95" s="38" t="s">
        <v>187</v>
      </c>
      <c r="B95" s="38" t="str">
        <f aca="false" t="array" ref="B95:B95">IF(A95="","",IFERROR(INDEX('CLM &amp; IM Mapping'!$B$2:$B$270,MATCH(TRIM(A95),'CLM &amp; IM Mapping'!$A$2:$A$270,0)),"Not Mapped"))</f>
        <v>Akshay P</v>
      </c>
      <c r="C95" s="38" t="str">
        <f aca="false" t="array" ref="C95:C95">IF(A95="","",IFERROR(INDEX('CLM &amp; IM Mapping'!$C$2:$C$270,MATCH(TRIM(A95),'CLM &amp; IM Mapping'!$A$2:$A$270,0)),"Not Mapped"))</f>
        <v>Srittam Dhal</v>
      </c>
      <c r="D95" s="38" t="n">
        <v>42</v>
      </c>
      <c r="E95" s="38"/>
      <c r="F95" s="38"/>
      <c r="G95" s="38" t="n">
        <v>42</v>
      </c>
      <c r="H95" s="40" t="n">
        <v>1628.72</v>
      </c>
      <c r="I95" s="12"/>
      <c r="J95" s="12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customFormat="false" ht="15.75" hidden="false" customHeight="true" outlineLevel="0" collapsed="false">
      <c r="A96" s="38" t="s">
        <v>121</v>
      </c>
      <c r="B96" s="38" t="str">
        <f aca="false" t="array" ref="B96:B96">IF(A96="","",IFERROR(INDEX('CLM &amp; IM Mapping'!$B$2:$B$270,MATCH(TRIM(A96),'CLM &amp; IM Mapping'!$A$2:$A$270,0)),"Not Mapped"))</f>
        <v>Raghavendra Vernekar</v>
      </c>
      <c r="C96" s="38" t="str">
        <f aca="false" t="array" ref="C96:C96">IF(A96="","",IFERROR(INDEX('CLM &amp; IM Mapping'!$C$2:$C$270,MATCH(TRIM(A96),'CLM &amp; IM Mapping'!$A$2:$A$270,0)),"Not Mapped"))</f>
        <v>Prakash BS</v>
      </c>
      <c r="D96" s="38"/>
      <c r="E96" s="38"/>
      <c r="F96" s="38" t="n">
        <v>2</v>
      </c>
      <c r="G96" s="38" t="n">
        <v>2</v>
      </c>
      <c r="H96" s="40" t="n">
        <v>1602.13</v>
      </c>
      <c r="I96" s="12"/>
      <c r="J96" s="12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customFormat="false" ht="15.75" hidden="false" customHeight="true" outlineLevel="0" collapsed="false">
      <c r="A97" s="38" t="s">
        <v>75</v>
      </c>
      <c r="B97" s="38" t="str">
        <f aca="false" t="array" ref="B97:B97">IF(A97="","",IFERROR(INDEX('CLM &amp; IM Mapping'!$B$2:$B$270,MATCH(TRIM(A97),'CLM &amp; IM Mapping'!$A$2:$A$270,0)),"Not Mapped"))</f>
        <v>Rizwan Ahmed</v>
      </c>
      <c r="C97" s="38" t="str">
        <f aca="false" t="array" ref="C97:C97">IF(A97="","",IFERROR(INDEX('CLM &amp; IM Mapping'!$C$2:$C$270,MATCH(TRIM(A97),'CLM &amp; IM Mapping'!$A$2:$A$270,0)),"Not Mapped"))</f>
        <v>Un Mapped</v>
      </c>
      <c r="D97" s="38"/>
      <c r="E97" s="38"/>
      <c r="F97" s="38" t="n">
        <v>5</v>
      </c>
      <c r="G97" s="38" t="n">
        <v>5</v>
      </c>
      <c r="H97" s="40" t="n">
        <v>1545.36</v>
      </c>
      <c r="I97" s="12"/>
      <c r="J97" s="12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customFormat="false" ht="15.75" hidden="false" customHeight="true" outlineLevel="0" collapsed="false">
      <c r="A98" s="38" t="s">
        <v>49</v>
      </c>
      <c r="B98" s="38" t="str">
        <f aca="false" t="array" ref="B98:B98">IF(A98="","",IFERROR(INDEX('CLM &amp; IM Mapping'!$B$2:$B$270,MATCH(TRIM(A98),'CLM &amp; IM Mapping'!$A$2:$A$270,0)),"Not Mapped"))</f>
        <v>Balaji G</v>
      </c>
      <c r="C98" s="38" t="str">
        <f aca="false" t="array" ref="C98:C98">IF(A98="","",IFERROR(INDEX('CLM &amp; IM Mapping'!$C$2:$C$270,MATCH(TRIM(A98),'CLM &amp; IM Mapping'!$A$2:$A$270,0)),"Not Mapped"))</f>
        <v>Mohammed Akbar</v>
      </c>
      <c r="D98" s="38"/>
      <c r="E98" s="38"/>
      <c r="F98" s="38" t="n">
        <v>6</v>
      </c>
      <c r="G98" s="38" t="n">
        <v>6</v>
      </c>
      <c r="H98" s="40" t="n">
        <v>1426.91</v>
      </c>
      <c r="I98" s="12"/>
      <c r="J98" s="12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customFormat="false" ht="15.75" hidden="false" customHeight="true" outlineLevel="0" collapsed="false">
      <c r="A99" s="38" t="s">
        <v>254</v>
      </c>
      <c r="B99" s="38" t="str">
        <f aca="false" t="array" ref="B99:B99">IF(A99="","",IFERROR(INDEX('CLM &amp; IM Mapping'!$B$2:$B$270,MATCH(TRIM(A99),'CLM &amp; IM Mapping'!$A$2:$A$270,0)),"Not Mapped"))</f>
        <v>Suhas N</v>
      </c>
      <c r="C99" s="38" t="str">
        <f aca="false" t="array" ref="C99:C99">IF(A99="","",IFERROR(INDEX('CLM &amp; IM Mapping'!$C$2:$C$270,MATCH(TRIM(A99),'CLM &amp; IM Mapping'!$A$2:$A$270,0)),"Not Mapped"))</f>
        <v>Aravind S</v>
      </c>
      <c r="D99" s="38"/>
      <c r="E99" s="38"/>
      <c r="F99" s="38" t="n">
        <v>10</v>
      </c>
      <c r="G99" s="38" t="n">
        <v>10</v>
      </c>
      <c r="H99" s="40" t="n">
        <v>1406.56</v>
      </c>
      <c r="I99" s="12"/>
      <c r="J99" s="12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customFormat="false" ht="15.75" hidden="false" customHeight="true" outlineLevel="0" collapsed="false">
      <c r="A100" s="38" t="s">
        <v>199</v>
      </c>
      <c r="B100" s="38" t="str">
        <f aca="false" t="array" ref="B100:B100">IF(A100="","",IFERROR(INDEX('CLM &amp; IM Mapping'!$B$2:$B$270,MATCH(TRIM(A100),'CLM &amp; IM Mapping'!$A$2:$A$270,0)),"Not Mapped"))</f>
        <v>Sundaresh S</v>
      </c>
      <c r="C100" s="38" t="str">
        <f aca="false" t="array" ref="C100:C100">IF(A100="","",IFERROR(INDEX('CLM &amp; IM Mapping'!$C$2:$C$270,MATCH(TRIM(A100),'CLM &amp; IM Mapping'!$A$2:$A$270,0)),"Not Mapped"))</f>
        <v>Un Mapped</v>
      </c>
      <c r="D100" s="38" t="n">
        <v>20</v>
      </c>
      <c r="E100" s="38"/>
      <c r="F100" s="38"/>
      <c r="G100" s="38" t="n">
        <v>20</v>
      </c>
      <c r="H100" s="40" t="n">
        <v>1247.18</v>
      </c>
      <c r="I100" s="12"/>
      <c r="J100" s="12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customFormat="false" ht="15.75" hidden="false" customHeight="true" outlineLevel="0" collapsed="false">
      <c r="A101" s="38" t="s">
        <v>227</v>
      </c>
      <c r="B101" s="38" t="str">
        <f aca="false" t="array" ref="B101:B101">IF(A101="","",IFERROR(INDEX('CLM &amp; IM Mapping'!$B$2:$B$270,MATCH(TRIM(A101),'CLM &amp; IM Mapping'!$A$2:$A$270,0)),"Not Mapped"))</f>
        <v>Santhosha M</v>
      </c>
      <c r="C101" s="38" t="str">
        <f aca="false" t="array" ref="C101:C101">IF(A101="","",IFERROR(INDEX('CLM &amp; IM Mapping'!$C$2:$C$270,MATCH(TRIM(A101),'CLM &amp; IM Mapping'!$A$2:$A$270,0)),"Not Mapped"))</f>
        <v>Aravind S</v>
      </c>
      <c r="D101" s="38"/>
      <c r="E101" s="38"/>
      <c r="F101" s="38" t="n">
        <v>7</v>
      </c>
      <c r="G101" s="38" t="n">
        <v>7</v>
      </c>
      <c r="H101" s="40" t="n">
        <v>1153.61</v>
      </c>
      <c r="I101" s="12"/>
      <c r="J101" s="12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customFormat="false" ht="15.75" hidden="false" customHeight="true" outlineLevel="0" collapsed="false">
      <c r="A102" s="38" t="s">
        <v>205</v>
      </c>
      <c r="B102" s="38" t="str">
        <f aca="false" t="array" ref="B102:B102">IF(A102="","",IFERROR(INDEX('CLM &amp; IM Mapping'!$B$2:$B$270,MATCH(TRIM(A102),'CLM &amp; IM Mapping'!$A$2:$A$270,0)),"Not Mapped"))</f>
        <v>Akshay P</v>
      </c>
      <c r="C102" s="38" t="str">
        <f aca="false" t="array" ref="C102:C102">IF(A102="","",IFERROR(INDEX('CLM &amp; IM Mapping'!$C$2:$C$270,MATCH(TRIM(A102),'CLM &amp; IM Mapping'!$A$2:$A$270,0)),"Not Mapped"))</f>
        <v>Srittam Dhal</v>
      </c>
      <c r="D102" s="38" t="n">
        <v>53</v>
      </c>
      <c r="E102" s="38"/>
      <c r="F102" s="38"/>
      <c r="G102" s="38" t="n">
        <v>53</v>
      </c>
      <c r="H102" s="40" t="n">
        <v>1060.28</v>
      </c>
      <c r="I102" s="12"/>
      <c r="J102" s="12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customFormat="false" ht="15.75" hidden="false" customHeight="true" outlineLevel="0" collapsed="false">
      <c r="A103" s="38" t="s">
        <v>150</v>
      </c>
      <c r="B103" s="38" t="str">
        <f aca="false" t="array" ref="B103:B103">IF(A103="","",IFERROR(INDEX('CLM &amp; IM Mapping'!$B$2:$B$270,MATCH(TRIM(A103),'CLM &amp; IM Mapping'!$A$2:$A$270,0)),"Not Mapped"))</f>
        <v>Manjunatha V</v>
      </c>
      <c r="C103" s="38" t="str">
        <f aca="false" t="array" ref="C103:C103">IF(A103="","",IFERROR(INDEX('CLM &amp; IM Mapping'!$C$2:$C$270,MATCH(TRIM(A103),'CLM &amp; IM Mapping'!$A$2:$A$270,0)),"Not Mapped"))</f>
        <v>Un Mapped</v>
      </c>
      <c r="D103" s="38" t="n">
        <v>6</v>
      </c>
      <c r="E103" s="38"/>
      <c r="F103" s="38" t="n">
        <v>1</v>
      </c>
      <c r="G103" s="38" t="n">
        <v>7</v>
      </c>
      <c r="H103" s="40" t="n">
        <v>1025.28</v>
      </c>
      <c r="I103" s="12"/>
      <c r="J103" s="12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customFormat="false" ht="15.75" hidden="false" customHeight="true" outlineLevel="0" collapsed="false">
      <c r="A104" s="38" t="s">
        <v>60</v>
      </c>
      <c r="B104" s="38" t="str">
        <f aca="false" t="array" ref="B104:B104">IF(A104="","",IFERROR(INDEX('CLM &amp; IM Mapping'!$B$2:$B$270,MATCH(TRIM(A104),'CLM &amp; IM Mapping'!$A$2:$A$270,0)),"Not Mapped"))</f>
        <v>Adhavan Subramani</v>
      </c>
      <c r="C104" s="38" t="str">
        <f aca="false" t="array" ref="C104:C104">IF(A104="","",IFERROR(INDEX('CLM &amp; IM Mapping'!$C$2:$C$270,MATCH(TRIM(A104),'CLM &amp; IM Mapping'!$A$2:$A$270,0)),"Not Mapped"))</f>
        <v>Mohammed Akbar</v>
      </c>
      <c r="D104" s="38"/>
      <c r="E104" s="38"/>
      <c r="F104" s="38" t="n">
        <v>15</v>
      </c>
      <c r="G104" s="38" t="n">
        <v>15</v>
      </c>
      <c r="H104" s="40" t="n">
        <v>1012.41</v>
      </c>
      <c r="I104" s="12"/>
      <c r="J104" s="12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customFormat="false" ht="15.75" hidden="false" customHeight="true" outlineLevel="0" collapsed="false">
      <c r="A105" s="38" t="s">
        <v>86</v>
      </c>
      <c r="B105" s="38" t="str">
        <f aca="false" t="array" ref="B105:B105">IF(A105="","",IFERROR(INDEX('CLM &amp; IM Mapping'!$B$2:$B$270,MATCH(TRIM(A105),'CLM &amp; IM Mapping'!$A$2:$A$270,0)),"Not Mapped"))</f>
        <v>Richard Harris</v>
      </c>
      <c r="C105" s="38" t="str">
        <f aca="false" t="array" ref="C105:C105">IF(A105="","",IFERROR(INDEX('CLM &amp; IM Mapping'!$C$2:$C$270,MATCH(TRIM(A105),'CLM &amp; IM Mapping'!$A$2:$A$270,0)),"Not Mapped"))</f>
        <v>Kantha Kumar</v>
      </c>
      <c r="D105" s="38"/>
      <c r="E105" s="38"/>
      <c r="F105" s="38" t="n">
        <v>2</v>
      </c>
      <c r="G105" s="38" t="n">
        <v>2</v>
      </c>
      <c r="H105" s="40" t="n">
        <v>829.34</v>
      </c>
      <c r="I105" s="12"/>
      <c r="J105" s="12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customFormat="false" ht="15.75" hidden="false" customHeight="true" outlineLevel="0" collapsed="false">
      <c r="A106" s="38" t="s">
        <v>238</v>
      </c>
      <c r="B106" s="38" t="str">
        <f aca="false" t="array" ref="B106:B106">IF(A106="","",IFERROR(INDEX('CLM &amp; IM Mapping'!$B$2:$B$270,MATCH(TRIM(A106),'CLM &amp; IM Mapping'!$A$2:$A$270,0)),"Not Mapped"))</f>
        <v>Vijay M</v>
      </c>
      <c r="C106" s="38" t="str">
        <f aca="false" t="array" ref="C106:C106">IF(A106="","",IFERROR(INDEX('CLM &amp; IM Mapping'!$C$2:$C$270,MATCH(TRIM(A106),'CLM &amp; IM Mapping'!$A$2:$A$270,0)),"Not Mapped"))</f>
        <v>Kantha Kumar</v>
      </c>
      <c r="D106" s="38"/>
      <c r="E106" s="38"/>
      <c r="F106" s="38" t="n">
        <v>11</v>
      </c>
      <c r="G106" s="38" t="n">
        <v>11</v>
      </c>
      <c r="H106" s="40" t="n">
        <v>767.93</v>
      </c>
      <c r="I106" s="12"/>
      <c r="J106" s="12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customFormat="false" ht="15.75" hidden="false" customHeight="true" outlineLevel="0" collapsed="false">
      <c r="A107" s="38" t="s">
        <v>34</v>
      </c>
      <c r="B107" s="38" t="str">
        <f aca="false" t="array" ref="B107:B107">IF(A107="","",IFERROR(INDEX('CLM &amp; IM Mapping'!$B$2:$B$270,MATCH(TRIM(A107),'CLM &amp; IM Mapping'!$A$2:$A$270,0)),"Not Mapped"))</f>
        <v>Richard Harris</v>
      </c>
      <c r="C107" s="38" t="str">
        <f aca="false" t="array" ref="C107:C107">IF(A107="","",IFERROR(INDEX('CLM &amp; IM Mapping'!$C$2:$C$270,MATCH(TRIM(A107),'CLM &amp; IM Mapping'!$A$2:$A$270,0)),"Not Mapped"))</f>
        <v>Kantha Kumar</v>
      </c>
      <c r="D107" s="38"/>
      <c r="E107" s="38"/>
      <c r="F107" s="38" t="n">
        <v>7</v>
      </c>
      <c r="G107" s="38" t="n">
        <v>7</v>
      </c>
      <c r="H107" s="40" t="n">
        <v>756.44</v>
      </c>
      <c r="I107" s="12"/>
      <c r="J107" s="12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customFormat="false" ht="15.75" hidden="false" customHeight="true" outlineLevel="0" collapsed="false">
      <c r="A108" s="38" t="s">
        <v>89</v>
      </c>
      <c r="B108" s="38" t="str">
        <f aca="false" t="array" ref="B108:B108">IF(A108="","",IFERROR(INDEX('CLM &amp; IM Mapping'!$B$2:$B$270,MATCH(TRIM(A108),'CLM &amp; IM Mapping'!$A$2:$A$270,0)),"Not Mapped"))</f>
        <v>Girish N</v>
      </c>
      <c r="C108" s="38" t="str">
        <f aca="false" t="array" ref="C108:C108">IF(A108="","",IFERROR(INDEX('CLM &amp; IM Mapping'!$C$2:$C$270,MATCH(TRIM(A108),'CLM &amp; IM Mapping'!$A$2:$A$270,0)),"Not Mapped"))</f>
        <v>Un Mapped</v>
      </c>
      <c r="D108" s="38"/>
      <c r="E108" s="38"/>
      <c r="F108" s="38" t="n">
        <v>9</v>
      </c>
      <c r="G108" s="38" t="n">
        <v>9</v>
      </c>
      <c r="H108" s="40" t="n">
        <v>714.71</v>
      </c>
      <c r="I108" s="12"/>
      <c r="J108" s="12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customFormat="false" ht="15.75" hidden="false" customHeight="true" outlineLevel="0" collapsed="false">
      <c r="A109" s="38" t="s">
        <v>203</v>
      </c>
      <c r="B109" s="38" t="str">
        <f aca="false" t="array" ref="B109:B109">IF(A109="","",IFERROR(INDEX('CLM &amp; IM Mapping'!$B$2:$B$270,MATCH(TRIM(A109),'CLM &amp; IM Mapping'!$A$2:$A$270,0)),"Not Mapped"))</f>
        <v>Bangareppa CS</v>
      </c>
      <c r="C109" s="38" t="str">
        <f aca="false" t="array" ref="C109:C109">IF(A109="","",IFERROR(INDEX('CLM &amp; IM Mapping'!$C$2:$C$270,MATCH(TRIM(A109),'CLM &amp; IM Mapping'!$A$2:$A$270,0)),"Not Mapped"))</f>
        <v>Kishor K</v>
      </c>
      <c r="D109" s="38" t="n">
        <v>7</v>
      </c>
      <c r="E109" s="38"/>
      <c r="F109" s="38"/>
      <c r="G109" s="38" t="n">
        <v>7</v>
      </c>
      <c r="H109" s="40" t="n">
        <v>701.09</v>
      </c>
      <c r="I109" s="12"/>
      <c r="J109" s="12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customFormat="false" ht="15.75" hidden="false" customHeight="true" outlineLevel="0" collapsed="false">
      <c r="A110" s="38" t="s">
        <v>282</v>
      </c>
      <c r="B110" s="38" t="str">
        <f aca="false" t="array" ref="B110:B110">IF(A110="","",IFERROR(INDEX('CLM &amp; IM Mapping'!$B$2:$B$270,MATCH(TRIM(A110),'CLM &amp; IM Mapping'!$A$2:$A$270,0)),"Not Mapped"))</f>
        <v>Raghavendra Vernekar</v>
      </c>
      <c r="C110" s="38" t="str">
        <f aca="false" t="array" ref="C110:C110">IF(A110="","",IFERROR(INDEX('CLM &amp; IM Mapping'!$C$2:$C$270,MATCH(TRIM(A110),'CLM &amp; IM Mapping'!$A$2:$A$270,0)),"Not Mapped"))</f>
        <v>Prakash BS</v>
      </c>
      <c r="D110" s="38"/>
      <c r="E110" s="38"/>
      <c r="F110" s="38" t="n">
        <v>2</v>
      </c>
      <c r="G110" s="38" t="n">
        <v>2</v>
      </c>
      <c r="H110" s="40" t="n">
        <v>687.72</v>
      </c>
      <c r="I110" s="12"/>
      <c r="J110" s="12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customFormat="false" ht="15.75" hidden="false" customHeight="true" outlineLevel="0" collapsed="false">
      <c r="A111" s="38" t="s">
        <v>285</v>
      </c>
      <c r="B111" s="38" t="str">
        <f aca="false" t="array" ref="B111:B111">IF(A111="","",IFERROR(INDEX('CLM &amp; IM Mapping'!$B$2:$B$270,MATCH(TRIM(A111),'CLM &amp; IM Mapping'!$A$2:$A$270,0)),"Not Mapped"))</f>
        <v>Saddam Hussain</v>
      </c>
      <c r="C111" s="38" t="str">
        <f aca="false" t="array" ref="C111:C111">IF(A111="","",IFERROR(INDEX('CLM &amp; IM Mapping'!$C$2:$C$270,MATCH(TRIM(A111),'CLM &amp; IM Mapping'!$A$2:$A$270,0)),"Not Mapped"))</f>
        <v>Un Mapped</v>
      </c>
      <c r="D111" s="38"/>
      <c r="E111" s="38"/>
      <c r="F111" s="38" t="n">
        <v>6</v>
      </c>
      <c r="G111" s="38" t="n">
        <v>6</v>
      </c>
      <c r="H111" s="40" t="n">
        <v>682.7</v>
      </c>
      <c r="I111" s="12"/>
      <c r="J111" s="12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customFormat="false" ht="15.75" hidden="false" customHeight="true" outlineLevel="0" collapsed="false">
      <c r="A112" s="38" t="s">
        <v>83</v>
      </c>
      <c r="B112" s="38" t="str">
        <f aca="false" t="array" ref="B112:B112">IF(A112="","",IFERROR(INDEX('CLM &amp; IM Mapping'!$B$2:$B$270,MATCH(TRIM(A112),'CLM &amp; IM Mapping'!$A$2:$A$270,0)),"Not Mapped"))</f>
        <v>Balaji G</v>
      </c>
      <c r="C112" s="38" t="str">
        <f aca="false" t="array" ref="C112:C112">IF(A112="","",IFERROR(INDEX('CLM &amp; IM Mapping'!$C$2:$C$270,MATCH(TRIM(A112),'CLM &amp; IM Mapping'!$A$2:$A$270,0)),"Not Mapped"))</f>
        <v>Mohammed Akbar</v>
      </c>
      <c r="D112" s="38"/>
      <c r="E112" s="38"/>
      <c r="F112" s="38" t="n">
        <v>25</v>
      </c>
      <c r="G112" s="38" t="n">
        <v>25</v>
      </c>
      <c r="H112" s="40" t="n">
        <v>667.95</v>
      </c>
      <c r="I112" s="12"/>
      <c r="J112" s="12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customFormat="false" ht="15.75" hidden="false" customHeight="true" outlineLevel="0" collapsed="false">
      <c r="A113" s="38" t="s">
        <v>193</v>
      </c>
      <c r="B113" s="38" t="str">
        <f aca="false" t="array" ref="B113:B113">IF(A113="","",IFERROR(INDEX('CLM &amp; IM Mapping'!$B$2:$B$270,MATCH(TRIM(A113),'CLM &amp; IM Mapping'!$A$2:$A$270,0)),"Not Mapped"))</f>
        <v>Richard Harris</v>
      </c>
      <c r="C113" s="38" t="str">
        <f aca="false" t="array" ref="C113:C113">IF(A113="","",IFERROR(INDEX('CLM &amp; IM Mapping'!$C$2:$C$270,MATCH(TRIM(A113),'CLM &amp; IM Mapping'!$A$2:$A$270,0)),"Not Mapped"))</f>
        <v>Kantha Kumar</v>
      </c>
      <c r="D113" s="38"/>
      <c r="E113" s="38"/>
      <c r="F113" s="38" t="n">
        <v>4</v>
      </c>
      <c r="G113" s="38" t="n">
        <v>4</v>
      </c>
      <c r="H113" s="40" t="n">
        <v>546.64</v>
      </c>
      <c r="I113" s="12"/>
      <c r="J113" s="12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customFormat="false" ht="15.75" hidden="false" customHeight="true" outlineLevel="0" collapsed="false">
      <c r="A114" s="38" t="s">
        <v>299</v>
      </c>
      <c r="B114" s="38" t="str">
        <f aca="false" t="array" ref="B114:B114">IF(A114="","",IFERROR(INDEX('CLM &amp; IM Mapping'!$B$2:$B$270,MATCH(TRIM(A114),'CLM &amp; IM Mapping'!$A$2:$A$270,0)),"Not Mapped"))</f>
        <v>Balaji G</v>
      </c>
      <c r="C114" s="38" t="str">
        <f aca="false" t="array" ref="C114:C114">IF(A114="","",IFERROR(INDEX('CLM &amp; IM Mapping'!$C$2:$C$270,MATCH(TRIM(A114),'CLM &amp; IM Mapping'!$A$2:$A$270,0)),"Not Mapped"))</f>
        <v>Mohammed Akbar</v>
      </c>
      <c r="D114" s="38" t="n">
        <v>5</v>
      </c>
      <c r="E114" s="38"/>
      <c r="F114" s="38"/>
      <c r="G114" s="38" t="n">
        <v>5</v>
      </c>
      <c r="H114" s="40" t="n">
        <v>510.57</v>
      </c>
      <c r="I114" s="12"/>
      <c r="J114" s="12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customFormat="false" ht="15.75" hidden="false" customHeight="true" outlineLevel="0" collapsed="false">
      <c r="A115" s="38" t="s">
        <v>117</v>
      </c>
      <c r="B115" s="38" t="str">
        <f aca="false" t="array" ref="B115:B115">IF(A115="","",IFERROR(INDEX('CLM &amp; IM Mapping'!$B$2:$B$270,MATCH(TRIM(A115),'CLM &amp; IM Mapping'!$A$2:$A$270,0)),"Not Mapped"))</f>
        <v>Arun Raj</v>
      </c>
      <c r="C115" s="38" t="str">
        <f aca="false" t="array" ref="C115:C115">IF(A115="","",IFERROR(INDEX('CLM &amp; IM Mapping'!$C$2:$C$270,MATCH(TRIM(A115),'CLM &amp; IM Mapping'!$A$2:$A$270,0)),"Not Mapped"))</f>
        <v>Simon Manoharan</v>
      </c>
      <c r="D115" s="38"/>
      <c r="E115" s="38"/>
      <c r="F115" s="38" t="n">
        <v>8</v>
      </c>
      <c r="G115" s="38" t="n">
        <v>8</v>
      </c>
      <c r="H115" s="40" t="n">
        <v>478.95</v>
      </c>
      <c r="I115" s="12"/>
      <c r="J115" s="12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customFormat="false" ht="15.75" hidden="false" customHeight="true" outlineLevel="0" collapsed="false">
      <c r="A116" s="38" t="s">
        <v>297</v>
      </c>
      <c r="B116" s="38" t="str">
        <f aca="false" t="array" ref="B116:B116">IF(A116="","",IFERROR(INDEX('CLM &amp; IM Mapping'!$B$2:$B$270,MATCH(TRIM(A116),'CLM &amp; IM Mapping'!$A$2:$A$270,0)),"Not Mapped"))</f>
        <v>Suhas N</v>
      </c>
      <c r="C116" s="38" t="str">
        <f aca="false" t="array" ref="C116:C116">IF(A116="","",IFERROR(INDEX('CLM &amp; IM Mapping'!$C$2:$C$270,MATCH(TRIM(A116),'CLM &amp; IM Mapping'!$A$2:$A$270,0)),"Not Mapped"))</f>
        <v>Aravind S</v>
      </c>
      <c r="D116" s="38"/>
      <c r="E116" s="38"/>
      <c r="F116" s="38" t="n">
        <v>4</v>
      </c>
      <c r="G116" s="38" t="n">
        <v>4</v>
      </c>
      <c r="H116" s="40" t="n">
        <v>476.1</v>
      </c>
      <c r="I116" s="12"/>
      <c r="J116" s="12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customFormat="false" ht="15.75" hidden="false" customHeight="true" outlineLevel="0" collapsed="false">
      <c r="A117" s="38" t="s">
        <v>286</v>
      </c>
      <c r="B117" s="38" t="str">
        <f aca="false" t="array" ref="B117:B117">IF(A117="","",IFERROR(INDEX('CLM &amp; IM Mapping'!$B$2:$B$270,MATCH(TRIM(A117),'CLM &amp; IM Mapping'!$A$2:$A$270,0)),"Not Mapped"))</f>
        <v>Manoj Kj</v>
      </c>
      <c r="C117" s="38" t="str">
        <f aca="false" t="array" ref="C117:C117">IF(A117="","",IFERROR(INDEX('CLM &amp; IM Mapping'!$C$2:$C$270,MATCH(TRIM(A117),'CLM &amp; IM Mapping'!$A$2:$A$270,0)),"Not Mapped"))</f>
        <v>Srittam Dhal</v>
      </c>
      <c r="D117" s="38" t="n">
        <v>3</v>
      </c>
      <c r="E117" s="38"/>
      <c r="F117" s="38"/>
      <c r="G117" s="38" t="n">
        <v>3</v>
      </c>
      <c r="H117" s="40" t="n">
        <v>408.78</v>
      </c>
      <c r="I117" s="12"/>
      <c r="J117" s="12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customFormat="false" ht="15.75" hidden="false" customHeight="true" outlineLevel="0" collapsed="false">
      <c r="A118" s="38" t="s">
        <v>172</v>
      </c>
      <c r="B118" s="38" t="str">
        <f aca="false" t="array" ref="B118:B118">IF(A118="","",IFERROR(INDEX('CLM &amp; IM Mapping'!$B$2:$B$270,MATCH(TRIM(A118),'CLM &amp; IM Mapping'!$A$2:$A$270,0)),"Not Mapped"))</f>
        <v>Arun Raj</v>
      </c>
      <c r="C118" s="38" t="str">
        <f aca="false" t="array" ref="C118:C118">IF(A118="","",IFERROR(INDEX('CLM &amp; IM Mapping'!$C$2:$C$270,MATCH(TRIM(A118),'CLM &amp; IM Mapping'!$A$2:$A$270,0)),"Not Mapped"))</f>
        <v>Simon Manoharan</v>
      </c>
      <c r="D118" s="38"/>
      <c r="E118" s="38"/>
      <c r="F118" s="38" t="n">
        <v>2</v>
      </c>
      <c r="G118" s="38" t="n">
        <v>2</v>
      </c>
      <c r="H118" s="40" t="n">
        <v>387.42</v>
      </c>
      <c r="I118" s="12"/>
      <c r="J118" s="12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customFormat="false" ht="15.75" hidden="false" customHeight="true" outlineLevel="0" collapsed="false">
      <c r="A119" s="38" t="s">
        <v>152</v>
      </c>
      <c r="B119" s="38" t="str">
        <f aca="false" t="array" ref="B119:B119">IF(A119="","",IFERROR(INDEX('CLM &amp; IM Mapping'!$B$2:$B$270,MATCH(TRIM(A119),'CLM &amp; IM Mapping'!$A$2:$A$270,0)),"Not Mapped"))</f>
        <v>Basil Scariya</v>
      </c>
      <c r="C119" s="38" t="str">
        <f aca="false" t="array" ref="C119:C119">IF(A119="","",IFERROR(INDEX('CLM &amp; IM Mapping'!$C$2:$C$270,MATCH(TRIM(A119),'CLM &amp; IM Mapping'!$A$2:$A$270,0)),"Not Mapped"))</f>
        <v>Prakash BS</v>
      </c>
      <c r="D119" s="38" t="n">
        <v>4</v>
      </c>
      <c r="E119" s="38"/>
      <c r="F119" s="38"/>
      <c r="G119" s="38" t="n">
        <v>4</v>
      </c>
      <c r="H119" s="40" t="n">
        <v>385.77</v>
      </c>
      <c r="I119" s="12"/>
      <c r="J119" s="12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customFormat="false" ht="15.75" hidden="false" customHeight="true" outlineLevel="0" collapsed="false">
      <c r="A120" s="38" t="s">
        <v>133</v>
      </c>
      <c r="B120" s="38" t="str">
        <f aca="false" t="array" ref="B120:B120">IF(A120="","",IFERROR(INDEX('CLM &amp; IM Mapping'!$B$2:$B$270,MATCH(TRIM(A120),'CLM &amp; IM Mapping'!$A$2:$A$270,0)),"Not Mapped"))</f>
        <v>Balaji G</v>
      </c>
      <c r="C120" s="38" t="str">
        <f aca="false" t="array" ref="C120:C120">IF(A120="","",IFERROR(INDEX('CLM &amp; IM Mapping'!$C$2:$C$270,MATCH(TRIM(A120),'CLM &amp; IM Mapping'!$A$2:$A$270,0)),"Not Mapped"))</f>
        <v>Mohammed Akbar</v>
      </c>
      <c r="D120" s="38"/>
      <c r="E120" s="38"/>
      <c r="F120" s="38" t="n">
        <v>3</v>
      </c>
      <c r="G120" s="38" t="n">
        <v>3</v>
      </c>
      <c r="H120" s="40" t="n">
        <v>291.99</v>
      </c>
      <c r="I120" s="12"/>
      <c r="J120" s="12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customFormat="false" ht="15.75" hidden="false" customHeight="true" outlineLevel="0" collapsed="false">
      <c r="A121" s="38" t="s">
        <v>118</v>
      </c>
      <c r="B121" s="38" t="str">
        <f aca="false" t="array" ref="B121:B121">IF(A121="","",IFERROR(INDEX('CLM &amp; IM Mapping'!$B$2:$B$270,MATCH(TRIM(A121),'CLM &amp; IM Mapping'!$A$2:$A$270,0)),"Not Mapped"))</f>
        <v>Akshay P</v>
      </c>
      <c r="C121" s="38" t="str">
        <f aca="false" t="array" ref="C121:C121">IF(A121="","",IFERROR(INDEX('CLM &amp; IM Mapping'!$C$2:$C$270,MATCH(TRIM(A121),'CLM &amp; IM Mapping'!$A$2:$A$270,0)),"Not Mapped"))</f>
        <v>Srittam Dhal</v>
      </c>
      <c r="D121" s="38"/>
      <c r="E121" s="38"/>
      <c r="F121" s="38" t="n">
        <v>3</v>
      </c>
      <c r="G121" s="38" t="n">
        <v>3</v>
      </c>
      <c r="H121" s="40" t="n">
        <v>233.7</v>
      </c>
      <c r="I121" s="12"/>
      <c r="J121" s="12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customFormat="false" ht="15.75" hidden="false" customHeight="true" outlineLevel="0" collapsed="false">
      <c r="A122" s="38" t="s">
        <v>201</v>
      </c>
      <c r="B122" s="38" t="str">
        <f aca="false" t="array" ref="B122:B122">IF(A122="","",IFERROR(INDEX('CLM &amp; IM Mapping'!$B$2:$B$270,MATCH(TRIM(A122),'CLM &amp; IM Mapping'!$A$2:$A$270,0)),"Not Mapped"))</f>
        <v>Balaji G</v>
      </c>
      <c r="C122" s="38" t="str">
        <f aca="false" t="array" ref="C122:C122">IF(A122="","",IFERROR(INDEX('CLM &amp; IM Mapping'!$C$2:$C$270,MATCH(TRIM(A122),'CLM &amp; IM Mapping'!$A$2:$A$270,0)),"Not Mapped"))</f>
        <v>Mohammed Akbar</v>
      </c>
      <c r="D122" s="38"/>
      <c r="E122" s="38"/>
      <c r="F122" s="38" t="n">
        <v>2</v>
      </c>
      <c r="G122" s="38" t="n">
        <v>2</v>
      </c>
      <c r="H122" s="40" t="n">
        <v>231.55</v>
      </c>
      <c r="I122" s="12"/>
      <c r="J122" s="12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customFormat="false" ht="15.75" hidden="false" customHeight="true" outlineLevel="0" collapsed="false">
      <c r="A123" s="38" t="s">
        <v>65</v>
      </c>
      <c r="B123" s="38" t="str">
        <f aca="false" t="array" ref="B123:B123">IF(A123="","",IFERROR(INDEX('CLM &amp; IM Mapping'!$B$2:$B$270,MATCH(TRIM(A123),'CLM &amp; IM Mapping'!$A$2:$A$270,0)),"Not Mapped"))</f>
        <v>Saddam Hussain</v>
      </c>
      <c r="C123" s="38" t="str">
        <f aca="false" t="array" ref="C123:C123">IF(A123="","",IFERROR(INDEX('CLM &amp; IM Mapping'!$C$2:$C$270,MATCH(TRIM(A123),'CLM &amp; IM Mapping'!$A$2:$A$270,0)),"Not Mapped"))</f>
        <v>Un Mapped</v>
      </c>
      <c r="D123" s="38"/>
      <c r="E123" s="38"/>
      <c r="F123" s="38" t="n">
        <v>3</v>
      </c>
      <c r="G123" s="38" t="n">
        <v>3</v>
      </c>
      <c r="H123" s="40" t="n">
        <v>225.76</v>
      </c>
      <c r="I123" s="12"/>
      <c r="J123" s="12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customFormat="false" ht="15.75" hidden="false" customHeight="true" outlineLevel="0" collapsed="false">
      <c r="A124" s="38" t="s">
        <v>287</v>
      </c>
      <c r="B124" s="38" t="str">
        <f aca="false" t="array" ref="B124:B124">IF(A124="","",IFERROR(INDEX('CLM &amp; IM Mapping'!$B$2:$B$270,MATCH(TRIM(A124),'CLM &amp; IM Mapping'!$A$2:$A$270,0)),"Not Mapped"))</f>
        <v>Balaji G</v>
      </c>
      <c r="C124" s="38" t="str">
        <f aca="false" t="array" ref="C124:C124">IF(A124="","",IFERROR(INDEX('CLM &amp; IM Mapping'!$C$2:$C$270,MATCH(TRIM(A124),'CLM &amp; IM Mapping'!$A$2:$A$270,0)),"Not Mapped"))</f>
        <v>Mohammed Akbar</v>
      </c>
      <c r="D124" s="38" t="n">
        <v>1</v>
      </c>
      <c r="E124" s="38"/>
      <c r="F124" s="38"/>
      <c r="G124" s="38" t="n">
        <v>1</v>
      </c>
      <c r="H124" s="40" t="n">
        <v>168.53</v>
      </c>
      <c r="I124" s="12"/>
      <c r="J124" s="12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customFormat="false" ht="15.75" hidden="false" customHeight="true" outlineLevel="0" collapsed="false">
      <c r="A125" s="38" t="s">
        <v>225</v>
      </c>
      <c r="B125" s="38" t="str">
        <f aca="false" t="array" ref="B125:B125">IF(A125="","",IFERROR(INDEX('CLM &amp; IM Mapping'!$B$2:$B$270,MATCH(TRIM(A125),'CLM &amp; IM Mapping'!$A$2:$A$270,0)),"Not Mapped"))</f>
        <v>Manjunatha V</v>
      </c>
      <c r="C125" s="38" t="str">
        <f aca="false" t="array" ref="C125:C125">IF(A125="","",IFERROR(INDEX('CLM &amp; IM Mapping'!$C$2:$C$270,MATCH(TRIM(A125),'CLM &amp; IM Mapping'!$A$2:$A$270,0)),"Not Mapped"))</f>
        <v>Un Mapped</v>
      </c>
      <c r="D125" s="38"/>
      <c r="E125" s="38"/>
      <c r="F125" s="38" t="n">
        <v>4</v>
      </c>
      <c r="G125" s="38" t="n">
        <v>4</v>
      </c>
      <c r="H125" s="40" t="n">
        <v>165.08</v>
      </c>
      <c r="I125" s="12"/>
      <c r="J125" s="12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customFormat="false" ht="15.75" hidden="false" customHeight="true" outlineLevel="0" collapsed="false">
      <c r="A126" s="38" t="s">
        <v>190</v>
      </c>
      <c r="B126" s="38" t="str">
        <f aca="false" t="array" ref="B126:B126">IF(A126="","",IFERROR(INDEX('CLM &amp; IM Mapping'!$B$2:$B$270,MATCH(TRIM(A126),'CLM &amp; IM Mapping'!$A$2:$A$270,0)),"Not Mapped"))</f>
        <v>Sundaresh S</v>
      </c>
      <c r="C126" s="38" t="str">
        <f aca="false" t="array" ref="C126:C126">IF(A126="","",IFERROR(INDEX('CLM &amp; IM Mapping'!$C$2:$C$270,MATCH(TRIM(A126),'CLM &amp; IM Mapping'!$A$2:$A$270,0)),"Not Mapped"))</f>
        <v>Un Mapped</v>
      </c>
      <c r="D126" s="38" t="n">
        <v>2</v>
      </c>
      <c r="E126" s="38"/>
      <c r="F126" s="38"/>
      <c r="G126" s="38" t="n">
        <v>2</v>
      </c>
      <c r="H126" s="40" t="n">
        <v>158.16</v>
      </c>
      <c r="I126" s="12"/>
      <c r="J126" s="12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customFormat="false" ht="15.75" hidden="false" customHeight="true" outlineLevel="0" collapsed="false">
      <c r="A127" s="38" t="s">
        <v>109</v>
      </c>
      <c r="B127" s="38" t="str">
        <f aca="false" t="array" ref="B127:B127">IF(A127="","",IFERROR(INDEX('CLM &amp; IM Mapping'!$B$2:$B$270,MATCH(TRIM(A127),'CLM &amp; IM Mapping'!$A$2:$A$270,0)),"Not Mapped"))</f>
        <v>Arun Raj</v>
      </c>
      <c r="C127" s="38" t="str">
        <f aca="false" t="array" ref="C127:C127">IF(A127="","",IFERROR(INDEX('CLM &amp; IM Mapping'!$C$2:$C$270,MATCH(TRIM(A127),'CLM &amp; IM Mapping'!$A$2:$A$270,0)),"Not Mapped"))</f>
        <v>Simon Manoharan</v>
      </c>
      <c r="D127" s="38"/>
      <c r="E127" s="38"/>
      <c r="F127" s="38" t="n">
        <v>2</v>
      </c>
      <c r="G127" s="38" t="n">
        <v>2</v>
      </c>
      <c r="H127" s="40" t="n">
        <v>145.86</v>
      </c>
      <c r="I127" s="12"/>
      <c r="J127" s="12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customFormat="false" ht="15.75" hidden="false" customHeight="true" outlineLevel="0" collapsed="false">
      <c r="A128" s="38" t="s">
        <v>260</v>
      </c>
      <c r="B128" s="38" t="str">
        <f aca="false" t="array" ref="B128:B128">IF(A128="","",IFERROR(INDEX('CLM &amp; IM Mapping'!$B$2:$B$270,MATCH(TRIM(A128),'CLM &amp; IM Mapping'!$A$2:$A$270,0)),"Not Mapped"))</f>
        <v>Silambarasan E</v>
      </c>
      <c r="C128" s="38" t="str">
        <f aca="false" t="array" ref="C128:C128">IF(A128="","",IFERROR(INDEX('CLM &amp; IM Mapping'!$C$2:$C$270,MATCH(TRIM(A128),'CLM &amp; IM Mapping'!$A$2:$A$270,0)),"Not Mapped"))</f>
        <v>Arivind S</v>
      </c>
      <c r="D128" s="38"/>
      <c r="E128" s="38"/>
      <c r="F128" s="38" t="n">
        <v>1</v>
      </c>
      <c r="G128" s="38" t="n">
        <v>1</v>
      </c>
      <c r="H128" s="40" t="n">
        <v>128.9</v>
      </c>
      <c r="I128" s="12"/>
      <c r="J128" s="12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customFormat="false" ht="15.75" hidden="false" customHeight="true" outlineLevel="0" collapsed="false">
      <c r="A129" s="38" t="s">
        <v>94</v>
      </c>
      <c r="B129" s="38" t="str">
        <f aca="false" t="array" ref="B129:B129">IF(A129="","",IFERROR(INDEX('CLM &amp; IM Mapping'!$B$2:$B$270,MATCH(TRIM(A129),'CLM &amp; IM Mapping'!$A$2:$A$270,0)),"Not Mapped"))</f>
        <v>Adhavan Subramani</v>
      </c>
      <c r="C129" s="38" t="str">
        <f aca="false" t="array" ref="C129:C129">IF(A129="","",IFERROR(INDEX('CLM &amp; IM Mapping'!$C$2:$C$270,MATCH(TRIM(A129),'CLM &amp; IM Mapping'!$A$2:$A$270,0)),"Not Mapped"))</f>
        <v>Mohammed Akbar</v>
      </c>
      <c r="D129" s="38"/>
      <c r="E129" s="38"/>
      <c r="F129" s="38" t="n">
        <v>1</v>
      </c>
      <c r="G129" s="38" t="n">
        <v>1</v>
      </c>
      <c r="H129" s="40" t="n">
        <v>95.94</v>
      </c>
      <c r="I129" s="12"/>
      <c r="J129" s="12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customFormat="false" ht="15.75" hidden="false" customHeight="true" outlineLevel="0" collapsed="false">
      <c r="A130" s="38" t="s">
        <v>294</v>
      </c>
      <c r="B130" s="38" t="str">
        <f aca="false" t="array" ref="B130:B130">IF(A130="","",IFERROR(INDEX('CLM &amp; IM Mapping'!$B$2:$B$270,MATCH(TRIM(A130),'CLM &amp; IM Mapping'!$A$2:$A$270,0)),"Not Mapped"))</f>
        <v>Balaji G</v>
      </c>
      <c r="C130" s="38" t="str">
        <f aca="false" t="array" ref="C130:C130">IF(A130="","",IFERROR(INDEX('CLM &amp; IM Mapping'!$C$2:$C$270,MATCH(TRIM(A130),'CLM &amp; IM Mapping'!$A$2:$A$270,0)),"Not Mapped"))</f>
        <v>Mohammed Akbar</v>
      </c>
      <c r="D130" s="38"/>
      <c r="E130" s="38"/>
      <c r="F130" s="38" t="n">
        <v>1</v>
      </c>
      <c r="G130" s="38" t="n">
        <v>1</v>
      </c>
      <c r="H130" s="40" t="n">
        <v>95.85</v>
      </c>
      <c r="I130" s="12"/>
      <c r="J130" s="12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customFormat="false" ht="15.75" hidden="false" customHeight="true" outlineLevel="0" collapsed="false">
      <c r="A131" s="38" t="s">
        <v>136</v>
      </c>
      <c r="B131" s="38" t="str">
        <f aca="false" t="array" ref="B131:B131">IF(A131="","",IFERROR(INDEX('CLM &amp; IM Mapping'!$B$2:$B$270,MATCH(TRIM(A131),'CLM &amp; IM Mapping'!$A$2:$A$270,0)),"Not Mapped"))</f>
        <v>Arun Raj</v>
      </c>
      <c r="C131" s="38" t="str">
        <f aca="false" t="array" ref="C131:C131">IF(A131="","",IFERROR(INDEX('CLM &amp; IM Mapping'!$C$2:$C$270,MATCH(TRIM(A131),'CLM &amp; IM Mapping'!$A$2:$A$270,0)),"Not Mapped"))</f>
        <v>Simon Manoharan</v>
      </c>
      <c r="D131" s="38"/>
      <c r="E131" s="38"/>
      <c r="F131" s="38" t="n">
        <v>2</v>
      </c>
      <c r="G131" s="38" t="n">
        <v>2</v>
      </c>
      <c r="H131" s="40" t="n">
        <v>91.41</v>
      </c>
      <c r="I131" s="12"/>
      <c r="J131" s="12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customFormat="false" ht="15.75" hidden="false" customHeight="true" outlineLevel="0" collapsed="false">
      <c r="A132" s="38" t="s">
        <v>223</v>
      </c>
      <c r="B132" s="38" t="str">
        <f aca="false" t="array" ref="B132:B132">IF(A132="","",IFERROR(INDEX('CLM &amp; IM Mapping'!$B$2:$B$270,MATCH(TRIM(A132),'CLM &amp; IM Mapping'!$A$2:$A$270,0)),"Not Mapped"))</f>
        <v>Ravishankar gowda</v>
      </c>
      <c r="C132" s="38" t="str">
        <f aca="false" t="array" ref="C132:C132">IF(A132="","",IFERROR(INDEX('CLM &amp; IM Mapping'!$C$2:$C$270,MATCH(TRIM(A132),'CLM &amp; IM Mapping'!$A$2:$A$270,0)),"Not Mapped"))</f>
        <v>Kishor K</v>
      </c>
      <c r="D132" s="38"/>
      <c r="E132" s="38"/>
      <c r="F132" s="38" t="n">
        <v>1</v>
      </c>
      <c r="G132" s="38" t="n">
        <v>1</v>
      </c>
      <c r="H132" s="40" t="n">
        <v>86.18</v>
      </c>
      <c r="I132" s="12"/>
      <c r="J132" s="12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customFormat="false" ht="15.75" hidden="false" customHeight="true" outlineLevel="0" collapsed="false">
      <c r="A133" s="38" t="s">
        <v>126</v>
      </c>
      <c r="B133" s="38" t="str">
        <f aca="false" t="array" ref="B133:B133">IF(A133="","",IFERROR(INDEX('CLM &amp; IM Mapping'!$B$2:$B$270,MATCH(TRIM(A133),'CLM &amp; IM Mapping'!$A$2:$A$270,0)),"Not Mapped"))</f>
        <v>Balaji G</v>
      </c>
      <c r="C133" s="38" t="str">
        <f aca="false" t="array" ref="C133:C133">IF(A133="","",IFERROR(INDEX('CLM &amp; IM Mapping'!$C$2:$C$270,MATCH(TRIM(A133),'CLM &amp; IM Mapping'!$A$2:$A$270,0)),"Not Mapped"))</f>
        <v>Mohammed Akbar</v>
      </c>
      <c r="D133" s="38" t="n">
        <v>1</v>
      </c>
      <c r="E133" s="38"/>
      <c r="F133" s="38"/>
      <c r="G133" s="38" t="n">
        <v>1</v>
      </c>
      <c r="H133" s="40" t="n">
        <v>43.8</v>
      </c>
      <c r="I133" s="12"/>
      <c r="J133" s="12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customFormat="false" ht="15.75" hidden="false" customHeight="true" outlineLevel="0" collapsed="false">
      <c r="A134" s="38" t="s">
        <v>179</v>
      </c>
      <c r="B134" s="38" t="str">
        <f aca="false" t="array" ref="B134:B134">IF(A134="","",IFERROR(INDEX('CLM &amp; IM Mapping'!$B$2:$B$270,MATCH(TRIM(A134),'CLM &amp; IM Mapping'!$A$2:$A$270,0)),"Not Mapped"))</f>
        <v>Santhosha M</v>
      </c>
      <c r="C134" s="38" t="str">
        <f aca="false" t="array" ref="C134:C134">IF(A134="","",IFERROR(INDEX('CLM &amp; IM Mapping'!$C$2:$C$270,MATCH(TRIM(A134),'CLM &amp; IM Mapping'!$A$2:$A$270,0)),"Not Mapped"))</f>
        <v>Aravind S</v>
      </c>
      <c r="D134" s="38"/>
      <c r="E134" s="38"/>
      <c r="F134" s="38" t="n">
        <v>1</v>
      </c>
      <c r="G134" s="38" t="n">
        <v>1</v>
      </c>
      <c r="H134" s="40" t="n">
        <v>37.45</v>
      </c>
      <c r="I134" s="12"/>
      <c r="J134" s="12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customFormat="false" ht="15.75" hidden="false" customHeight="true" outlineLevel="0" collapsed="false">
      <c r="A135" s="15"/>
      <c r="B135" s="15"/>
      <c r="C135" s="15"/>
      <c r="D135" s="15"/>
      <c r="E135" s="15"/>
      <c r="F135" s="15"/>
      <c r="G135" s="15"/>
      <c r="H135" s="41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customFormat="false" ht="15.75" hidden="false" customHeight="true" outlineLevel="0" collapsed="false">
      <c r="A136" s="15"/>
      <c r="B136" s="15"/>
      <c r="C136" s="15"/>
      <c r="D136" s="15"/>
      <c r="E136" s="15"/>
      <c r="F136" s="15"/>
      <c r="G136" s="15"/>
      <c r="H136" s="41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customFormat="false" ht="15.75" hidden="false" customHeight="true" outlineLevel="0" collapsed="false">
      <c r="A137" s="15"/>
      <c r="B137" s="15"/>
      <c r="C137" s="15"/>
      <c r="D137" s="15"/>
      <c r="E137" s="15"/>
      <c r="F137" s="15"/>
      <c r="G137" s="15"/>
      <c r="H137" s="41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customFormat="false" ht="15.75" hidden="false" customHeight="true" outlineLevel="0" collapsed="false">
      <c r="A138" s="15"/>
      <c r="B138" s="15"/>
      <c r="C138" s="15"/>
      <c r="D138" s="15"/>
      <c r="E138" s="15"/>
      <c r="F138" s="15"/>
      <c r="G138" s="15"/>
      <c r="H138" s="41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customFormat="false" ht="15.75" hidden="false" customHeight="true" outlineLevel="0" collapsed="false">
      <c r="A139" s="15"/>
      <c r="B139" s="15"/>
      <c r="C139" s="15"/>
      <c r="D139" s="15"/>
      <c r="E139" s="15"/>
      <c r="F139" s="15"/>
      <c r="G139" s="15"/>
      <c r="H139" s="41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customFormat="false" ht="15.75" hidden="false" customHeight="true" outlineLevel="0" collapsed="false">
      <c r="A140" s="15"/>
      <c r="B140" s="15"/>
      <c r="C140" s="15"/>
      <c r="D140" s="15"/>
      <c r="E140" s="15"/>
      <c r="F140" s="15"/>
      <c r="G140" s="15"/>
      <c r="H140" s="41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customFormat="false" ht="15.75" hidden="false" customHeight="true" outlineLevel="0" collapsed="false">
      <c r="A141" s="15"/>
      <c r="B141" s="15"/>
      <c r="C141" s="15"/>
      <c r="D141" s="15"/>
      <c r="E141" s="15"/>
      <c r="F141" s="15"/>
      <c r="G141" s="15"/>
      <c r="H141" s="41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customFormat="false" ht="15.75" hidden="false" customHeight="true" outlineLevel="0" collapsed="false">
      <c r="A142" s="15"/>
      <c r="B142" s="15"/>
      <c r="C142" s="15"/>
      <c r="D142" s="15"/>
      <c r="E142" s="15"/>
      <c r="F142" s="15"/>
      <c r="G142" s="15"/>
      <c r="H142" s="41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customFormat="false" ht="15.75" hidden="false" customHeight="true" outlineLevel="0" collapsed="false">
      <c r="A143" s="15"/>
      <c r="B143" s="15"/>
      <c r="C143" s="15"/>
      <c r="D143" s="15"/>
      <c r="E143" s="15"/>
      <c r="F143" s="15"/>
      <c r="G143" s="15"/>
      <c r="H143" s="41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customFormat="false" ht="15.75" hidden="false" customHeight="true" outlineLevel="0" collapsed="false">
      <c r="A144" s="15"/>
      <c r="B144" s="15"/>
      <c r="C144" s="15"/>
      <c r="D144" s="15"/>
      <c r="E144" s="15"/>
      <c r="F144" s="15"/>
      <c r="G144" s="15"/>
      <c r="H144" s="41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customFormat="false" ht="15.75" hidden="false" customHeight="true" outlineLevel="0" collapsed="false">
      <c r="A145" s="15"/>
      <c r="B145" s="15"/>
      <c r="C145" s="15"/>
      <c r="D145" s="15"/>
      <c r="E145" s="15"/>
      <c r="F145" s="15"/>
      <c r="G145" s="15"/>
      <c r="H145" s="41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customFormat="false" ht="15.75" hidden="false" customHeight="true" outlineLevel="0" collapsed="false">
      <c r="A146" s="15"/>
      <c r="B146" s="15"/>
      <c r="C146" s="15"/>
      <c r="D146" s="15"/>
      <c r="E146" s="15"/>
      <c r="F146" s="15"/>
      <c r="G146" s="15"/>
      <c r="H146" s="41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customFormat="false" ht="15.75" hidden="false" customHeight="true" outlineLevel="0" collapsed="false">
      <c r="A147" s="15"/>
      <c r="B147" s="15"/>
      <c r="C147" s="15"/>
      <c r="D147" s="15"/>
      <c r="E147" s="15"/>
      <c r="F147" s="15"/>
      <c r="G147" s="15"/>
      <c r="H147" s="41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customFormat="false" ht="15.75" hidden="false" customHeight="true" outlineLevel="0" collapsed="false">
      <c r="A148" s="15"/>
      <c r="B148" s="15"/>
      <c r="C148" s="15"/>
      <c r="D148" s="15"/>
      <c r="E148" s="15"/>
      <c r="F148" s="15"/>
      <c r="G148" s="15"/>
      <c r="H148" s="41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customFormat="false" ht="15.75" hidden="false" customHeight="true" outlineLevel="0" collapsed="false">
      <c r="A149" s="15"/>
      <c r="B149" s="15"/>
      <c r="C149" s="15"/>
      <c r="D149" s="15"/>
      <c r="E149" s="15"/>
      <c r="F149" s="15"/>
      <c r="G149" s="15"/>
      <c r="H149" s="41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customFormat="false" ht="15.75" hidden="false" customHeight="true" outlineLevel="0" collapsed="false">
      <c r="A150" s="15"/>
      <c r="B150" s="15"/>
      <c r="C150" s="15"/>
      <c r="D150" s="15"/>
      <c r="E150" s="15"/>
      <c r="F150" s="15"/>
      <c r="G150" s="15"/>
      <c r="H150" s="41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customFormat="false" ht="15.75" hidden="false" customHeight="true" outlineLevel="0" collapsed="false">
      <c r="A151" s="15"/>
      <c r="B151" s="15"/>
      <c r="C151" s="15"/>
      <c r="D151" s="15"/>
      <c r="E151" s="15"/>
      <c r="F151" s="15"/>
      <c r="G151" s="15"/>
      <c r="H151" s="41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customFormat="false" ht="15.75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41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customFormat="false" ht="15.75" hidden="false" customHeight="true" outlineLevel="0" collapsed="false">
      <c r="A153" s="15"/>
      <c r="B153" s="15"/>
      <c r="C153" s="15"/>
      <c r="D153" s="15"/>
      <c r="E153" s="15"/>
      <c r="F153" s="15"/>
      <c r="G153" s="15"/>
      <c r="H153" s="41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customFormat="false" ht="15.75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41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customFormat="false" ht="15.75" hidden="false" customHeight="true" outlineLevel="0" collapsed="false">
      <c r="A155" s="15"/>
      <c r="B155" s="15"/>
      <c r="C155" s="15"/>
      <c r="D155" s="15"/>
      <c r="E155" s="15"/>
      <c r="F155" s="15"/>
      <c r="G155" s="15"/>
      <c r="H155" s="41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customFormat="false" ht="15.75" hidden="false" customHeight="true" outlineLevel="0" collapsed="false">
      <c r="A156" s="15"/>
      <c r="B156" s="15"/>
      <c r="C156" s="15"/>
      <c r="D156" s="15"/>
      <c r="E156" s="15"/>
      <c r="F156" s="15"/>
      <c r="G156" s="15"/>
      <c r="H156" s="41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customFormat="false" ht="15.75" hidden="false" customHeight="true" outlineLevel="0" collapsed="false">
      <c r="A157" s="15"/>
      <c r="B157" s="15"/>
      <c r="C157" s="15"/>
      <c r="D157" s="15"/>
      <c r="E157" s="15"/>
      <c r="F157" s="15"/>
      <c r="G157" s="15"/>
      <c r="H157" s="41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customFormat="false" ht="15.75" hidden="false" customHeight="true" outlineLevel="0" collapsed="false">
      <c r="A158" s="15"/>
      <c r="B158" s="15"/>
      <c r="C158" s="15"/>
      <c r="D158" s="15"/>
      <c r="E158" s="15"/>
      <c r="F158" s="15"/>
      <c r="G158" s="15"/>
      <c r="H158" s="41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customFormat="false" ht="15.75" hidden="false" customHeight="true" outlineLevel="0" collapsed="false">
      <c r="A159" s="15"/>
      <c r="B159" s="15"/>
      <c r="C159" s="15"/>
      <c r="D159" s="15"/>
      <c r="E159" s="15"/>
      <c r="F159" s="15"/>
      <c r="G159" s="15"/>
      <c r="H159" s="41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customFormat="false" ht="15.75" hidden="false" customHeight="true" outlineLevel="0" collapsed="false">
      <c r="A160" s="15"/>
      <c r="B160" s="15"/>
      <c r="C160" s="15"/>
      <c r="D160" s="15"/>
      <c r="E160" s="15"/>
      <c r="F160" s="15"/>
      <c r="G160" s="15"/>
      <c r="H160" s="41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customFormat="false" ht="15.75" hidden="false" customHeight="true" outlineLevel="0" collapsed="false">
      <c r="A161" s="15"/>
      <c r="B161" s="15"/>
      <c r="C161" s="15"/>
      <c r="D161" s="15"/>
      <c r="E161" s="15"/>
      <c r="F161" s="15"/>
      <c r="G161" s="15"/>
      <c r="H161" s="41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customFormat="false" ht="15.75" hidden="false" customHeight="true" outlineLevel="0" collapsed="false">
      <c r="A162" s="15"/>
      <c r="B162" s="15"/>
      <c r="C162" s="15"/>
      <c r="D162" s="15"/>
      <c r="E162" s="15"/>
      <c r="F162" s="15"/>
      <c r="G162" s="15"/>
      <c r="H162" s="41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customFormat="false" ht="15.75" hidden="false" customHeight="true" outlineLevel="0" collapsed="false">
      <c r="A163" s="15"/>
      <c r="B163" s="15"/>
      <c r="C163" s="15"/>
      <c r="D163" s="15"/>
      <c r="E163" s="15"/>
      <c r="F163" s="15"/>
      <c r="G163" s="15"/>
      <c r="H163" s="41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customFormat="false" ht="15.75" hidden="false" customHeight="true" outlineLevel="0" collapsed="false">
      <c r="A164" s="15"/>
      <c r="B164" s="15"/>
      <c r="C164" s="15"/>
      <c r="D164" s="15"/>
      <c r="E164" s="15"/>
      <c r="F164" s="15"/>
      <c r="G164" s="15"/>
      <c r="H164" s="41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customFormat="false" ht="15.75" hidden="false" customHeight="true" outlineLevel="0" collapsed="false">
      <c r="A165" s="15"/>
      <c r="B165" s="15"/>
      <c r="C165" s="15"/>
      <c r="D165" s="15"/>
      <c r="E165" s="15"/>
      <c r="F165" s="15"/>
      <c r="G165" s="15"/>
      <c r="H165" s="41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customFormat="false" ht="15.7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41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customFormat="false" ht="15.75" hidden="false" customHeight="true" outlineLevel="0" collapsed="false">
      <c r="A167" s="15"/>
      <c r="B167" s="15"/>
      <c r="C167" s="15"/>
      <c r="D167" s="15"/>
      <c r="E167" s="15"/>
      <c r="F167" s="15"/>
      <c r="G167" s="15"/>
      <c r="H167" s="41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customFormat="false" ht="15.75" hidden="false" customHeight="true" outlineLevel="0" collapsed="false">
      <c r="A168" s="15"/>
      <c r="B168" s="15"/>
      <c r="C168" s="15"/>
      <c r="D168" s="15"/>
      <c r="E168" s="15"/>
      <c r="F168" s="15"/>
      <c r="G168" s="15"/>
      <c r="H168" s="41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customFormat="false" ht="15.75" hidden="false" customHeight="true" outlineLevel="0" collapsed="false">
      <c r="A169" s="15"/>
      <c r="B169" s="15"/>
      <c r="C169" s="15"/>
      <c r="D169" s="15"/>
      <c r="E169" s="15"/>
      <c r="F169" s="15"/>
      <c r="G169" s="15"/>
      <c r="H169" s="41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customFormat="false" ht="15.75" hidden="false" customHeight="true" outlineLevel="0" collapsed="false">
      <c r="A170" s="15"/>
      <c r="B170" s="15"/>
      <c r="C170" s="15"/>
      <c r="D170" s="15"/>
      <c r="E170" s="15"/>
      <c r="F170" s="15"/>
      <c r="G170" s="15"/>
      <c r="H170" s="41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customFormat="false" ht="15.75" hidden="false" customHeight="true" outlineLevel="0" collapsed="false">
      <c r="A171" s="15"/>
      <c r="B171" s="15"/>
      <c r="C171" s="15"/>
      <c r="D171" s="15"/>
      <c r="E171" s="15"/>
      <c r="F171" s="15"/>
      <c r="G171" s="15"/>
      <c r="H171" s="41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customFormat="false" ht="15.75" hidden="false" customHeight="true" outlineLevel="0" collapsed="false">
      <c r="A172" s="15"/>
      <c r="B172" s="15"/>
      <c r="C172" s="15"/>
      <c r="D172" s="15"/>
      <c r="E172" s="15"/>
      <c r="F172" s="15"/>
      <c r="G172" s="15"/>
      <c r="H172" s="41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customFormat="false" ht="15.75" hidden="false" customHeight="true" outlineLevel="0" collapsed="false">
      <c r="A173" s="15"/>
      <c r="B173" s="15"/>
      <c r="C173" s="15"/>
      <c r="D173" s="15"/>
      <c r="E173" s="15"/>
      <c r="F173" s="15"/>
      <c r="G173" s="15"/>
      <c r="H173" s="41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customFormat="false" ht="15.75" hidden="false" customHeight="true" outlineLevel="0" collapsed="false">
      <c r="A174" s="15"/>
      <c r="B174" s="15"/>
      <c r="C174" s="15"/>
      <c r="D174" s="15"/>
      <c r="E174" s="15"/>
      <c r="F174" s="15"/>
      <c r="G174" s="15"/>
      <c r="H174" s="41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customFormat="false" ht="15.75" hidden="false" customHeight="true" outlineLevel="0" collapsed="false">
      <c r="A175" s="15"/>
      <c r="B175" s="15"/>
      <c r="C175" s="15"/>
      <c r="D175" s="15"/>
      <c r="E175" s="15"/>
      <c r="F175" s="15"/>
      <c r="G175" s="15"/>
      <c r="H175" s="41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customFormat="false" ht="15.75" hidden="false" customHeight="true" outlineLevel="0" collapsed="false">
      <c r="A176" s="15"/>
      <c r="B176" s="15"/>
      <c r="C176" s="15"/>
      <c r="D176" s="15"/>
      <c r="E176" s="15"/>
      <c r="F176" s="15"/>
      <c r="G176" s="15"/>
      <c r="H176" s="41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customFormat="false" ht="15.75" hidden="false" customHeight="true" outlineLevel="0" collapsed="false">
      <c r="A177" s="15"/>
      <c r="B177" s="15"/>
      <c r="C177" s="15"/>
      <c r="D177" s="15"/>
      <c r="E177" s="15"/>
      <c r="F177" s="15"/>
      <c r="G177" s="15"/>
      <c r="H177" s="41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customFormat="false" ht="15.75" hidden="false" customHeight="true" outlineLevel="0" collapsed="false">
      <c r="A178" s="15"/>
      <c r="B178" s="15"/>
      <c r="C178" s="15"/>
      <c r="D178" s="15"/>
      <c r="E178" s="15"/>
      <c r="F178" s="15"/>
      <c r="G178" s="15"/>
      <c r="H178" s="41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customFormat="false" ht="15.75" hidden="false" customHeight="true" outlineLevel="0" collapsed="false">
      <c r="A179" s="15"/>
      <c r="B179" s="15"/>
      <c r="C179" s="15"/>
      <c r="D179" s="15"/>
      <c r="E179" s="15"/>
      <c r="F179" s="15"/>
      <c r="G179" s="15"/>
      <c r="H179" s="41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customFormat="false" ht="15.75" hidden="false" customHeight="true" outlineLevel="0" collapsed="false">
      <c r="A180" s="15"/>
      <c r="B180" s="15"/>
      <c r="C180" s="15"/>
      <c r="D180" s="15"/>
      <c r="E180" s="15"/>
      <c r="F180" s="15"/>
      <c r="G180" s="15"/>
      <c r="H180" s="41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customFormat="false" ht="15.75" hidden="false" customHeight="true" outlineLevel="0" collapsed="false">
      <c r="A181" s="15"/>
      <c r="B181" s="15"/>
      <c r="C181" s="15"/>
      <c r="D181" s="15"/>
      <c r="E181" s="15"/>
      <c r="F181" s="15"/>
      <c r="G181" s="15"/>
      <c r="H181" s="41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customFormat="false" ht="15.75" hidden="false" customHeight="true" outlineLevel="0" collapsed="false">
      <c r="A182" s="15"/>
      <c r="B182" s="15"/>
      <c r="C182" s="15"/>
      <c r="D182" s="15"/>
      <c r="E182" s="15"/>
      <c r="F182" s="15"/>
      <c r="G182" s="15"/>
      <c r="H182" s="41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customFormat="false" ht="15.75" hidden="false" customHeight="true" outlineLevel="0" collapsed="false">
      <c r="A183" s="15"/>
      <c r="B183" s="15"/>
      <c r="C183" s="15"/>
      <c r="D183" s="15"/>
      <c r="E183" s="15"/>
      <c r="F183" s="15"/>
      <c r="G183" s="15"/>
      <c r="H183" s="41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customFormat="false" ht="15.75" hidden="false" customHeight="true" outlineLevel="0" collapsed="false">
      <c r="A184" s="15"/>
      <c r="B184" s="15"/>
      <c r="C184" s="15"/>
      <c r="D184" s="15"/>
      <c r="E184" s="15"/>
      <c r="F184" s="15"/>
      <c r="G184" s="15"/>
      <c r="H184" s="41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customFormat="false" ht="15.75" hidden="false" customHeight="true" outlineLevel="0" collapsed="false">
      <c r="A185" s="15"/>
      <c r="B185" s="15"/>
      <c r="C185" s="15"/>
      <c r="D185" s="15"/>
      <c r="E185" s="15"/>
      <c r="F185" s="15"/>
      <c r="G185" s="15"/>
      <c r="H185" s="41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customFormat="false" ht="15.75" hidden="false" customHeight="true" outlineLevel="0" collapsed="false">
      <c r="A186" s="15"/>
      <c r="B186" s="15"/>
      <c r="C186" s="15"/>
      <c r="D186" s="15"/>
      <c r="E186" s="15"/>
      <c r="F186" s="15"/>
      <c r="G186" s="15"/>
      <c r="H186" s="41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customFormat="false" ht="15.75" hidden="false" customHeight="true" outlineLevel="0" collapsed="false">
      <c r="A187" s="15"/>
      <c r="B187" s="15"/>
      <c r="C187" s="15"/>
      <c r="D187" s="15"/>
      <c r="E187" s="15"/>
      <c r="F187" s="15"/>
      <c r="G187" s="15"/>
      <c r="H187" s="41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customFormat="false" ht="15.75" hidden="false" customHeight="true" outlineLevel="0" collapsed="false">
      <c r="A188" s="15"/>
      <c r="B188" s="15"/>
      <c r="C188" s="15"/>
      <c r="D188" s="15"/>
      <c r="E188" s="15"/>
      <c r="F188" s="15"/>
      <c r="G188" s="15"/>
      <c r="H188" s="41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customFormat="false" ht="15.75" hidden="false" customHeight="true" outlineLevel="0" collapsed="false">
      <c r="A189" s="15"/>
      <c r="B189" s="15"/>
      <c r="C189" s="15"/>
      <c r="D189" s="15"/>
      <c r="E189" s="15"/>
      <c r="F189" s="15"/>
      <c r="G189" s="15"/>
      <c r="H189" s="41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customFormat="false" ht="15.75" hidden="false" customHeight="true" outlineLevel="0" collapsed="false">
      <c r="A190" s="15"/>
      <c r="B190" s="15"/>
      <c r="C190" s="15"/>
      <c r="D190" s="15"/>
      <c r="E190" s="15"/>
      <c r="F190" s="15"/>
      <c r="G190" s="15"/>
      <c r="H190" s="41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customFormat="false" ht="15.75" hidden="false" customHeight="true" outlineLevel="0" collapsed="false">
      <c r="A191" s="15"/>
      <c r="B191" s="15"/>
      <c r="C191" s="15"/>
      <c r="D191" s="15"/>
      <c r="E191" s="15"/>
      <c r="F191" s="15"/>
      <c r="G191" s="15"/>
      <c r="H191" s="41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customFormat="false" ht="15.75" hidden="false" customHeight="true" outlineLevel="0" collapsed="false">
      <c r="A192" s="15"/>
      <c r="B192" s="15"/>
      <c r="C192" s="15"/>
      <c r="D192" s="15"/>
      <c r="E192" s="15"/>
      <c r="F192" s="15"/>
      <c r="G192" s="15"/>
      <c r="H192" s="41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customFormat="false" ht="15.75" hidden="false" customHeight="true" outlineLevel="0" collapsed="false">
      <c r="A193" s="15"/>
      <c r="B193" s="15"/>
      <c r="C193" s="15"/>
      <c r="D193" s="15"/>
      <c r="E193" s="15"/>
      <c r="F193" s="15"/>
      <c r="G193" s="15"/>
      <c r="H193" s="41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customFormat="false" ht="15.75" hidden="false" customHeight="true" outlineLevel="0" collapsed="false">
      <c r="A194" s="15"/>
      <c r="B194" s="15"/>
      <c r="C194" s="15"/>
      <c r="D194" s="15"/>
      <c r="E194" s="15"/>
      <c r="F194" s="15"/>
      <c r="G194" s="15"/>
      <c r="H194" s="41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customFormat="false" ht="15.75" hidden="false" customHeight="true" outlineLevel="0" collapsed="false">
      <c r="A195" s="15"/>
      <c r="B195" s="15"/>
      <c r="C195" s="15"/>
      <c r="D195" s="15"/>
      <c r="E195" s="15"/>
      <c r="F195" s="15"/>
      <c r="G195" s="15"/>
      <c r="H195" s="41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customFormat="false" ht="15.75" hidden="false" customHeight="true" outlineLevel="0" collapsed="false">
      <c r="A196" s="15"/>
      <c r="B196" s="15"/>
      <c r="C196" s="15"/>
      <c r="D196" s="15"/>
      <c r="E196" s="15"/>
      <c r="F196" s="15"/>
      <c r="G196" s="15"/>
      <c r="H196" s="41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customFormat="false" ht="15.75" hidden="false" customHeight="true" outlineLevel="0" collapsed="false">
      <c r="A197" s="15"/>
      <c r="B197" s="15"/>
      <c r="C197" s="15"/>
      <c r="D197" s="15"/>
      <c r="E197" s="15"/>
      <c r="F197" s="15"/>
      <c r="G197" s="15"/>
      <c r="H197" s="41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customFormat="false" ht="15.75" hidden="false" customHeight="true" outlineLevel="0" collapsed="false">
      <c r="A198" s="15"/>
      <c r="B198" s="15"/>
      <c r="C198" s="15"/>
      <c r="D198" s="15"/>
      <c r="E198" s="15"/>
      <c r="F198" s="15"/>
      <c r="G198" s="15"/>
      <c r="H198" s="41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customFormat="false" ht="15.75" hidden="false" customHeight="true" outlineLevel="0" collapsed="false">
      <c r="A199" s="15"/>
      <c r="B199" s="15"/>
      <c r="C199" s="15"/>
      <c r="D199" s="15"/>
      <c r="E199" s="15"/>
      <c r="F199" s="15"/>
      <c r="G199" s="15"/>
      <c r="H199" s="41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customFormat="false" ht="15.75" hidden="false" customHeight="true" outlineLevel="0" collapsed="false">
      <c r="A200" s="15"/>
      <c r="B200" s="15"/>
      <c r="C200" s="15"/>
      <c r="D200" s="15"/>
      <c r="E200" s="15"/>
      <c r="F200" s="15"/>
      <c r="G200" s="15"/>
      <c r="H200" s="41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customFormat="false" ht="15.75" hidden="false" customHeight="true" outlineLevel="0" collapsed="false">
      <c r="A201" s="15"/>
      <c r="B201" s="15"/>
      <c r="C201" s="15"/>
      <c r="D201" s="15"/>
      <c r="E201" s="15"/>
      <c r="F201" s="15"/>
      <c r="G201" s="15"/>
      <c r="H201" s="41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customFormat="false" ht="15.75" hidden="false" customHeight="true" outlineLevel="0" collapsed="false">
      <c r="A202" s="15"/>
      <c r="B202" s="15"/>
      <c r="C202" s="15"/>
      <c r="D202" s="15"/>
      <c r="E202" s="15"/>
      <c r="F202" s="15"/>
      <c r="G202" s="15"/>
      <c r="H202" s="41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customFormat="false" ht="15.75" hidden="false" customHeight="true" outlineLevel="0" collapsed="false">
      <c r="A203" s="15"/>
      <c r="B203" s="15"/>
      <c r="C203" s="15"/>
      <c r="D203" s="15"/>
      <c r="E203" s="15"/>
      <c r="F203" s="15"/>
      <c r="G203" s="15"/>
      <c r="H203" s="41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customFormat="false" ht="15.75" hidden="false" customHeight="true" outlineLevel="0" collapsed="false">
      <c r="A204" s="15"/>
      <c r="B204" s="15"/>
      <c r="C204" s="15"/>
      <c r="D204" s="15"/>
      <c r="E204" s="15"/>
      <c r="F204" s="15"/>
      <c r="G204" s="15"/>
      <c r="H204" s="41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customFormat="false" ht="15.75" hidden="false" customHeight="true" outlineLevel="0" collapsed="false">
      <c r="A205" s="15"/>
      <c r="B205" s="15"/>
      <c r="C205" s="15"/>
      <c r="D205" s="15"/>
      <c r="E205" s="15"/>
      <c r="F205" s="15"/>
      <c r="G205" s="15"/>
      <c r="H205" s="41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customFormat="false" ht="15.75" hidden="false" customHeight="true" outlineLevel="0" collapsed="false">
      <c r="A206" s="15"/>
      <c r="B206" s="15"/>
      <c r="C206" s="15"/>
      <c r="D206" s="15"/>
      <c r="E206" s="15"/>
      <c r="F206" s="15"/>
      <c r="G206" s="15"/>
      <c r="H206" s="41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customFormat="false" ht="15.75" hidden="false" customHeight="true" outlineLevel="0" collapsed="false">
      <c r="A207" s="15"/>
      <c r="B207" s="15"/>
      <c r="C207" s="15"/>
      <c r="D207" s="15"/>
      <c r="E207" s="15"/>
      <c r="F207" s="15"/>
      <c r="G207" s="15"/>
      <c r="H207" s="41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customFormat="false" ht="15.75" hidden="false" customHeight="true" outlineLevel="0" collapsed="false">
      <c r="A208" s="15"/>
      <c r="B208" s="15"/>
      <c r="C208" s="15"/>
      <c r="D208" s="15"/>
      <c r="E208" s="15"/>
      <c r="F208" s="15"/>
      <c r="G208" s="15"/>
      <c r="H208" s="41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customFormat="false" ht="15.75" hidden="false" customHeight="true" outlineLevel="0" collapsed="false">
      <c r="A209" s="15"/>
      <c r="B209" s="15"/>
      <c r="C209" s="15"/>
      <c r="D209" s="15"/>
      <c r="E209" s="15"/>
      <c r="F209" s="15"/>
      <c r="G209" s="15"/>
      <c r="H209" s="41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customFormat="false" ht="15.75" hidden="false" customHeight="true" outlineLevel="0" collapsed="false">
      <c r="A210" s="15"/>
      <c r="B210" s="15"/>
      <c r="C210" s="15"/>
      <c r="D210" s="15"/>
      <c r="E210" s="15"/>
      <c r="F210" s="15"/>
      <c r="G210" s="15"/>
      <c r="H210" s="41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customFormat="false" ht="15.75" hidden="false" customHeight="true" outlineLevel="0" collapsed="false">
      <c r="A211" s="15"/>
      <c r="B211" s="15"/>
      <c r="C211" s="15"/>
      <c r="D211" s="15"/>
      <c r="E211" s="15"/>
      <c r="F211" s="15"/>
      <c r="G211" s="15"/>
      <c r="H211" s="41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customFormat="false" ht="15.75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41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customFormat="false" ht="15.75" hidden="false" customHeight="true" outlineLevel="0" collapsed="false">
      <c r="A213" s="15"/>
      <c r="B213" s="15"/>
      <c r="C213" s="15"/>
      <c r="D213" s="15"/>
      <c r="E213" s="15"/>
      <c r="F213" s="15"/>
      <c r="G213" s="15"/>
      <c r="H213" s="41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customFormat="false" ht="15.7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41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customFormat="false" ht="15.75" hidden="false" customHeight="true" outlineLevel="0" collapsed="false">
      <c r="A215" s="15"/>
      <c r="B215" s="15"/>
      <c r="C215" s="15"/>
      <c r="D215" s="15"/>
      <c r="E215" s="15"/>
      <c r="F215" s="15"/>
      <c r="G215" s="15"/>
      <c r="H215" s="41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customFormat="false" ht="15.7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41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customFormat="false" ht="15.75" hidden="false" customHeight="true" outlineLevel="0" collapsed="false">
      <c r="A217" s="15"/>
      <c r="B217" s="15"/>
      <c r="C217" s="15"/>
      <c r="D217" s="15"/>
      <c r="E217" s="15"/>
      <c r="F217" s="15"/>
      <c r="G217" s="15"/>
      <c r="H217" s="41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customFormat="false" ht="15.7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41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customFormat="false" ht="15.75" hidden="false" customHeight="true" outlineLevel="0" collapsed="false">
      <c r="A219" s="15"/>
      <c r="B219" s="15"/>
      <c r="C219" s="15"/>
      <c r="D219" s="15"/>
      <c r="E219" s="15"/>
      <c r="F219" s="15"/>
      <c r="G219" s="15"/>
      <c r="H219" s="41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customFormat="false" ht="15.7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41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customFormat="false" ht="15.75" hidden="false" customHeight="true" outlineLevel="0" collapsed="false">
      <c r="A221" s="15"/>
      <c r="B221" s="15"/>
      <c r="C221" s="15"/>
      <c r="D221" s="15"/>
      <c r="E221" s="15"/>
      <c r="F221" s="15"/>
      <c r="G221" s="15"/>
      <c r="H221" s="41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customFormat="false" ht="15.75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41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customFormat="false" ht="15.75" hidden="false" customHeight="true" outlineLevel="0" collapsed="false">
      <c r="A223" s="15"/>
      <c r="B223" s="15"/>
      <c r="C223" s="15"/>
      <c r="D223" s="15"/>
      <c r="E223" s="15"/>
      <c r="F223" s="15"/>
      <c r="G223" s="15"/>
      <c r="H223" s="41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customFormat="false" ht="15.75" hidden="false" customHeight="true" outlineLevel="0" collapsed="false">
      <c r="A224" s="15"/>
      <c r="B224" s="15"/>
      <c r="C224" s="15"/>
      <c r="D224" s="15"/>
      <c r="E224" s="15"/>
      <c r="F224" s="15"/>
      <c r="G224" s="15"/>
      <c r="H224" s="41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customFormat="false" ht="15.75" hidden="false" customHeight="true" outlineLevel="0" collapsed="false">
      <c r="A225" s="15"/>
      <c r="B225" s="15"/>
      <c r="C225" s="15"/>
      <c r="D225" s="15"/>
      <c r="E225" s="15"/>
      <c r="F225" s="15"/>
      <c r="G225" s="15"/>
      <c r="H225" s="41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customFormat="false" ht="15.75" hidden="false" customHeight="true" outlineLevel="0" collapsed="false">
      <c r="A226" s="15"/>
      <c r="B226" s="15"/>
      <c r="C226" s="15"/>
      <c r="D226" s="15"/>
      <c r="E226" s="15"/>
      <c r="F226" s="15"/>
      <c r="G226" s="15"/>
      <c r="H226" s="41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customFormat="false" ht="15.75" hidden="false" customHeight="true" outlineLevel="0" collapsed="false">
      <c r="A227" s="15"/>
      <c r="B227" s="15"/>
      <c r="C227" s="15"/>
      <c r="D227" s="15"/>
      <c r="E227" s="15"/>
      <c r="F227" s="15"/>
      <c r="G227" s="15"/>
      <c r="H227" s="41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customFormat="false" ht="15.75" hidden="false" customHeight="true" outlineLevel="0" collapsed="false">
      <c r="A228" s="15"/>
      <c r="B228" s="15"/>
      <c r="C228" s="15"/>
      <c r="D228" s="15"/>
      <c r="E228" s="15"/>
      <c r="F228" s="15"/>
      <c r="G228" s="15"/>
      <c r="H228" s="41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customFormat="false" ht="15.75" hidden="false" customHeight="true" outlineLevel="0" collapsed="false">
      <c r="A229" s="15"/>
      <c r="B229" s="15"/>
      <c r="C229" s="15"/>
      <c r="D229" s="15"/>
      <c r="E229" s="15"/>
      <c r="F229" s="15"/>
      <c r="G229" s="15"/>
      <c r="H229" s="41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customFormat="false" ht="15.75" hidden="false" customHeight="true" outlineLevel="0" collapsed="false">
      <c r="A230" s="15"/>
      <c r="B230" s="15"/>
      <c r="C230" s="15"/>
      <c r="D230" s="15"/>
      <c r="E230" s="15"/>
      <c r="F230" s="15"/>
      <c r="G230" s="15"/>
      <c r="H230" s="41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customFormat="false" ht="15.75" hidden="false" customHeight="true" outlineLevel="0" collapsed="false">
      <c r="A231" s="15"/>
      <c r="B231" s="15"/>
      <c r="C231" s="15"/>
      <c r="D231" s="15"/>
      <c r="E231" s="15"/>
      <c r="F231" s="15"/>
      <c r="G231" s="15"/>
      <c r="H231" s="41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customFormat="false" ht="15.7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41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customFormat="false" ht="15.75" hidden="false" customHeight="true" outlineLevel="0" collapsed="false">
      <c r="A233" s="15"/>
      <c r="B233" s="15"/>
      <c r="C233" s="15"/>
      <c r="D233" s="15"/>
      <c r="E233" s="15"/>
      <c r="F233" s="15"/>
      <c r="G233" s="15"/>
      <c r="H233" s="41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customFormat="false" ht="15.75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41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customFormat="false" ht="15.75" hidden="false" customHeight="true" outlineLevel="0" collapsed="false">
      <c r="A235" s="15"/>
      <c r="B235" s="15"/>
      <c r="C235" s="15"/>
      <c r="D235" s="15"/>
      <c r="E235" s="15"/>
      <c r="F235" s="15"/>
      <c r="G235" s="15"/>
      <c r="H235" s="41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customFormat="false" ht="15.75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41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customFormat="false" ht="15.75" hidden="false" customHeight="true" outlineLevel="0" collapsed="false">
      <c r="A237" s="15"/>
      <c r="B237" s="15"/>
      <c r="C237" s="15"/>
      <c r="D237" s="15"/>
      <c r="E237" s="15"/>
      <c r="F237" s="15"/>
      <c r="G237" s="15"/>
      <c r="H237" s="41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customFormat="false" ht="15.75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41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customFormat="false" ht="15.75" hidden="false" customHeight="true" outlineLevel="0" collapsed="false">
      <c r="A239" s="15"/>
      <c r="B239" s="15"/>
      <c r="C239" s="15"/>
      <c r="D239" s="15"/>
      <c r="E239" s="15"/>
      <c r="F239" s="15"/>
      <c r="G239" s="15"/>
      <c r="H239" s="41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customFormat="false" ht="15.75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41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customFormat="false" ht="15.75" hidden="false" customHeight="true" outlineLevel="0" collapsed="false">
      <c r="A241" s="15"/>
      <c r="B241" s="15"/>
      <c r="C241" s="15"/>
      <c r="D241" s="15"/>
      <c r="E241" s="15"/>
      <c r="F241" s="15"/>
      <c r="G241" s="15"/>
      <c r="H241" s="41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customFormat="false" ht="15.75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41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customFormat="false" ht="15.75" hidden="false" customHeight="true" outlineLevel="0" collapsed="false">
      <c r="A243" s="15"/>
      <c r="B243" s="15"/>
      <c r="C243" s="15"/>
      <c r="D243" s="15"/>
      <c r="E243" s="15"/>
      <c r="F243" s="15"/>
      <c r="G243" s="15"/>
      <c r="H243" s="41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customFormat="false" ht="15.75" hidden="false" customHeight="true" outlineLevel="0" collapsed="false">
      <c r="A244" s="15"/>
      <c r="B244" s="15"/>
      <c r="C244" s="15"/>
      <c r="D244" s="15"/>
      <c r="E244" s="15"/>
      <c r="F244" s="15"/>
      <c r="G244" s="15"/>
      <c r="H244" s="41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customFormat="false" ht="15.75" hidden="false" customHeight="true" outlineLevel="0" collapsed="false">
      <c r="A245" s="15"/>
      <c r="B245" s="15"/>
      <c r="C245" s="15"/>
      <c r="D245" s="15"/>
      <c r="E245" s="15"/>
      <c r="F245" s="15"/>
      <c r="G245" s="15"/>
      <c r="H245" s="41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customFormat="false" ht="15.75" hidden="false" customHeight="true" outlineLevel="0" collapsed="false">
      <c r="A246" s="15"/>
      <c r="B246" s="15"/>
      <c r="C246" s="15"/>
      <c r="D246" s="15"/>
      <c r="E246" s="15"/>
      <c r="F246" s="15"/>
      <c r="G246" s="15"/>
      <c r="H246" s="41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customFormat="false" ht="15.75" hidden="false" customHeight="true" outlineLevel="0" collapsed="false">
      <c r="A247" s="15"/>
      <c r="B247" s="15"/>
      <c r="C247" s="15"/>
      <c r="D247" s="15"/>
      <c r="E247" s="15"/>
      <c r="F247" s="15"/>
      <c r="G247" s="15"/>
      <c r="H247" s="41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customFormat="false" ht="15.75" hidden="false" customHeight="true" outlineLevel="0" collapsed="false">
      <c r="A248" s="15"/>
      <c r="B248" s="15"/>
      <c r="C248" s="15"/>
      <c r="D248" s="15"/>
      <c r="E248" s="15"/>
      <c r="F248" s="15"/>
      <c r="G248" s="15"/>
      <c r="H248" s="41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customFormat="false" ht="15.75" hidden="false" customHeight="true" outlineLevel="0" collapsed="false">
      <c r="A249" s="15"/>
      <c r="B249" s="15"/>
      <c r="C249" s="15"/>
      <c r="D249" s="15"/>
      <c r="E249" s="15"/>
      <c r="F249" s="15"/>
      <c r="G249" s="15"/>
      <c r="H249" s="41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customFormat="false" ht="15.75" hidden="false" customHeight="true" outlineLevel="0" collapsed="false">
      <c r="A250" s="15"/>
      <c r="B250" s="15"/>
      <c r="C250" s="15"/>
      <c r="D250" s="15"/>
      <c r="E250" s="15"/>
      <c r="F250" s="15"/>
      <c r="G250" s="15"/>
      <c r="H250" s="41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customFormat="false" ht="15.75" hidden="false" customHeight="true" outlineLevel="0" collapsed="false">
      <c r="A251" s="15"/>
      <c r="B251" s="15"/>
      <c r="C251" s="15"/>
      <c r="D251" s="15"/>
      <c r="E251" s="15"/>
      <c r="F251" s="15"/>
      <c r="G251" s="15"/>
      <c r="H251" s="41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customFormat="false" ht="15.75" hidden="false" customHeight="true" outlineLevel="0" collapsed="false">
      <c r="A252" s="15"/>
      <c r="B252" s="15"/>
      <c r="C252" s="15"/>
      <c r="D252" s="15"/>
      <c r="E252" s="15"/>
      <c r="F252" s="15"/>
      <c r="G252" s="15"/>
      <c r="H252" s="41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customFormat="false" ht="15.75" hidden="false" customHeight="true" outlineLevel="0" collapsed="false">
      <c r="A253" s="15"/>
      <c r="B253" s="15"/>
      <c r="C253" s="15"/>
      <c r="D253" s="15"/>
      <c r="E253" s="15"/>
      <c r="F253" s="15"/>
      <c r="G253" s="15"/>
      <c r="H253" s="41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customFormat="false" ht="15.75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41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customFormat="false" ht="15.75" hidden="false" customHeight="true" outlineLevel="0" collapsed="false">
      <c r="A255" s="15"/>
      <c r="B255" s="15"/>
      <c r="C255" s="15"/>
      <c r="D255" s="15"/>
      <c r="E255" s="15"/>
      <c r="F255" s="15"/>
      <c r="G255" s="15"/>
      <c r="H255" s="41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customFormat="false" ht="15.75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41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customFormat="false" ht="15.75" hidden="false" customHeight="true" outlineLevel="0" collapsed="false">
      <c r="A257" s="15"/>
      <c r="B257" s="15"/>
      <c r="C257" s="15"/>
      <c r="D257" s="15"/>
      <c r="E257" s="15"/>
      <c r="F257" s="15"/>
      <c r="G257" s="15"/>
      <c r="H257" s="41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customFormat="false" ht="15.75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41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customFormat="false" ht="15.75" hidden="false" customHeight="true" outlineLevel="0" collapsed="false">
      <c r="A259" s="15"/>
      <c r="B259" s="15"/>
      <c r="C259" s="15"/>
      <c r="D259" s="15"/>
      <c r="E259" s="15"/>
      <c r="F259" s="15"/>
      <c r="G259" s="15"/>
      <c r="H259" s="41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customFormat="false" ht="15.7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41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41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41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customFormat="false" ht="15.75" hidden="false" customHeight="true" outlineLevel="0" collapsed="false">
      <c r="A263" s="15"/>
      <c r="B263" s="15"/>
      <c r="C263" s="15"/>
      <c r="D263" s="15"/>
      <c r="E263" s="15"/>
      <c r="F263" s="15"/>
      <c r="G263" s="15"/>
      <c r="H263" s="41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customFormat="false" ht="15.7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41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customFormat="false" ht="15.75" hidden="false" customHeight="true" outlineLevel="0" collapsed="false">
      <c r="A265" s="15"/>
      <c r="B265" s="15"/>
      <c r="C265" s="15"/>
      <c r="D265" s="15"/>
      <c r="E265" s="15"/>
      <c r="F265" s="15"/>
      <c r="G265" s="15"/>
      <c r="H265" s="41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customFormat="false" ht="15.7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41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customFormat="false" ht="15.75" hidden="false" customHeight="true" outlineLevel="0" collapsed="false">
      <c r="A267" s="15"/>
      <c r="B267" s="15"/>
      <c r="C267" s="15"/>
      <c r="D267" s="15"/>
      <c r="E267" s="15"/>
      <c r="F267" s="15"/>
      <c r="G267" s="15"/>
      <c r="H267" s="41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customFormat="false" ht="15.7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41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customFormat="false" ht="15.75" hidden="false" customHeight="true" outlineLevel="0" collapsed="false">
      <c r="A269" s="15"/>
      <c r="B269" s="15"/>
      <c r="C269" s="15"/>
      <c r="D269" s="15"/>
      <c r="E269" s="15"/>
      <c r="F269" s="15"/>
      <c r="G269" s="15"/>
      <c r="H269" s="41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customFormat="false" ht="15.7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41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customFormat="false" ht="15.75" hidden="false" customHeight="true" outlineLevel="0" collapsed="false">
      <c r="A271" s="15"/>
      <c r="B271" s="15"/>
      <c r="C271" s="15"/>
      <c r="D271" s="15"/>
      <c r="E271" s="15"/>
      <c r="F271" s="15"/>
      <c r="G271" s="15"/>
      <c r="H271" s="41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customFormat="false" ht="15.7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41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customFormat="false" ht="15.75" hidden="false" customHeight="true" outlineLevel="0" collapsed="false">
      <c r="A273" s="15"/>
      <c r="B273" s="15"/>
      <c r="C273" s="15"/>
      <c r="D273" s="15"/>
      <c r="E273" s="15"/>
      <c r="F273" s="15"/>
      <c r="G273" s="15"/>
      <c r="H273" s="41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customFormat="false" ht="15.7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41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customFormat="false" ht="15.75" hidden="false" customHeight="true" outlineLevel="0" collapsed="false">
      <c r="A275" s="15"/>
      <c r="B275" s="15"/>
      <c r="C275" s="15"/>
      <c r="D275" s="15"/>
      <c r="E275" s="15"/>
      <c r="F275" s="15"/>
      <c r="G275" s="15"/>
      <c r="H275" s="41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customFormat="false" ht="15.7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41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customFormat="false" ht="15.75" hidden="false" customHeight="true" outlineLevel="0" collapsed="false">
      <c r="A277" s="15"/>
      <c r="B277" s="15"/>
      <c r="C277" s="15"/>
      <c r="D277" s="15"/>
      <c r="E277" s="15"/>
      <c r="F277" s="15"/>
      <c r="G277" s="15"/>
      <c r="H277" s="41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customFormat="false" ht="15.7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41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customFormat="false" ht="15.75" hidden="false" customHeight="true" outlineLevel="0" collapsed="false">
      <c r="A279" s="15"/>
      <c r="B279" s="15"/>
      <c r="C279" s="15"/>
      <c r="D279" s="15"/>
      <c r="E279" s="15"/>
      <c r="F279" s="15"/>
      <c r="G279" s="15"/>
      <c r="H279" s="41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customFormat="false" ht="15.7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41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customFormat="false" ht="15.75" hidden="false" customHeight="true" outlineLevel="0" collapsed="false">
      <c r="A281" s="15"/>
      <c r="B281" s="15"/>
      <c r="C281" s="15"/>
      <c r="D281" s="15"/>
      <c r="E281" s="15"/>
      <c r="F281" s="15"/>
      <c r="G281" s="15"/>
      <c r="H281" s="41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customFormat="false" ht="15.7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41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customFormat="false" ht="15.75" hidden="false" customHeight="true" outlineLevel="0" collapsed="false">
      <c r="A283" s="15"/>
      <c r="B283" s="15"/>
      <c r="C283" s="15"/>
      <c r="D283" s="15"/>
      <c r="E283" s="15"/>
      <c r="F283" s="15"/>
      <c r="G283" s="15"/>
      <c r="H283" s="41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customFormat="false" ht="15.7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41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customFormat="false" ht="15.75" hidden="false" customHeight="true" outlineLevel="0" collapsed="false">
      <c r="A285" s="15"/>
      <c r="B285" s="15"/>
      <c r="C285" s="15"/>
      <c r="D285" s="15"/>
      <c r="E285" s="15"/>
      <c r="F285" s="15"/>
      <c r="G285" s="15"/>
      <c r="H285" s="41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customFormat="false" ht="15.7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41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customFormat="false" ht="15.75" hidden="false" customHeight="true" outlineLevel="0" collapsed="false">
      <c r="A287" s="15"/>
      <c r="B287" s="15"/>
      <c r="C287" s="15"/>
      <c r="D287" s="15"/>
      <c r="E287" s="15"/>
      <c r="F287" s="15"/>
      <c r="G287" s="15"/>
      <c r="H287" s="41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customFormat="false" ht="15.7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41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customFormat="false" ht="15.75" hidden="false" customHeight="true" outlineLevel="0" collapsed="false">
      <c r="A289" s="15"/>
      <c r="B289" s="15"/>
      <c r="C289" s="15"/>
      <c r="D289" s="15"/>
      <c r="E289" s="15"/>
      <c r="F289" s="15"/>
      <c r="G289" s="15"/>
      <c r="H289" s="41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customFormat="false" ht="15.7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41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customFormat="false" ht="15.75" hidden="false" customHeight="true" outlineLevel="0" collapsed="false">
      <c r="A291" s="15"/>
      <c r="B291" s="15"/>
      <c r="C291" s="15"/>
      <c r="D291" s="15"/>
      <c r="E291" s="15"/>
      <c r="F291" s="15"/>
      <c r="G291" s="15"/>
      <c r="H291" s="41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customFormat="false" ht="15.7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41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customFormat="false" ht="15.75" hidden="false" customHeight="true" outlineLevel="0" collapsed="false">
      <c r="A293" s="15"/>
      <c r="B293" s="15"/>
      <c r="C293" s="15"/>
      <c r="D293" s="15"/>
      <c r="E293" s="15"/>
      <c r="F293" s="15"/>
      <c r="G293" s="15"/>
      <c r="H293" s="41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customFormat="false" ht="15.7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41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customFormat="false" ht="15.75" hidden="false" customHeight="true" outlineLevel="0" collapsed="false">
      <c r="A295" s="15"/>
      <c r="B295" s="15"/>
      <c r="C295" s="15"/>
      <c r="D295" s="15"/>
      <c r="E295" s="15"/>
      <c r="F295" s="15"/>
      <c r="G295" s="15"/>
      <c r="H295" s="41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customFormat="false" ht="15.7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41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customFormat="false" ht="15.75" hidden="false" customHeight="true" outlineLevel="0" collapsed="false">
      <c r="A297" s="15"/>
      <c r="B297" s="15"/>
      <c r="C297" s="15"/>
      <c r="D297" s="15"/>
      <c r="E297" s="15"/>
      <c r="F297" s="15"/>
      <c r="G297" s="15"/>
      <c r="H297" s="41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customFormat="false" ht="15.7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41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customFormat="false" ht="15.75" hidden="false" customHeight="true" outlineLevel="0" collapsed="false">
      <c r="A299" s="15"/>
      <c r="B299" s="15"/>
      <c r="C299" s="15"/>
      <c r="D299" s="15"/>
      <c r="E299" s="15"/>
      <c r="F299" s="15"/>
      <c r="G299" s="15"/>
      <c r="H299" s="41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customFormat="false" ht="15.7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41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customFormat="false" ht="15.75" hidden="false" customHeight="true" outlineLevel="0" collapsed="false">
      <c r="A301" s="15"/>
      <c r="B301" s="15"/>
      <c r="C301" s="15"/>
      <c r="D301" s="15"/>
      <c r="E301" s="15"/>
      <c r="F301" s="15"/>
      <c r="G301" s="15"/>
      <c r="H301" s="41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customFormat="false" ht="15.7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41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customFormat="false" ht="15.75" hidden="false" customHeight="true" outlineLevel="0" collapsed="false">
      <c r="A303" s="15"/>
      <c r="B303" s="15"/>
      <c r="C303" s="15"/>
      <c r="D303" s="15"/>
      <c r="E303" s="15"/>
      <c r="F303" s="15"/>
      <c r="G303" s="15"/>
      <c r="H303" s="41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customFormat="false" ht="15.7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41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customFormat="false" ht="15.75" hidden="false" customHeight="true" outlineLevel="0" collapsed="false">
      <c r="A305" s="15"/>
      <c r="B305" s="15"/>
      <c r="C305" s="15"/>
      <c r="D305" s="15"/>
      <c r="E305" s="15"/>
      <c r="F305" s="15"/>
      <c r="G305" s="15"/>
      <c r="H305" s="41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customFormat="false" ht="15.7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41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customFormat="false" ht="15.75" hidden="false" customHeight="true" outlineLevel="0" collapsed="false">
      <c r="A307" s="15"/>
      <c r="B307" s="15"/>
      <c r="C307" s="15"/>
      <c r="D307" s="15"/>
      <c r="E307" s="15"/>
      <c r="F307" s="15"/>
      <c r="G307" s="15"/>
      <c r="H307" s="41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customFormat="false" ht="15.7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41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customFormat="false" ht="15.75" hidden="false" customHeight="true" outlineLevel="0" collapsed="false">
      <c r="A309" s="15"/>
      <c r="B309" s="15"/>
      <c r="C309" s="15"/>
      <c r="D309" s="15"/>
      <c r="E309" s="15"/>
      <c r="F309" s="15"/>
      <c r="G309" s="15"/>
      <c r="H309" s="41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customFormat="false" ht="15.7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41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customFormat="false" ht="15.75" hidden="false" customHeight="true" outlineLevel="0" collapsed="false">
      <c r="A311" s="15"/>
      <c r="B311" s="15"/>
      <c r="C311" s="15"/>
      <c r="D311" s="15"/>
      <c r="E311" s="15"/>
      <c r="F311" s="15"/>
      <c r="G311" s="15"/>
      <c r="H311" s="41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customFormat="false" ht="15.7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41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customFormat="false" ht="15.75" hidden="false" customHeight="true" outlineLevel="0" collapsed="false">
      <c r="A313" s="15"/>
      <c r="B313" s="15"/>
      <c r="C313" s="15"/>
      <c r="D313" s="15"/>
      <c r="E313" s="15"/>
      <c r="F313" s="15"/>
      <c r="G313" s="15"/>
      <c r="H313" s="41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customFormat="false" ht="15.7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41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41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41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41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41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41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41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41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41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41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41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41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41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41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41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41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41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41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41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41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customFormat="false" ht="15.7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41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customFormat="false" ht="15.75" hidden="false" customHeight="tru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customFormat="false" ht="15.7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customFormat="false" ht="15.75" hidden="false" customHeight="tru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customFormat="false" ht="15.7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customFormat="false" ht="15.75" hidden="false" customHeight="tru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customFormat="false" ht="15.7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customFormat="false" ht="15.75" hidden="false" customHeight="tru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customFormat="false" ht="15.7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customFormat="false" ht="15.75" hidden="false" customHeight="tru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customFormat="false" ht="15.7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customFormat="false" ht="15.75" hidden="false" customHeight="tru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customFormat="false" ht="15.7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customFormat="false" ht="15.75" hidden="false" customHeight="tru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customFormat="false" ht="15.7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customFormat="false" ht="15.75" hidden="false" customHeight="tru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customFormat="false" ht="15.7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customFormat="false" ht="15.75" hidden="false" customHeight="tru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customFormat="false" ht="15.7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customFormat="false" ht="15.75" hidden="false" customHeight="tru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customFormat="false" ht="15.7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customFormat="false" ht="15.75" hidden="false" customHeight="tru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customFormat="false" ht="15.7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customFormat="false" ht="15.75" hidden="false" customHeight="tru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customFormat="false" ht="15.7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customFormat="false" ht="15.75" hidden="false" customHeight="tru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customFormat="false" ht="15.7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customFormat="false" ht="15.75" hidden="false" customHeight="tru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customFormat="false" ht="15.7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customFormat="false" ht="15.75" hidden="false" customHeight="tru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customFormat="false" ht="15.7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customFormat="false" ht="15.75" hidden="false" customHeight="tru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customFormat="false" ht="15.7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customFormat="false" ht="15.75" hidden="false" customHeight="tru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customFormat="false" ht="15.7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customFormat="false" ht="15.75" hidden="false" customHeight="tru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customFormat="false" ht="15.7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customFormat="false" ht="15.75" hidden="false" customHeight="tru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customFormat="false" ht="15.7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customFormat="false" ht="15.75" hidden="false" customHeight="tru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customFormat="false" ht="15.7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customFormat="false" ht="15.75" hidden="false" customHeight="tru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customFormat="false" ht="15.7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customFormat="false" ht="15.75" hidden="false" customHeight="tru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customFormat="false" ht="15.7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customFormat="false" ht="15.75" hidden="false" customHeight="tru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customFormat="false" ht="15.7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customFormat="false" ht="15.75" hidden="false" customHeight="tru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customFormat="false" ht="15.7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customFormat="false" ht="15.75" hidden="false" customHeight="tru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customFormat="false" ht="15.7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customFormat="false" ht="15.75" hidden="false" customHeight="tru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customFormat="false" ht="15.7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customFormat="false" ht="15.75" hidden="false" customHeight="tru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customFormat="false" ht="15.7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customFormat="false" ht="15.75" hidden="false" customHeight="tru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customFormat="false" ht="15.7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customFormat="false" ht="15.75" hidden="false" customHeight="tru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customFormat="false" ht="15.7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customFormat="false" ht="15.75" hidden="false" customHeight="tru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customFormat="false" ht="15.7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customFormat="false" ht="15.75" hidden="false" customHeight="tru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customFormat="false" ht="15.7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customFormat="false" ht="15.75" hidden="false" customHeight="tru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customFormat="false" ht="15.7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customFormat="false" ht="15.75" hidden="false" customHeight="tru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customFormat="false" ht="15.7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customFormat="false" ht="15.75" hidden="false" customHeight="tru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customFormat="false" ht="15.7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customFormat="false" ht="15.75" hidden="false" customHeight="tru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customFormat="false" ht="15.7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customFormat="false" ht="15.75" hidden="false" customHeight="tru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customFormat="false" ht="15.7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customFormat="false" ht="15.75" hidden="false" customHeight="tru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customFormat="false" ht="15.7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customFormat="false" ht="15.75" hidden="false" customHeight="tru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customFormat="false" ht="15.7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customFormat="false" ht="15.75" hidden="false" customHeight="tru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customFormat="false" ht="15.7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customFormat="false" ht="15.75" hidden="false" customHeight="tru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customFormat="false" ht="15.7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customFormat="false" ht="15.75" hidden="false" customHeight="tru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customFormat="false" ht="15.7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customFormat="false" ht="15.75" hidden="false" customHeight="tru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customFormat="false" ht="15.7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customFormat="false" ht="15.75" hidden="false" customHeight="tru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customFormat="false" ht="15.7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customFormat="false" ht="15.75" hidden="false" customHeight="tru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customFormat="false" ht="15.7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customFormat="false" ht="15.75" hidden="false" customHeight="tru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customFormat="false" ht="15.7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customFormat="false" ht="15.75" hidden="false" customHeight="tru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customFormat="false" ht="15.7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customFormat="false" ht="15.75" hidden="false" customHeight="tru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customFormat="false" ht="15.7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customFormat="false" ht="15.75" hidden="false" customHeight="tru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customFormat="false" ht="15.7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customFormat="false" ht="15.75" hidden="false" customHeight="tru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customFormat="false" ht="15.7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customFormat="false" ht="15.75" hidden="false" customHeight="tru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customFormat="false" ht="15.7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customFormat="false" ht="15.75" hidden="false" customHeight="tru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customFormat="false" ht="15.7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customFormat="false" ht="15.75" hidden="false" customHeight="tru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customFormat="false" ht="15.7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customFormat="false" ht="15.75" hidden="false" customHeight="tru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customFormat="false" ht="15.7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customFormat="false" ht="15.75" hidden="false" customHeight="tru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customFormat="false" ht="15.7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customFormat="false" ht="15.75" hidden="false" customHeight="tru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customFormat="false" ht="15.7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customFormat="false" ht="15.75" hidden="false" customHeight="tru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customFormat="false" ht="15.7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customFormat="false" ht="15.75" hidden="false" customHeight="tru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customFormat="false" ht="15.7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customFormat="false" ht="15.75" hidden="false" customHeight="tru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customFormat="false" ht="15.7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customFormat="false" ht="15.75" hidden="false" customHeight="tru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customFormat="false" ht="15.7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customFormat="false" ht="15.75" hidden="false" customHeight="tru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customFormat="false" ht="15.7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customFormat="false" ht="15.75" hidden="false" customHeight="tru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customFormat="false" ht="15.7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customFormat="false" ht="15.75" hidden="false" customHeight="tru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customFormat="false" ht="15.7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customFormat="false" ht="15.75" hidden="false" customHeight="tru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customFormat="false" ht="15.7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customFormat="false" ht="15.75" hidden="false" customHeight="tru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customFormat="false" ht="15.7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customFormat="false" ht="15.75" hidden="false" customHeight="tru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customFormat="false" ht="15.7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customFormat="false" ht="15.75" hidden="false" customHeight="tru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customFormat="false" ht="15.7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customFormat="false" ht="15.75" hidden="false" customHeight="tru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customFormat="false" ht="15.7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customFormat="false" ht="15.75" hidden="false" customHeight="tru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customFormat="false" ht="15.7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customFormat="false" ht="15.75" hidden="false" customHeight="tru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customFormat="false" ht="15.7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customFormat="false" ht="15.75" hidden="false" customHeight="tru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customFormat="false" ht="15.7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customFormat="false" ht="15.75" hidden="false" customHeight="tru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customFormat="false" ht="15.7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customFormat="false" ht="15.75" hidden="false" customHeight="tru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customFormat="false" ht="15.7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customFormat="false" ht="15.75" hidden="false" customHeight="tru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customFormat="false" ht="15.7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customFormat="false" ht="15.75" hidden="false" customHeight="tru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customFormat="false" ht="15.7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customFormat="false" ht="15.75" hidden="false" customHeight="tru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customFormat="false" ht="15.7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customFormat="false" ht="15.75" hidden="false" customHeight="tru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customFormat="false" ht="15.7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customFormat="false" ht="15.75" hidden="false" customHeight="tru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customFormat="false" ht="15.7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customFormat="false" ht="15.75" hidden="false" customHeight="tru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customFormat="false" ht="15.7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customFormat="false" ht="15.75" hidden="false" customHeight="tru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customFormat="false" ht="15.7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customFormat="false" ht="15.75" hidden="false" customHeight="tru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customFormat="false" ht="15.7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customFormat="false" ht="15.75" hidden="false" customHeight="tru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customFormat="false" ht="15.7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customFormat="false" ht="15.75" hidden="false" customHeight="tru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customFormat="false" ht="15.7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customFormat="false" ht="15.75" hidden="false" customHeight="tru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customFormat="false" ht="15.7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customFormat="false" ht="15.75" hidden="false" customHeight="tru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customFormat="false" ht="15.7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customFormat="false" ht="15.75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customFormat="false" ht="15.7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customFormat="false" ht="15.75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customFormat="false" ht="15.7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customFormat="false" ht="15.75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customFormat="false" ht="15.7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customFormat="false" ht="15.75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customFormat="false" ht="15.7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customFormat="false" ht="15.75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customFormat="false" ht="15.7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customFormat="false" ht="15.75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customFormat="false" ht="15.7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customFormat="false" ht="15.75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customFormat="false" ht="15.7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customFormat="false" ht="15.75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customFormat="false" ht="15.7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customFormat="false" ht="15.75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customFormat="false" ht="15.7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customFormat="false" ht="15.75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customFormat="false" ht="15.7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customFormat="false" ht="15.75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customFormat="false" ht="15.7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customFormat="false" ht="15.75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customFormat="false" ht="15.7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customFormat="false" ht="15.75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customFormat="false" ht="15.7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customFormat="false" ht="15.75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customFormat="false" ht="15.7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customFormat="false" ht="15.75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customFormat="false" ht="15.7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customFormat="false" ht="15.75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customFormat="false" ht="15.7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customFormat="false" ht="15.75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customFormat="false" ht="15.7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customFormat="false" ht="15.75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customFormat="false" ht="15.7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customFormat="false" ht="15.75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customFormat="false" ht="15.7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customFormat="false" ht="15.75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customFormat="false" ht="15.7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customFormat="false" ht="15.75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customFormat="false" ht="15.7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customFormat="false" ht="15.75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customFormat="false" ht="15.7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customFormat="false" ht="15.75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customFormat="false" ht="15.7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customFormat="false" ht="15.75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customFormat="false" ht="15.7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customFormat="false" ht="15.75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customFormat="false" ht="15.7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customFormat="false" ht="15.75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customFormat="false" ht="15.7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customFormat="false" ht="15.75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customFormat="false" ht="15.7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customFormat="false" ht="15.75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customFormat="false" ht="15.7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customFormat="false" ht="15.75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customFormat="false" ht="15.7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customFormat="false" ht="15.75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customFormat="false" ht="15.7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customFormat="false" ht="15.75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customFormat="false" ht="15.7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customFormat="false" ht="15.75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customFormat="false" ht="15.7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customFormat="false" ht="15.75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customFormat="false" ht="15.7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customFormat="false" ht="15.75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customFormat="false" ht="15.7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customFormat="false" ht="15.75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customFormat="false" ht="15.7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customFormat="false" ht="15.75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customFormat="false" ht="15.7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customFormat="false" ht="15.75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customFormat="false" ht="15.7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customFormat="false" ht="15.75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customFormat="false" ht="15.7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customFormat="false" ht="15.75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customFormat="false" ht="15.7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customFormat="false" ht="15.75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customFormat="false" ht="15.7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customFormat="false" ht="15.75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customFormat="false" ht="15.7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customFormat="false" ht="15.75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customFormat="false" ht="15.7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customFormat="false" ht="15.75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customFormat="false" ht="15.7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customFormat="false" ht="15.75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customFormat="false" ht="15.7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customFormat="false" ht="15.75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customFormat="false" ht="15.7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customFormat="false" ht="15.75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customFormat="false" ht="15.7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customFormat="false" ht="15.75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customFormat="false" ht="15.7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customFormat="false" ht="15.75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customFormat="false" ht="15.7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customFormat="false" ht="15.75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customFormat="false" ht="15.7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customFormat="false" ht="15.75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customFormat="false" ht="15.7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customFormat="false" ht="15.75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customFormat="false" ht="15.7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customFormat="false" ht="15.75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customFormat="false" ht="15.7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customFormat="false" ht="15.75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customFormat="false" ht="15.7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customFormat="false" ht="15.75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customFormat="false" ht="15.7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customFormat="false" ht="15.75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customFormat="false" ht="15.7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customFormat="false" ht="15.75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customFormat="false" ht="15.7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customFormat="false" ht="15.75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customFormat="false" ht="15.7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customFormat="false" ht="15.75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customFormat="false" ht="15.7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customFormat="false" ht="15.75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customFormat="false" ht="15.7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customFormat="false" ht="15.75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customFormat="false" ht="15.7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customFormat="false" ht="15.75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customFormat="false" ht="15.7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customFormat="false" ht="15.75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customFormat="false" ht="15.7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customFormat="false" ht="15.75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customFormat="false" ht="15.7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customFormat="false" ht="15.75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customFormat="false" ht="15.7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customFormat="false" ht="15.75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customFormat="false" ht="15.7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customFormat="false" ht="15.75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customFormat="false" ht="15.7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customFormat="false" ht="15.75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customFormat="false" ht="15.7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customFormat="false" ht="15.75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customFormat="false" ht="15.7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customFormat="false" ht="15.75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customFormat="false" ht="15.7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customFormat="false" ht="15.75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customFormat="false" ht="15.7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customFormat="false" ht="15.75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customFormat="false" ht="15.7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customFormat="false" ht="15.75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customFormat="false" ht="15.7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customFormat="false" ht="15.75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customFormat="false" ht="15.7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customFormat="false" ht="15.75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customFormat="false" ht="15.7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customFormat="false" ht="15.75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customFormat="false" ht="15.7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customFormat="false" ht="15.75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customFormat="false" ht="15.7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customFormat="false" ht="15.75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customFormat="false" ht="15.7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customFormat="false" ht="15.75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customFormat="false" ht="15.7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customFormat="false" ht="15.75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customFormat="false" ht="15.7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customFormat="false" ht="15.75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customFormat="false" ht="15.7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customFormat="false" ht="15.75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customFormat="false" ht="15.7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customFormat="false" ht="15.75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customFormat="false" ht="15.7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customFormat="false" ht="15.75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customFormat="false" ht="15.7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customFormat="false" ht="15.75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customFormat="false" ht="15.7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customFormat="false" ht="15.75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customFormat="false" ht="15.7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customFormat="false" ht="15.75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customFormat="false" ht="15.7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customFormat="false" ht="15.75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customFormat="false" ht="15.7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customFormat="false" ht="15.75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customFormat="false" ht="15.7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customFormat="false" ht="15.75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customFormat="false" ht="15.7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customFormat="false" ht="15.75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customFormat="false" ht="15.7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customFormat="false" ht="15.75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customFormat="false" ht="15.7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customFormat="false" ht="15.75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customFormat="false" ht="15.7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customFormat="false" ht="15.75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customFormat="false" ht="15.7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customFormat="false" ht="15.75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customFormat="false" ht="15.7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customFormat="false" ht="15.75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customFormat="false" ht="15.7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customFormat="false" ht="15.75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customFormat="false" ht="15.7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customFormat="false" ht="15.75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customFormat="false" ht="15.7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customFormat="false" ht="15.75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customFormat="false" ht="15.7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customFormat="false" ht="15.75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customFormat="false" ht="15.7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customFormat="false" ht="15.75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customFormat="false" ht="15.7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customFormat="false" ht="15.75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customFormat="false" ht="15.7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customFormat="false" ht="15.75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customFormat="false" ht="15.7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customFormat="false" ht="15.75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customFormat="false" ht="15.7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customFormat="false" ht="15.75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customFormat="false" ht="15.7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customFormat="false" ht="15.75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customFormat="false" ht="15.7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customFormat="false" ht="15.75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customFormat="false" ht="15.7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customFormat="false" ht="15.75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customFormat="false" ht="15.7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customFormat="false" ht="15.75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customFormat="false" ht="15.7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customFormat="false" ht="15.75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customFormat="false" ht="15.7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customFormat="false" ht="15.75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customFormat="false" ht="15.7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customFormat="false" ht="15.75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customFormat="false" ht="15.7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customFormat="false" ht="15.75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customFormat="false" ht="15.7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customFormat="false" ht="15.75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customFormat="false" ht="15.7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customFormat="false" ht="15.75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customFormat="false" ht="15.7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customFormat="false" ht="15.75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customFormat="false" ht="15.7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customFormat="false" ht="15.75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customFormat="false" ht="15.7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customFormat="false" ht="15.75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customFormat="false" ht="15.7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customFormat="false" ht="15.75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customFormat="false" ht="15.7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customFormat="false" ht="15.75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customFormat="false" ht="15.7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customFormat="false" ht="15.75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customFormat="false" ht="15.7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customFormat="false" ht="15.75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customFormat="false" ht="15.7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customFormat="false" ht="15.75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customFormat="false" ht="15.7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customFormat="false" ht="15.75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customFormat="false" ht="15.7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customFormat="false" ht="15.75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customFormat="false" ht="15.7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customFormat="false" ht="15.75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customFormat="false" ht="15.7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customFormat="false" ht="15.75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customFormat="false" ht="15.7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customFormat="false" ht="15.75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customFormat="false" ht="15.7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customFormat="false" ht="15.75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customFormat="false" ht="15.7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customFormat="false" ht="15.75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customFormat="false" ht="15.7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customFormat="false" ht="15.75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customFormat="false" ht="15.7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customFormat="false" ht="15.75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customFormat="false" ht="15.7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customFormat="false" ht="15.75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customFormat="false" ht="15.7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customFormat="false" ht="15.75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customFormat="false" ht="15.7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customFormat="false" ht="15.75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customFormat="false" ht="15.7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customFormat="false" ht="15.75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customFormat="false" ht="15.7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customFormat="false" ht="15.75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customFormat="false" ht="15.7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customFormat="false" ht="15.75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customFormat="false" ht="15.7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customFormat="false" ht="15.75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customFormat="false" ht="15.7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customFormat="false" ht="15.75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customFormat="false" ht="15.7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customFormat="false" ht="15.75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customFormat="false" ht="15.7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customFormat="false" ht="15.75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customFormat="false" ht="15.7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customFormat="false" ht="15.75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customFormat="false" ht="15.7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customFormat="false" ht="15.75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customFormat="false" ht="15.7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customFormat="false" ht="15.75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customFormat="false" ht="15.7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customFormat="false" ht="15.75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customFormat="false" ht="15.7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customFormat="false" ht="15.75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customFormat="false" ht="15.7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customFormat="false" ht="15.75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customFormat="false" ht="15.7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customFormat="false" ht="15.75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customFormat="false" ht="15.7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customFormat="false" ht="15.75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customFormat="false" ht="15.7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customFormat="false" ht="15.75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customFormat="false" ht="15.7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customFormat="false" ht="15.75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customFormat="false" ht="15.7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customFormat="false" ht="15.75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customFormat="false" ht="15.7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customFormat="false" ht="15.75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customFormat="false" ht="15.7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customFormat="false" ht="15.75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customFormat="false" ht="15.7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customFormat="false" ht="15.75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customFormat="false" ht="15.7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customFormat="false" ht="15.75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customFormat="false" ht="15.7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customFormat="false" ht="15.75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customFormat="false" ht="15.7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customFormat="false" ht="15.75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customFormat="false" ht="15.7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customFormat="false" ht="15.75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customFormat="false" ht="15.7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customFormat="false" ht="15.75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customFormat="false" ht="15.7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customFormat="false" ht="15.75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customFormat="false" ht="15.7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customFormat="false" ht="15.75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customFormat="false" ht="15.7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customFormat="false" ht="15.75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customFormat="false" ht="15.7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customFormat="false" ht="15.75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customFormat="false" ht="15.7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customFormat="false" ht="15.75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customFormat="false" ht="15.7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customFormat="false" ht="15.75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customFormat="false" ht="15.7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customFormat="false" ht="15.75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customFormat="false" ht="15.7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customFormat="false" ht="15.75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customFormat="false" ht="15.7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customFormat="false" ht="15.75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customFormat="false" ht="15.7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customFormat="false" ht="15.75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customFormat="false" ht="15.7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customFormat="false" ht="15.75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customFormat="false" ht="15.7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customFormat="false" ht="15.75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customFormat="false" ht="15.7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customFormat="false" ht="15.75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customFormat="false" ht="15.7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customFormat="false" ht="15.75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customFormat="false" ht="15.7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customFormat="false" ht="15.75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customFormat="false" ht="15.7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customFormat="false" ht="15.75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customFormat="false" ht="15.7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customFormat="false" ht="15.75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customFormat="false" ht="15.7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customFormat="false" ht="15.75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customFormat="false" ht="15.7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customFormat="false" ht="15.75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customFormat="false" ht="15.7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customFormat="false" ht="15.75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customFormat="false" ht="15.7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customFormat="false" ht="15.75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customFormat="false" ht="15.7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customFormat="false" ht="15.75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customFormat="false" ht="15.7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customFormat="false" ht="15.75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customFormat="false" ht="15.7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customFormat="false" ht="15.75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customFormat="false" ht="15.7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customFormat="false" ht="15.75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customFormat="false" ht="15.7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customFormat="false" ht="15.75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customFormat="false" ht="15.7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customFormat="false" ht="15.75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customFormat="false" ht="15.7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customFormat="false" ht="15.75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customFormat="false" ht="15.7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customFormat="false" ht="15.75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customFormat="false" ht="15.7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customFormat="false" ht="15.75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customFormat="false" ht="15.7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customFormat="false" ht="15.75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customFormat="false" ht="15.7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customFormat="false" ht="15.75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customFormat="false" ht="15.7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customFormat="false" ht="15.75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customFormat="false" ht="15.7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customFormat="false" ht="15.75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customFormat="false" ht="15.7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customFormat="false" ht="15.75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customFormat="false" ht="15.7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customFormat="false" ht="15.75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customFormat="false" ht="15.7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customFormat="false" ht="15.75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customFormat="false" ht="15.7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customFormat="false" ht="15.75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customFormat="false" ht="15.7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customFormat="false" ht="15.75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customFormat="false" ht="15.7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customFormat="false" ht="15.75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customFormat="false" ht="15.7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customFormat="false" ht="15.75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customFormat="false" ht="15.7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customFormat="false" ht="15.75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customFormat="false" ht="15.7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customFormat="false" ht="15.75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customFormat="false" ht="15.7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customFormat="false" ht="15.75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customFormat="false" ht="15.7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customFormat="false" ht="15.75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customFormat="false" ht="15.7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customFormat="false" ht="15.75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customFormat="false" ht="15.7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customFormat="false" ht="15.75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customFormat="false" ht="15.7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customFormat="false" ht="15.75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customFormat="false" ht="15.7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customFormat="false" ht="15.75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customFormat="false" ht="15.7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customFormat="false" ht="15.75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customFormat="false" ht="15.7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customFormat="false" ht="15.75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customFormat="false" ht="15.7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customFormat="false" ht="15.75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customFormat="false" ht="15.7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customFormat="false" ht="15.75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customFormat="false" ht="15.7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customFormat="false" ht="15.75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customFormat="false" ht="15.7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customFormat="false" ht="15.75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customFormat="false" ht="15.7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customFormat="false" ht="15.75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customFormat="false" ht="15.7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customFormat="false" ht="15.75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customFormat="false" ht="15.7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customFormat="false" ht="15.75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customFormat="false" ht="15.7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customFormat="false" ht="15.75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customFormat="false" ht="15.7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customFormat="false" ht="15.75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customFormat="false" ht="15.7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customFormat="false" ht="15.75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customFormat="false" ht="15.7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customFormat="false" ht="15.75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customFormat="false" ht="15.7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customFormat="false" ht="15.75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customFormat="false" ht="15.7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customFormat="false" ht="15.75" hidden="false" customHeight="tru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customFormat="false" ht="15.75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customFormat="false" ht="15.75" hidden="false" customHeight="tru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customFormat="false" ht="15.75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customFormat="false" ht="15.75" hidden="false" customHeight="tru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customFormat="false" ht="15.75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customFormat="false" ht="15.75" hidden="false" customHeight="tru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customFormat="false" ht="15.75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customFormat="false" ht="15.75" hidden="false" customHeight="tru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customFormat="false" ht="15.75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customFormat="false" ht="15.75" hidden="false" customHeight="tru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customFormat="false" ht="15.75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customFormat="false" ht="15.75" hidden="false" customHeight="tru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customFormat="false" ht="15.75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customFormat="false" ht="15.75" hidden="false" customHeight="tru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customFormat="false" ht="15.75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customFormat="false" ht="15.75" hidden="false" customHeight="tru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customFormat="false" ht="15.75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customFormat="false" ht="15.75" hidden="false" customHeight="tru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customFormat="false" ht="15.75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customFormat="false" ht="15.75" hidden="false" customHeight="tru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customFormat="false" ht="15.75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customFormat="false" ht="15.75" hidden="false" customHeight="tru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customFormat="false" ht="15.75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customFormat="false" ht="15.75" hidden="false" customHeight="tru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customFormat="false" ht="15.75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customFormat="false" ht="15.75" hidden="false" customHeight="tru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customFormat="false" ht="15.75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customFormat="false" ht="15.75" hidden="false" customHeight="tru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customFormat="false" ht="15.75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customFormat="false" ht="15.75" hidden="false" customHeight="tru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customFormat="false" ht="15.75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customFormat="false" ht="15.75" hidden="false" customHeight="tru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customFormat="false" ht="15.75" hidden="false" customHeight="tru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customFormat="false" ht="15.75" hidden="false" customHeight="tru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customFormat="false" ht="15.75" hidden="false" customHeight="tru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customFormat="false" ht="15.75" hidden="false" customHeight="tru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customFormat="false" ht="15.75" hidden="false" customHeight="tru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customFormat="false" ht="15.75" hidden="false" customHeight="tru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customFormat="false" ht="15.75" hidden="false" customHeight="tru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customFormat="false" ht="15.75" hidden="false" customHeight="tru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customFormat="false" ht="15.75" hidden="false" customHeight="tru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customFormat="false" ht="15.75" hidden="false" customHeight="tru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customFormat="false" ht="15.75" hidden="false" customHeight="tru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customFormat="false" ht="15.75" hidden="false" customHeight="tru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customFormat="false" ht="15.75" hidden="false" customHeight="tru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customFormat="false" ht="15.75" hidden="false" customHeight="tru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customFormat="false" ht="15.75" hidden="false" customHeight="tru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customFormat="false" ht="15.75" hidden="false" customHeight="tru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customFormat="false" ht="15.75" hidden="false" customHeight="true" outlineLevel="0" collapsed="false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customFormat="false" ht="15.75" hidden="false" customHeight="true" outlineLevel="0" collapsed="false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customFormat="false" ht="15.75" hidden="false" customHeight="true" outlineLevel="0" collapsed="false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conditionalFormatting sqref="D2:D13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34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:F134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:G134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134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6.38"/>
    <col collapsed="false" customWidth="true" hidden="false" outlineLevel="0" max="2" min="2" style="0" width="22.25"/>
    <col collapsed="false" customWidth="true" hidden="false" outlineLevel="0" max="3" min="3" style="0" width="18.13"/>
    <col collapsed="false" customWidth="true" hidden="false" outlineLevel="0" max="4" min="4" style="0" width="10.25"/>
    <col collapsed="false" customWidth="true" hidden="false" outlineLevel="0" max="5" min="5" style="0" width="10"/>
    <col collapsed="false" customWidth="true" hidden="false" outlineLevel="0" max="6" min="6" style="0" width="9.88"/>
    <col collapsed="false" customWidth="true" hidden="false" outlineLevel="0" max="7" min="7" style="0" width="7.75"/>
    <col collapsed="false" customWidth="true" hidden="false" outlineLevel="0" max="8" min="8" style="0" width="5.63"/>
    <col collapsed="false" customWidth="true" hidden="false" outlineLevel="0" max="9" min="9" style="0" width="4.5"/>
    <col collapsed="false" customWidth="true" hidden="false" outlineLevel="0" max="10" min="10" style="0" width="12.13"/>
    <col collapsed="false" customWidth="true" hidden="false" outlineLevel="0" max="12" min="11" style="0" width="50.75"/>
  </cols>
  <sheetData>
    <row r="1" customFormat="false" ht="15.75" hidden="false" customHeight="true" outlineLevel="0" collapsed="false">
      <c r="A1" s="37" t="s">
        <v>365</v>
      </c>
      <c r="B1" s="37" t="s">
        <v>3</v>
      </c>
      <c r="C1" s="37" t="s">
        <v>4</v>
      </c>
      <c r="D1" s="37" t="s">
        <v>377</v>
      </c>
      <c r="E1" s="37" t="s">
        <v>378</v>
      </c>
      <c r="F1" s="37" t="s">
        <v>379</v>
      </c>
      <c r="G1" s="37" t="s">
        <v>380</v>
      </c>
      <c r="H1" s="37" t="s">
        <v>381</v>
      </c>
      <c r="I1" s="37" t="s">
        <v>382</v>
      </c>
      <c r="J1" s="37" t="s">
        <v>372</v>
      </c>
      <c r="K1" s="37" t="s">
        <v>312</v>
      </c>
      <c r="L1" s="37" t="s">
        <v>313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customFormat="false" ht="15.75" hidden="false" customHeight="true" outlineLevel="0" collapsed="false">
      <c r="A2" s="38" t="s">
        <v>90</v>
      </c>
      <c r="B2" s="38" t="str">
        <f aca="false" t="array" ref="B2:B2">IF(A2="","",IFERROR(INDEX('CLM &amp; IM Mapping'!$B$2:$B$270,MATCH(TRIM(A2),'CLM &amp; IM Mapping'!$A$2:$A$270,0)),"Not Mapped"))</f>
        <v>Adhavan Subramani</v>
      </c>
      <c r="C2" s="38" t="str">
        <f aca="false" t="array" ref="C2:C2">IF(A2="","",IFERROR(INDEX('CLM &amp; IM Mapping'!$C$2:$C$270,MATCH(TRIM(A2),'CLM &amp; IM Mapping'!$A$2:$A$270,0)),"Not Mapped"))</f>
        <v>Mohammed Akbar</v>
      </c>
      <c r="D2" s="38"/>
      <c r="E2" s="38"/>
      <c r="F2" s="38" t="n">
        <v>3010</v>
      </c>
      <c r="G2" s="38" t="n">
        <v>7631</v>
      </c>
      <c r="H2" s="38" t="n">
        <v>10641</v>
      </c>
      <c r="I2" s="38" t="n">
        <v>0</v>
      </c>
      <c r="J2" s="38" t="n">
        <v>10641</v>
      </c>
      <c r="K2" s="12"/>
      <c r="L2" s="12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customFormat="false" ht="15.75" hidden="false" customHeight="true" outlineLevel="0" collapsed="false">
      <c r="A3" s="38" t="s">
        <v>264</v>
      </c>
      <c r="B3" s="38" t="str">
        <f aca="false" t="array" ref="B3:B3">IF(A3="","",IFERROR(INDEX('CLM &amp; IM Mapping'!$B$2:$B$270,MATCH(TRIM(A3),'CLM &amp; IM Mapping'!$A$2:$A$270,0)),"Not Mapped"))</f>
        <v>Arun Raj</v>
      </c>
      <c r="C3" s="38" t="str">
        <f aca="false" t="array" ref="C3:C3">IF(A3="","",IFERROR(INDEX('CLM &amp; IM Mapping'!$C$2:$C$270,MATCH(TRIM(A3),'CLM &amp; IM Mapping'!$A$2:$A$270,0)),"Not Mapped"))</f>
        <v>Simon Manoharan</v>
      </c>
      <c r="D3" s="38"/>
      <c r="E3" s="38"/>
      <c r="F3" s="38"/>
      <c r="G3" s="38" t="n">
        <v>4863</v>
      </c>
      <c r="H3" s="38" t="n">
        <v>4863</v>
      </c>
      <c r="I3" s="38" t="n">
        <v>0</v>
      </c>
      <c r="J3" s="38" t="n">
        <v>4863</v>
      </c>
      <c r="K3" s="12"/>
      <c r="L3" s="12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customFormat="false" ht="15.75" hidden="false" customHeight="true" outlineLevel="0" collapsed="false">
      <c r="A4" s="38" t="s">
        <v>300</v>
      </c>
      <c r="B4" s="38" t="str">
        <f aca="false" t="array" ref="B4:B4">IF(A4="","",IFERROR(INDEX('CLM &amp; IM Mapping'!$B$2:$B$270,MATCH(TRIM(A4),'CLM &amp; IM Mapping'!$A$2:$A$270,0)),"Not Mapped"))</f>
        <v>Arun Raj</v>
      </c>
      <c r="C4" s="38" t="str">
        <f aca="false" t="array" ref="C4:C4">IF(A4="","",IFERROR(INDEX('CLM &amp; IM Mapping'!$C$2:$C$270,MATCH(TRIM(A4),'CLM &amp; IM Mapping'!$A$2:$A$270,0)),"Not Mapped"))</f>
        <v>Simon Manoharan</v>
      </c>
      <c r="D4" s="38" t="n">
        <v>408</v>
      </c>
      <c r="E4" s="38"/>
      <c r="F4" s="38" t="n">
        <v>4150</v>
      </c>
      <c r="G4" s="38" t="n">
        <v>1</v>
      </c>
      <c r="H4" s="38" t="n">
        <v>4538</v>
      </c>
      <c r="I4" s="38" t="n">
        <v>21</v>
      </c>
      <c r="J4" s="38" t="n">
        <v>4559</v>
      </c>
      <c r="K4" s="12"/>
      <c r="L4" s="12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customFormat="false" ht="15.75" hidden="false" customHeight="true" outlineLevel="0" collapsed="false">
      <c r="A5" s="38" t="s">
        <v>271</v>
      </c>
      <c r="B5" s="38" t="str">
        <f aca="false" t="array" ref="B5:B5">IF(A5="","",IFERROR(INDEX('CLM &amp; IM Mapping'!$B$2:$B$270,MATCH(TRIM(A5),'CLM &amp; IM Mapping'!$A$2:$A$270,0)),"Not Mapped"))</f>
        <v>Manjunatha V</v>
      </c>
      <c r="C5" s="38" t="str">
        <f aca="false" t="array" ref="C5:C5">IF(A5="","",IFERROR(INDEX('CLM &amp; IM Mapping'!$C$2:$C$270,MATCH(TRIM(A5),'CLM &amp; IM Mapping'!$A$2:$A$270,0)),"Not Mapped"))</f>
        <v>Un Mapped</v>
      </c>
      <c r="D5" s="38" t="n">
        <v>1595</v>
      </c>
      <c r="E5" s="38"/>
      <c r="F5" s="38" t="n">
        <v>382</v>
      </c>
      <c r="G5" s="38" t="n">
        <v>5</v>
      </c>
      <c r="H5" s="38" t="n">
        <v>1895</v>
      </c>
      <c r="I5" s="38" t="n">
        <v>87</v>
      </c>
      <c r="J5" s="38" t="n">
        <v>1982</v>
      </c>
      <c r="K5" s="12"/>
      <c r="L5" s="12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customFormat="false" ht="15.75" hidden="false" customHeight="true" outlineLevel="0" collapsed="false">
      <c r="A6" s="38" t="s">
        <v>71</v>
      </c>
      <c r="B6" s="38" t="str">
        <f aca="false" t="array" ref="B6:B6">IF(A6="","",IFERROR(INDEX('CLM &amp; IM Mapping'!$B$2:$B$270,MATCH(TRIM(A6),'CLM &amp; IM Mapping'!$A$2:$A$270,0)),"Not Mapped"))</f>
        <v>Manjunatha V</v>
      </c>
      <c r="C6" s="38" t="str">
        <f aca="false" t="array" ref="C6:C6">IF(A6="","",IFERROR(INDEX('CLM &amp; IM Mapping'!$C$2:$C$270,MATCH(TRIM(A6),'CLM &amp; IM Mapping'!$A$2:$A$270,0)),"Not Mapped"))</f>
        <v>Un Mapped</v>
      </c>
      <c r="D6" s="38" t="n">
        <v>1822</v>
      </c>
      <c r="E6" s="38"/>
      <c r="F6" s="38"/>
      <c r="G6" s="38"/>
      <c r="H6" s="38" t="n">
        <v>1822</v>
      </c>
      <c r="I6" s="38" t="n">
        <v>0</v>
      </c>
      <c r="J6" s="38" t="n">
        <v>1822</v>
      </c>
      <c r="K6" s="12"/>
      <c r="L6" s="12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customFormat="false" ht="15.75" hidden="false" customHeight="true" outlineLevel="0" collapsed="false">
      <c r="A7" s="38" t="s">
        <v>281</v>
      </c>
      <c r="B7" s="38" t="str">
        <f aca="false" t="array" ref="B7:B7">IF(A7="","",IFERROR(INDEX('CLM &amp; IM Mapping'!$B$2:$B$270,MATCH(TRIM(A7),'CLM &amp; IM Mapping'!$A$2:$A$270,0)),"Not Mapped"))</f>
        <v>Basil Scariya</v>
      </c>
      <c r="C7" s="38" t="str">
        <f aca="false" t="array" ref="C7:C7">IF(A7="","",IFERROR(INDEX('CLM &amp; IM Mapping'!$C$2:$C$270,MATCH(TRIM(A7),'CLM &amp; IM Mapping'!$A$2:$A$270,0)),"Not Mapped"))</f>
        <v>Prakash BS</v>
      </c>
      <c r="D7" s="38" t="n">
        <v>1598</v>
      </c>
      <c r="E7" s="38"/>
      <c r="F7" s="38" t="n">
        <v>1</v>
      </c>
      <c r="G7" s="38"/>
      <c r="H7" s="38" t="n">
        <v>1599</v>
      </c>
      <c r="I7" s="38" t="n">
        <v>0</v>
      </c>
      <c r="J7" s="38" t="n">
        <v>1599</v>
      </c>
      <c r="K7" s="12"/>
      <c r="L7" s="12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customFormat="false" ht="15.75" hidden="false" customHeight="true" outlineLevel="0" collapsed="false">
      <c r="A8" s="38" t="s">
        <v>194</v>
      </c>
      <c r="B8" s="38" t="str">
        <f aca="false" t="array" ref="B8:B8">IF(A8="","",IFERROR(INDEX('CLM &amp; IM Mapping'!$B$2:$B$270,MATCH(TRIM(A8),'CLM &amp; IM Mapping'!$A$2:$A$270,0)),"Not Mapped"))</f>
        <v>Balaji G</v>
      </c>
      <c r="C8" s="38" t="str">
        <f aca="false" t="array" ref="C8:C8">IF(A8="","",IFERROR(INDEX('CLM &amp; IM Mapping'!$C$2:$C$270,MATCH(TRIM(A8),'CLM &amp; IM Mapping'!$A$2:$A$270,0)),"Not Mapped"))</f>
        <v>Mohammed Akbar</v>
      </c>
      <c r="D8" s="38" t="n">
        <v>1509</v>
      </c>
      <c r="E8" s="38"/>
      <c r="F8" s="38"/>
      <c r="G8" s="38"/>
      <c r="H8" s="38" t="n">
        <v>1509</v>
      </c>
      <c r="I8" s="38" t="n">
        <v>0</v>
      </c>
      <c r="J8" s="38" t="n">
        <v>1509</v>
      </c>
      <c r="K8" s="12"/>
      <c r="L8" s="12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customFormat="false" ht="15.75" hidden="false" customHeight="true" outlineLevel="0" collapsed="false">
      <c r="A9" s="38" t="s">
        <v>36</v>
      </c>
      <c r="B9" s="38" t="str">
        <f aca="false" t="array" ref="B9:B9">IF(A9="","",IFERROR(INDEX('CLM &amp; IM Mapping'!$B$2:$B$270,MATCH(TRIM(A9),'CLM &amp; IM Mapping'!$A$2:$A$270,0)),"Not Mapped"))</f>
        <v>Saddam Hussain</v>
      </c>
      <c r="C9" s="38" t="str">
        <f aca="false" t="array" ref="C9:C9">IF(A9="","",IFERROR(INDEX('CLM &amp; IM Mapping'!$C$2:$C$270,MATCH(TRIM(A9),'CLM &amp; IM Mapping'!$A$2:$A$270,0)),"Not Mapped"))</f>
        <v>Un Mapped</v>
      </c>
      <c r="D9" s="38" t="n">
        <v>1489</v>
      </c>
      <c r="E9" s="38"/>
      <c r="F9" s="38"/>
      <c r="G9" s="38" t="n">
        <v>7</v>
      </c>
      <c r="H9" s="38" t="n">
        <v>1490</v>
      </c>
      <c r="I9" s="38" t="n">
        <v>6</v>
      </c>
      <c r="J9" s="38" t="n">
        <v>1496</v>
      </c>
      <c r="K9" s="12"/>
      <c r="L9" s="12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customFormat="false" ht="15.75" hidden="false" customHeight="true" outlineLevel="0" collapsed="false">
      <c r="A10" s="38" t="s">
        <v>141</v>
      </c>
      <c r="B10" s="38" t="str">
        <f aca="false" t="array" ref="B10:B10">IF(A10="","",IFERROR(INDEX('CLM &amp; IM Mapping'!$B$2:$B$270,MATCH(TRIM(A10),'CLM &amp; IM Mapping'!$A$2:$A$270,0)),"Not Mapped"))</f>
        <v>Manoj Kj</v>
      </c>
      <c r="C10" s="38" t="str">
        <f aca="false" t="array" ref="C10:C10">IF(A10="","",IFERROR(INDEX('CLM &amp; IM Mapping'!$C$2:$C$270,MATCH(TRIM(A10),'CLM &amp; IM Mapping'!$A$2:$A$270,0)),"Not Mapped"))</f>
        <v>Srittam Dhal</v>
      </c>
      <c r="D10" s="38" t="n">
        <v>1463</v>
      </c>
      <c r="E10" s="38"/>
      <c r="F10" s="38"/>
      <c r="G10" s="38"/>
      <c r="H10" s="38" t="n">
        <v>1463</v>
      </c>
      <c r="I10" s="38" t="n">
        <v>0</v>
      </c>
      <c r="J10" s="38" t="n">
        <v>1463</v>
      </c>
      <c r="K10" s="12"/>
      <c r="L10" s="12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customFormat="false" ht="15.75" hidden="false" customHeight="true" outlineLevel="0" collapsed="false">
      <c r="A11" s="38" t="s">
        <v>122</v>
      </c>
      <c r="B11" s="38" t="str">
        <f aca="false" t="array" ref="B11:B11">IF(A11="","",IFERROR(INDEX('CLM &amp; IM Mapping'!$B$2:$B$270,MATCH(TRIM(A11),'CLM &amp; IM Mapping'!$A$2:$A$270,0)),"Not Mapped"))</f>
        <v>Raghavendra Vernekar</v>
      </c>
      <c r="C11" s="38" t="str">
        <f aca="false" t="array" ref="C11:C11">IF(A11="","",IFERROR(INDEX('CLM &amp; IM Mapping'!$C$2:$C$270,MATCH(TRIM(A11),'CLM &amp; IM Mapping'!$A$2:$A$270,0)),"Not Mapped"))</f>
        <v>Prakash BS</v>
      </c>
      <c r="D11" s="38" t="n">
        <v>1222</v>
      </c>
      <c r="E11" s="38"/>
      <c r="F11" s="38" t="n">
        <v>230</v>
      </c>
      <c r="G11" s="38"/>
      <c r="H11" s="38" t="n">
        <v>1426</v>
      </c>
      <c r="I11" s="38" t="n">
        <v>26</v>
      </c>
      <c r="J11" s="38" t="n">
        <v>1452</v>
      </c>
      <c r="K11" s="12"/>
      <c r="L11" s="1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customFormat="false" ht="15.75" hidden="false" customHeight="true" outlineLevel="0" collapsed="false">
      <c r="A12" s="38" t="s">
        <v>253</v>
      </c>
      <c r="B12" s="38" t="str">
        <f aca="false" t="array" ref="B12:B12">IF(A12="","",IFERROR(INDEX('CLM &amp; IM Mapping'!$B$2:$B$270,MATCH(TRIM(A12),'CLM &amp; IM Mapping'!$A$2:$A$270,0)),"Not Mapped"))</f>
        <v>Ashwath S</v>
      </c>
      <c r="C12" s="38" t="str">
        <f aca="false" t="array" ref="C12:C12">IF(A12="","",IFERROR(INDEX('CLM &amp; IM Mapping'!$C$2:$C$270,MATCH(TRIM(A12),'CLM &amp; IM Mapping'!$A$2:$A$270,0)),"Not Mapped"))</f>
        <v>Kantha Kumar</v>
      </c>
      <c r="D12" s="38" t="n">
        <v>1451</v>
      </c>
      <c r="E12" s="38"/>
      <c r="F12" s="38" t="n">
        <v>1</v>
      </c>
      <c r="G12" s="38"/>
      <c r="H12" s="38" t="n">
        <v>1452</v>
      </c>
      <c r="I12" s="38" t="n">
        <v>0</v>
      </c>
      <c r="J12" s="38" t="n">
        <v>1452</v>
      </c>
      <c r="K12" s="12"/>
      <c r="L12" s="12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customFormat="false" ht="15.75" hidden="false" customHeight="true" outlineLevel="0" collapsed="false">
      <c r="A13" s="38" t="s">
        <v>41</v>
      </c>
      <c r="B13" s="38" t="str">
        <f aca="false" t="array" ref="B13:B13">IF(A13="","",IFERROR(INDEX('CLM &amp; IM Mapping'!$B$2:$B$270,MATCH(TRIM(A13),'CLM &amp; IM Mapping'!$A$2:$A$270,0)),"Not Mapped"))</f>
        <v>Narasimhamurthy R</v>
      </c>
      <c r="C13" s="38" t="str">
        <f aca="false" t="array" ref="C13:C13">IF(A13="","",IFERROR(INDEX('CLM &amp; IM Mapping'!$C$2:$C$270,MATCH(TRIM(A13),'CLM &amp; IM Mapping'!$A$2:$A$270,0)),"Not Mapped"))</f>
        <v>Kishor K</v>
      </c>
      <c r="D13" s="38" t="n">
        <v>860</v>
      </c>
      <c r="E13" s="38"/>
      <c r="F13" s="38" t="n">
        <v>259</v>
      </c>
      <c r="G13" s="38" t="n">
        <v>301</v>
      </c>
      <c r="H13" s="38" t="n">
        <v>1420</v>
      </c>
      <c r="I13" s="38" t="n">
        <v>0</v>
      </c>
      <c r="J13" s="38" t="n">
        <v>1420</v>
      </c>
      <c r="K13" s="12"/>
      <c r="L13" s="12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customFormat="false" ht="15.75" hidden="false" customHeight="true" outlineLevel="0" collapsed="false">
      <c r="A14" s="38" t="s">
        <v>297</v>
      </c>
      <c r="B14" s="38" t="str">
        <f aca="false" t="array" ref="B14:B14">IF(A14="","",IFERROR(INDEX('CLM &amp; IM Mapping'!$B$2:$B$270,MATCH(TRIM(A14),'CLM &amp; IM Mapping'!$A$2:$A$270,0)),"Not Mapped"))</f>
        <v>Suhas N</v>
      </c>
      <c r="C14" s="38" t="str">
        <f aca="false" t="array" ref="C14:C14">IF(A14="","",IFERROR(INDEX('CLM &amp; IM Mapping'!$C$2:$C$270,MATCH(TRIM(A14),'CLM &amp; IM Mapping'!$A$2:$A$270,0)),"Not Mapped"))</f>
        <v>Aravind S</v>
      </c>
      <c r="D14" s="38" t="n">
        <v>765</v>
      </c>
      <c r="E14" s="38"/>
      <c r="F14" s="38" t="n">
        <v>352</v>
      </c>
      <c r="G14" s="38"/>
      <c r="H14" s="38" t="n">
        <v>768</v>
      </c>
      <c r="I14" s="38" t="n">
        <v>349</v>
      </c>
      <c r="J14" s="38" t="n">
        <v>1117</v>
      </c>
      <c r="K14" s="12"/>
      <c r="L14" s="12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customFormat="false" ht="15.75" hidden="false" customHeight="true" outlineLevel="0" collapsed="false">
      <c r="A15" s="38" t="s">
        <v>78</v>
      </c>
      <c r="B15" s="38" t="str">
        <f aca="false" t="array" ref="B15:B15">IF(A15="","",IFERROR(INDEX('CLM &amp; IM Mapping'!$B$2:$B$270,MATCH(TRIM(A15),'CLM &amp; IM Mapping'!$A$2:$A$270,0)),"Not Mapped"))</f>
        <v>Vijay M</v>
      </c>
      <c r="C15" s="38" t="str">
        <f aca="false" t="array" ref="C15:C15">IF(A15="","",IFERROR(INDEX('CLM &amp; IM Mapping'!$C$2:$C$270,MATCH(TRIM(A15),'CLM &amp; IM Mapping'!$A$2:$A$270,0)),"Not Mapped"))</f>
        <v>Kantha Kumar</v>
      </c>
      <c r="D15" s="38" t="n">
        <v>999</v>
      </c>
      <c r="E15" s="38"/>
      <c r="F15" s="38" t="n">
        <v>8</v>
      </c>
      <c r="G15" s="38" t="n">
        <v>2</v>
      </c>
      <c r="H15" s="38" t="n">
        <v>1009</v>
      </c>
      <c r="I15" s="38" t="n">
        <v>0</v>
      </c>
      <c r="J15" s="38" t="n">
        <v>1009</v>
      </c>
      <c r="K15" s="12"/>
      <c r="L15" s="12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customFormat="false" ht="15.75" hidden="false" customHeight="true" outlineLevel="0" collapsed="false">
      <c r="A16" s="38" t="s">
        <v>276</v>
      </c>
      <c r="B16" s="38" t="str">
        <f aca="false" t="array" ref="B16:B16">IF(A16="","",IFERROR(INDEX('CLM &amp; IM Mapping'!$B$2:$B$270,MATCH(TRIM(A16),'CLM &amp; IM Mapping'!$A$2:$A$270,0)),"Not Mapped"))</f>
        <v>Narasimhamurthy R</v>
      </c>
      <c r="C16" s="38" t="str">
        <f aca="false" t="array" ref="C16:C16">IF(A16="","",IFERROR(INDEX('CLM &amp; IM Mapping'!$C$2:$C$270,MATCH(TRIM(A16),'CLM &amp; IM Mapping'!$A$2:$A$270,0)),"Not Mapped"))</f>
        <v>Kishor K</v>
      </c>
      <c r="D16" s="38" t="n">
        <v>997</v>
      </c>
      <c r="E16" s="38"/>
      <c r="F16" s="38"/>
      <c r="G16" s="38"/>
      <c r="H16" s="38" t="n">
        <v>997</v>
      </c>
      <c r="I16" s="38" t="n">
        <v>0</v>
      </c>
      <c r="J16" s="38" t="n">
        <v>997</v>
      </c>
      <c r="K16" s="12"/>
      <c r="L16" s="12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customFormat="false" ht="15.75" hidden="false" customHeight="true" outlineLevel="0" collapsed="false">
      <c r="A17" s="38" t="s">
        <v>38</v>
      </c>
      <c r="B17" s="38" t="str">
        <f aca="false" t="array" ref="B17:B17">IF(A17="","",IFERROR(INDEX('CLM &amp; IM Mapping'!$B$2:$B$270,MATCH(TRIM(A17),'CLM &amp; IM Mapping'!$A$2:$A$270,0)),"Not Mapped"))</f>
        <v>Adhavan Subramani</v>
      </c>
      <c r="C17" s="38" t="str">
        <f aca="false" t="array" ref="C17:C17">IF(A17="","",IFERROR(INDEX('CLM &amp; IM Mapping'!$C$2:$C$270,MATCH(TRIM(A17),'CLM &amp; IM Mapping'!$A$2:$A$270,0)),"Not Mapped"))</f>
        <v>Mohammed Akbar</v>
      </c>
      <c r="D17" s="38" t="n">
        <v>993</v>
      </c>
      <c r="E17" s="38"/>
      <c r="F17" s="38"/>
      <c r="G17" s="38"/>
      <c r="H17" s="38" t="n">
        <v>993</v>
      </c>
      <c r="I17" s="38" t="n">
        <v>0</v>
      </c>
      <c r="J17" s="38" t="n">
        <v>993</v>
      </c>
      <c r="K17" s="12"/>
      <c r="L17" s="12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customFormat="false" ht="15.75" hidden="false" customHeight="true" outlineLevel="0" collapsed="false">
      <c r="A18" s="38" t="s">
        <v>206</v>
      </c>
      <c r="B18" s="38" t="str">
        <f aca="false" t="array" ref="B18:B18">IF(A18="","",IFERROR(INDEX('CLM &amp; IM Mapping'!$B$2:$B$270,MATCH(TRIM(A18),'CLM &amp; IM Mapping'!$A$2:$A$270,0)),"Not Mapped"))</f>
        <v>Raghavendra Vernekar</v>
      </c>
      <c r="C18" s="38" t="str">
        <f aca="false" t="array" ref="C18:C18">IF(A18="","",IFERROR(INDEX('CLM &amp; IM Mapping'!$C$2:$C$270,MATCH(TRIM(A18),'CLM &amp; IM Mapping'!$A$2:$A$270,0)),"Not Mapped"))</f>
        <v>Prakash BS</v>
      </c>
      <c r="D18" s="38" t="n">
        <v>876</v>
      </c>
      <c r="E18" s="38"/>
      <c r="F18" s="38" t="n">
        <v>16</v>
      </c>
      <c r="G18" s="38"/>
      <c r="H18" s="38" t="n">
        <v>875</v>
      </c>
      <c r="I18" s="38" t="n">
        <v>17</v>
      </c>
      <c r="J18" s="38" t="n">
        <v>892</v>
      </c>
      <c r="K18" s="12"/>
      <c r="L18" s="12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customFormat="false" ht="15.75" hidden="false" customHeight="true" outlineLevel="0" collapsed="false">
      <c r="A19" s="38" t="s">
        <v>240</v>
      </c>
      <c r="B19" s="38" t="str">
        <f aca="false" t="array" ref="B19:B19">IF(A19="","",IFERROR(INDEX('CLM &amp; IM Mapping'!$B$2:$B$270,MATCH(TRIM(A19),'CLM &amp; IM Mapping'!$A$2:$A$270,0)),"Not Mapped"))</f>
        <v>Narasimhamurthy R</v>
      </c>
      <c r="C19" s="38" t="str">
        <f aca="false" t="array" ref="C19:C19">IF(A19="","",IFERROR(INDEX('CLM &amp; IM Mapping'!$C$2:$C$270,MATCH(TRIM(A19),'CLM &amp; IM Mapping'!$A$2:$A$270,0)),"Not Mapped"))</f>
        <v>Kishor K</v>
      </c>
      <c r="D19" s="38" t="n">
        <v>804</v>
      </c>
      <c r="E19" s="38"/>
      <c r="F19" s="38"/>
      <c r="G19" s="38"/>
      <c r="H19" s="38" t="n">
        <v>804</v>
      </c>
      <c r="I19" s="38" t="n">
        <v>0</v>
      </c>
      <c r="J19" s="38" t="n">
        <v>804</v>
      </c>
      <c r="K19" s="12"/>
      <c r="L19" s="12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customFormat="false" ht="15.75" hidden="false" customHeight="true" outlineLevel="0" collapsed="false">
      <c r="A20" s="38" t="s">
        <v>278</v>
      </c>
      <c r="B20" s="38" t="str">
        <f aca="false" t="array" ref="B20:B20">IF(A20="","",IFERROR(INDEX('CLM &amp; IM Mapping'!$B$2:$B$270,MATCH(TRIM(A20),'CLM &amp; IM Mapping'!$A$2:$A$270,0)),"Not Mapped"))</f>
        <v>Ravishankar gowda</v>
      </c>
      <c r="C20" s="38" t="str">
        <f aca="false" t="array" ref="C20:C20">IF(A20="","",IFERROR(INDEX('CLM &amp; IM Mapping'!$C$2:$C$270,MATCH(TRIM(A20),'CLM &amp; IM Mapping'!$A$2:$A$270,0)),"Not Mapped"))</f>
        <v>Kishor K</v>
      </c>
      <c r="D20" s="38" t="n">
        <v>622</v>
      </c>
      <c r="E20" s="38"/>
      <c r="F20" s="38"/>
      <c r="G20" s="38"/>
      <c r="H20" s="38" t="n">
        <v>622</v>
      </c>
      <c r="I20" s="38" t="n">
        <v>0</v>
      </c>
      <c r="J20" s="38" t="n">
        <v>622</v>
      </c>
      <c r="K20" s="12"/>
      <c r="L20" s="12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customFormat="false" ht="15.75" hidden="false" customHeight="true" outlineLevel="0" collapsed="false">
      <c r="A21" s="38" t="s">
        <v>169</v>
      </c>
      <c r="B21" s="38" t="str">
        <f aca="false" t="array" ref="B21:B21">IF(A21="","",IFERROR(INDEX('CLM &amp; IM Mapping'!$B$2:$B$270,MATCH(TRIM(A21),'CLM &amp; IM Mapping'!$A$2:$A$270,0)),"Not Mapped"))</f>
        <v>Arun Raj</v>
      </c>
      <c r="C21" s="38" t="str">
        <f aca="false" t="array" ref="C21:C21">IF(A21="","",IFERROR(INDEX('CLM &amp; IM Mapping'!$C$2:$C$270,MATCH(TRIM(A21),'CLM &amp; IM Mapping'!$A$2:$A$270,0)),"Not Mapped"))</f>
        <v>Simon Manoharan</v>
      </c>
      <c r="D21" s="38" t="n">
        <v>399</v>
      </c>
      <c r="E21" s="38"/>
      <c r="F21" s="38" t="n">
        <v>116</v>
      </c>
      <c r="G21" s="38" t="n">
        <v>38</v>
      </c>
      <c r="H21" s="38" t="n">
        <v>553</v>
      </c>
      <c r="I21" s="38" t="n">
        <v>0</v>
      </c>
      <c r="J21" s="38" t="n">
        <v>553</v>
      </c>
      <c r="K21" s="12"/>
      <c r="L21" s="12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customFormat="false" ht="15.75" hidden="false" customHeight="true" outlineLevel="0" collapsed="false">
      <c r="A22" s="38" t="s">
        <v>137</v>
      </c>
      <c r="B22" s="38" t="str">
        <f aca="false" t="array" ref="B22:B22">IF(A22="","",IFERROR(INDEX('CLM &amp; IM Mapping'!$B$2:$B$270,MATCH(TRIM(A22),'CLM &amp; IM Mapping'!$A$2:$A$270,0)),"Not Mapped"))</f>
        <v>Akshay P</v>
      </c>
      <c r="C22" s="38" t="str">
        <f aca="false" t="array" ref="C22:C22">IF(A22="","",IFERROR(INDEX('CLM &amp; IM Mapping'!$C$2:$C$270,MATCH(TRIM(A22),'CLM &amp; IM Mapping'!$A$2:$A$270,0)),"Not Mapped"))</f>
        <v>Srittam Dhal</v>
      </c>
      <c r="D22" s="38"/>
      <c r="E22" s="38"/>
      <c r="F22" s="38" t="n">
        <v>498</v>
      </c>
      <c r="G22" s="38" t="n">
        <v>11</v>
      </c>
      <c r="H22" s="38" t="n">
        <v>5</v>
      </c>
      <c r="I22" s="38" t="n">
        <v>504</v>
      </c>
      <c r="J22" s="38" t="n">
        <v>509</v>
      </c>
      <c r="K22" s="12"/>
      <c r="L22" s="12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customFormat="false" ht="15.75" hidden="false" customHeight="true" outlineLevel="0" collapsed="false">
      <c r="A23" s="38" t="s">
        <v>50</v>
      </c>
      <c r="B23" s="38" t="str">
        <f aca="false" t="array" ref="B23:B23">IF(A23="","",IFERROR(INDEX('CLM &amp; IM Mapping'!$B$2:$B$270,MATCH(TRIM(A23),'CLM &amp; IM Mapping'!$A$2:$A$270,0)),"Not Mapped"))</f>
        <v>Ashwath S</v>
      </c>
      <c r="C23" s="38" t="str">
        <f aca="false" t="array" ref="C23:C23">IF(A23="","",IFERROR(INDEX('CLM &amp; IM Mapping'!$C$2:$C$270,MATCH(TRIM(A23),'CLM &amp; IM Mapping'!$A$2:$A$270,0)),"Not Mapped"))</f>
        <v>Kantha Kumar</v>
      </c>
      <c r="D23" s="38"/>
      <c r="E23" s="38"/>
      <c r="F23" s="38" t="n">
        <v>500</v>
      </c>
      <c r="G23" s="38"/>
      <c r="H23" s="38" t="n">
        <v>500</v>
      </c>
      <c r="I23" s="38" t="n">
        <v>0</v>
      </c>
      <c r="J23" s="38" t="n">
        <v>500</v>
      </c>
      <c r="K23" s="12"/>
      <c r="L23" s="12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customFormat="false" ht="15.75" hidden="false" customHeight="true" outlineLevel="0" collapsed="false">
      <c r="A24" s="38" t="s">
        <v>89</v>
      </c>
      <c r="B24" s="38" t="str">
        <f aca="false" t="array" ref="B24:B24">IF(A24="","",IFERROR(INDEX('CLM &amp; IM Mapping'!$B$2:$B$270,MATCH(TRIM(A24),'CLM &amp; IM Mapping'!$A$2:$A$270,0)),"Not Mapped"))</f>
        <v>Girish N</v>
      </c>
      <c r="C24" s="38" t="str">
        <f aca="false" t="array" ref="C24:C24">IF(A24="","",IFERROR(INDEX('CLM &amp; IM Mapping'!$C$2:$C$270,MATCH(TRIM(A24),'CLM &amp; IM Mapping'!$A$2:$A$270,0)),"Not Mapped"))</f>
        <v>Un Mapped</v>
      </c>
      <c r="D24" s="38"/>
      <c r="E24" s="38"/>
      <c r="F24" s="38" t="n">
        <v>498</v>
      </c>
      <c r="G24" s="38" t="n">
        <v>1</v>
      </c>
      <c r="H24" s="38" t="n">
        <v>481</v>
      </c>
      <c r="I24" s="38" t="n">
        <v>18</v>
      </c>
      <c r="J24" s="38" t="n">
        <v>499</v>
      </c>
      <c r="K24" s="12"/>
      <c r="L24" s="12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customFormat="false" ht="15.75" hidden="false" customHeight="true" outlineLevel="0" collapsed="false">
      <c r="A25" s="38" t="s">
        <v>244</v>
      </c>
      <c r="B25" s="38" t="str">
        <f aca="false" t="array" ref="B25:B25">IF(A25="","",IFERROR(INDEX('CLM &amp; IM Mapping'!$B$2:$B$270,MATCH(TRIM(A25),'CLM &amp; IM Mapping'!$A$2:$A$270,0)),"Not Mapped"))</f>
        <v>Santhosha M</v>
      </c>
      <c r="C25" s="38" t="str">
        <f aca="false" t="array" ref="C25:C25">IF(A25="","",IFERROR(INDEX('CLM &amp; IM Mapping'!$C$2:$C$270,MATCH(TRIM(A25),'CLM &amp; IM Mapping'!$A$2:$A$270,0)),"Not Mapped"))</f>
        <v>Aravind S</v>
      </c>
      <c r="D25" s="38" t="n">
        <v>496</v>
      </c>
      <c r="E25" s="38"/>
      <c r="F25" s="38"/>
      <c r="G25" s="38"/>
      <c r="H25" s="38" t="n">
        <v>496</v>
      </c>
      <c r="I25" s="38" t="n">
        <v>0</v>
      </c>
      <c r="J25" s="38" t="n">
        <v>496</v>
      </c>
      <c r="K25" s="12"/>
      <c r="L25" s="12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customFormat="false" ht="15.75" hidden="false" customHeight="true" outlineLevel="0" collapsed="false">
      <c r="A26" s="38" t="s">
        <v>235</v>
      </c>
      <c r="B26" s="38" t="str">
        <f aca="false" t="array" ref="B26:B26">IF(A26="","",IFERROR(INDEX('CLM &amp; IM Mapping'!$B$2:$B$270,MATCH(TRIM(A26),'CLM &amp; IM Mapping'!$A$2:$A$270,0)),"Not Mapped"))</f>
        <v>Balaji G</v>
      </c>
      <c r="C26" s="38" t="str">
        <f aca="false" t="array" ref="C26:C26">IF(A26="","",IFERROR(INDEX('CLM &amp; IM Mapping'!$C$2:$C$270,MATCH(TRIM(A26),'CLM &amp; IM Mapping'!$A$2:$A$270,0)),"Not Mapped"))</f>
        <v>Mohammed Akbar</v>
      </c>
      <c r="D26" s="38" t="n">
        <v>477</v>
      </c>
      <c r="E26" s="38"/>
      <c r="F26" s="38"/>
      <c r="G26" s="38"/>
      <c r="H26" s="38" t="n">
        <v>443</v>
      </c>
      <c r="I26" s="38" t="n">
        <v>34</v>
      </c>
      <c r="J26" s="38" t="n">
        <v>477</v>
      </c>
      <c r="K26" s="12"/>
      <c r="L26" s="12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customFormat="false" ht="15.75" hidden="false" customHeight="true" outlineLevel="0" collapsed="false">
      <c r="A27" s="38" t="s">
        <v>33</v>
      </c>
      <c r="B27" s="38" t="str">
        <f aca="false" t="array" ref="B27:B27">IF(A27="","",IFERROR(INDEX('CLM &amp; IM Mapping'!$B$2:$B$270,MATCH(TRIM(A27),'CLM &amp; IM Mapping'!$A$2:$A$270,0)),"Not Mapped"))</f>
        <v>Arun Raj</v>
      </c>
      <c r="C27" s="38" t="str">
        <f aca="false" t="array" ref="C27:C27">IF(A27="","",IFERROR(INDEX('CLM &amp; IM Mapping'!$C$2:$C$270,MATCH(TRIM(A27),'CLM &amp; IM Mapping'!$A$2:$A$270,0)),"Not Mapped"))</f>
        <v>Simon Manoharan</v>
      </c>
      <c r="D27" s="38" t="n">
        <v>298</v>
      </c>
      <c r="E27" s="38"/>
      <c r="F27" s="38" t="n">
        <v>102</v>
      </c>
      <c r="G27" s="38" t="n">
        <v>34</v>
      </c>
      <c r="H27" s="38" t="n">
        <v>322</v>
      </c>
      <c r="I27" s="38" t="n">
        <v>112</v>
      </c>
      <c r="J27" s="38" t="n">
        <v>434</v>
      </c>
      <c r="K27" s="12"/>
      <c r="L27" s="12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customFormat="false" ht="15.75" hidden="false" customHeight="true" outlineLevel="0" collapsed="false">
      <c r="A28" s="38" t="s">
        <v>195</v>
      </c>
      <c r="B28" s="38" t="str">
        <f aca="false" t="array" ref="B28:B28">IF(A28="","",IFERROR(INDEX('CLM &amp; IM Mapping'!$B$2:$B$270,MATCH(TRIM(A28),'CLM &amp; IM Mapping'!$A$2:$A$270,0)),"Not Mapped"))</f>
        <v>Arun Raj</v>
      </c>
      <c r="C28" s="38" t="str">
        <f aca="false" t="array" ref="C28:C28">IF(A28="","",IFERROR(INDEX('CLM &amp; IM Mapping'!$C$2:$C$270,MATCH(TRIM(A28),'CLM &amp; IM Mapping'!$A$2:$A$270,0)),"Not Mapped"))</f>
        <v>Simon Manoharan</v>
      </c>
      <c r="D28" s="38" t="n">
        <v>300</v>
      </c>
      <c r="E28" s="38"/>
      <c r="F28" s="38" t="n">
        <v>124</v>
      </c>
      <c r="G28" s="38"/>
      <c r="H28" s="38" t="n">
        <v>300</v>
      </c>
      <c r="I28" s="38" t="n">
        <v>124</v>
      </c>
      <c r="J28" s="38" t="n">
        <v>424</v>
      </c>
      <c r="K28" s="12"/>
      <c r="L28" s="12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customFormat="false" ht="15.75" hidden="false" customHeight="true" outlineLevel="0" collapsed="false">
      <c r="A29" s="38" t="s">
        <v>198</v>
      </c>
      <c r="B29" s="38" t="str">
        <f aca="false" t="array" ref="B29:B29">IF(A29="","",IFERROR(INDEX('CLM &amp; IM Mapping'!$B$2:$B$270,MATCH(TRIM(A29),'CLM &amp; IM Mapping'!$A$2:$A$270,0)),"Not Mapped"))</f>
        <v>Arun Raj</v>
      </c>
      <c r="C29" s="38" t="str">
        <f aca="false" t="array" ref="C29:C29">IF(A29="","",IFERROR(INDEX('CLM &amp; IM Mapping'!$C$2:$C$270,MATCH(TRIM(A29),'CLM &amp; IM Mapping'!$A$2:$A$270,0)),"Not Mapped"))</f>
        <v>Simon Manoharan</v>
      </c>
      <c r="D29" s="38" t="n">
        <v>300</v>
      </c>
      <c r="E29" s="38"/>
      <c r="F29" s="38" t="n">
        <v>103</v>
      </c>
      <c r="G29" s="38" t="n">
        <v>15</v>
      </c>
      <c r="H29" s="38" t="n">
        <v>418</v>
      </c>
      <c r="I29" s="38" t="n">
        <v>0</v>
      </c>
      <c r="J29" s="38" t="n">
        <v>418</v>
      </c>
      <c r="K29" s="12"/>
      <c r="L29" s="12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customFormat="false" ht="15.75" hidden="false" customHeight="true" outlineLevel="0" collapsed="false">
      <c r="A30" s="38" t="s">
        <v>103</v>
      </c>
      <c r="B30" s="38" t="str">
        <f aca="false" t="array" ref="B30:B30">IF(A30="","",IFERROR(INDEX('CLM &amp; IM Mapping'!$B$2:$B$270,MATCH(TRIM(A30),'CLM &amp; IM Mapping'!$A$2:$A$270,0)),"Not Mapped"))</f>
        <v>Arun Raj</v>
      </c>
      <c r="C30" s="38" t="str">
        <f aca="false" t="array" ref="C30:C30">IF(A30="","",IFERROR(INDEX('CLM &amp; IM Mapping'!$C$2:$C$270,MATCH(TRIM(A30),'CLM &amp; IM Mapping'!$A$2:$A$270,0)),"Not Mapped"))</f>
        <v>Simon Manoharan</v>
      </c>
      <c r="D30" s="38" t="n">
        <v>299</v>
      </c>
      <c r="E30" s="38"/>
      <c r="F30" s="38" t="n">
        <v>117</v>
      </c>
      <c r="G30" s="38"/>
      <c r="H30" s="38" t="n">
        <v>416</v>
      </c>
      <c r="I30" s="38" t="n">
        <v>0</v>
      </c>
      <c r="J30" s="38" t="n">
        <v>416</v>
      </c>
      <c r="K30" s="12"/>
      <c r="L30" s="12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customFormat="false" ht="15.75" hidden="false" customHeight="true" outlineLevel="0" collapsed="false">
      <c r="A31" s="38" t="s">
        <v>274</v>
      </c>
      <c r="B31" s="38" t="str">
        <f aca="false" t="array" ref="B31:B31">IF(A31="","",IFERROR(INDEX('CLM &amp; IM Mapping'!$B$2:$B$270,MATCH(TRIM(A31),'CLM &amp; IM Mapping'!$A$2:$A$270,0)),"Not Mapped"))</f>
        <v>Arun Raj</v>
      </c>
      <c r="C31" s="38" t="str">
        <f aca="false" t="array" ref="C31:C31">IF(A31="","",IFERROR(INDEX('CLM &amp; IM Mapping'!$C$2:$C$270,MATCH(TRIM(A31),'CLM &amp; IM Mapping'!$A$2:$A$270,0)),"Not Mapped"))</f>
        <v>Simon Manoharan</v>
      </c>
      <c r="D31" s="38" t="n">
        <v>300</v>
      </c>
      <c r="E31" s="38"/>
      <c r="F31" s="38" t="n">
        <v>105</v>
      </c>
      <c r="G31" s="38"/>
      <c r="H31" s="38" t="n">
        <v>394</v>
      </c>
      <c r="I31" s="38" t="n">
        <v>11</v>
      </c>
      <c r="J31" s="38" t="n">
        <v>405</v>
      </c>
      <c r="K31" s="12"/>
      <c r="L31" s="12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customFormat="false" ht="15.75" hidden="false" customHeight="true" outlineLevel="0" collapsed="false">
      <c r="A32" s="38" t="s">
        <v>172</v>
      </c>
      <c r="B32" s="38" t="str">
        <f aca="false" t="array" ref="B32:B32">IF(A32="","",IFERROR(INDEX('CLM &amp; IM Mapping'!$B$2:$B$270,MATCH(TRIM(A32),'CLM &amp; IM Mapping'!$A$2:$A$270,0)),"Not Mapped"))</f>
        <v>Arun Raj</v>
      </c>
      <c r="C32" s="38" t="str">
        <f aca="false" t="array" ref="C32:C32">IF(A32="","",IFERROR(INDEX('CLM &amp; IM Mapping'!$C$2:$C$270,MATCH(TRIM(A32),'CLM &amp; IM Mapping'!$A$2:$A$270,0)),"Not Mapped"))</f>
        <v>Simon Manoharan</v>
      </c>
      <c r="D32" s="38" t="n">
        <v>300</v>
      </c>
      <c r="E32" s="38"/>
      <c r="F32" s="38" t="n">
        <v>54</v>
      </c>
      <c r="G32" s="38"/>
      <c r="H32" s="38" t="n">
        <v>274</v>
      </c>
      <c r="I32" s="38" t="n">
        <v>80</v>
      </c>
      <c r="J32" s="38" t="n">
        <v>354</v>
      </c>
      <c r="K32" s="12"/>
      <c r="L32" s="12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customFormat="false" ht="15.75" hidden="false" customHeight="true" outlineLevel="0" collapsed="false">
      <c r="A33" s="38" t="s">
        <v>25</v>
      </c>
      <c r="B33" s="38" t="str">
        <f aca="false" t="array" ref="B33:B33">IF(A33="","",IFERROR(INDEX('CLM &amp; IM Mapping'!$B$2:$B$270,MATCH(TRIM(A33),'CLM &amp; IM Mapping'!$A$2:$A$270,0)),"Not Mapped"))</f>
        <v>Arun Raj</v>
      </c>
      <c r="C33" s="38" t="str">
        <f aca="false" t="array" ref="C33:C33">IF(A33="","",IFERROR(INDEX('CLM &amp; IM Mapping'!$C$2:$C$270,MATCH(TRIM(A33),'CLM &amp; IM Mapping'!$A$2:$A$270,0)),"Not Mapped"))</f>
        <v>Simon Manoharan</v>
      </c>
      <c r="D33" s="38" t="n">
        <v>300</v>
      </c>
      <c r="E33" s="38"/>
      <c r="F33" s="38" t="n">
        <v>49</v>
      </c>
      <c r="G33" s="38"/>
      <c r="H33" s="38" t="n">
        <v>349</v>
      </c>
      <c r="I33" s="38" t="n">
        <v>0</v>
      </c>
      <c r="J33" s="38" t="n">
        <v>349</v>
      </c>
      <c r="K33" s="12"/>
      <c r="L33" s="12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customFormat="false" ht="15.75" hidden="false" customHeight="true" outlineLevel="0" collapsed="false">
      <c r="A34" s="38" t="s">
        <v>127</v>
      </c>
      <c r="B34" s="38" t="str">
        <f aca="false" t="array" ref="B34:B34">IF(A34="","",IFERROR(INDEX('CLM &amp; IM Mapping'!$B$2:$B$270,MATCH(TRIM(A34),'CLM &amp; IM Mapping'!$A$2:$A$270,0)),"Not Mapped"))</f>
        <v>Rizwan Ahmed</v>
      </c>
      <c r="C34" s="38" t="str">
        <f aca="false" t="array" ref="C34:C34">IF(A34="","",IFERROR(INDEX('CLM &amp; IM Mapping'!$C$2:$C$270,MATCH(TRIM(A34),'CLM &amp; IM Mapping'!$A$2:$A$270,0)),"Not Mapped"))</f>
        <v>Prakash BS</v>
      </c>
      <c r="D34" s="38"/>
      <c r="E34" s="38"/>
      <c r="F34" s="38" t="n">
        <v>2</v>
      </c>
      <c r="G34" s="38" t="n">
        <v>335</v>
      </c>
      <c r="H34" s="38" t="n">
        <v>337</v>
      </c>
      <c r="I34" s="38" t="n">
        <v>0</v>
      </c>
      <c r="J34" s="38" t="n">
        <v>337</v>
      </c>
      <c r="K34" s="12"/>
      <c r="L34" s="12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customFormat="false" ht="15.75" hidden="false" customHeight="true" outlineLevel="0" collapsed="false">
      <c r="A35" s="38" t="s">
        <v>211</v>
      </c>
      <c r="B35" s="38" t="str">
        <f aca="false" t="array" ref="B35:B35">IF(A35="","",IFERROR(INDEX('CLM &amp; IM Mapping'!$B$2:$B$270,MATCH(TRIM(A35),'CLM &amp; IM Mapping'!$A$2:$A$270,0)),"Not Mapped"))</f>
        <v>Arun Raj</v>
      </c>
      <c r="C35" s="38" t="str">
        <f aca="false" t="array" ref="C35:C35">IF(A35="","",IFERROR(INDEX('CLM &amp; IM Mapping'!$C$2:$C$270,MATCH(TRIM(A35),'CLM &amp; IM Mapping'!$A$2:$A$270,0)),"Not Mapped"))</f>
        <v>Simon Manoharan</v>
      </c>
      <c r="D35" s="38" t="n">
        <v>300</v>
      </c>
      <c r="E35" s="38"/>
      <c r="F35" s="38"/>
      <c r="G35" s="38" t="n">
        <v>8</v>
      </c>
      <c r="H35" s="38" t="n">
        <v>300</v>
      </c>
      <c r="I35" s="38" t="n">
        <v>8</v>
      </c>
      <c r="J35" s="38" t="n">
        <v>308</v>
      </c>
      <c r="K35" s="12"/>
      <c r="L35" s="12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customFormat="false" ht="15.75" hidden="false" customHeight="true" outlineLevel="0" collapsed="false">
      <c r="A36" s="38" t="s">
        <v>270</v>
      </c>
      <c r="B36" s="38" t="str">
        <f aca="false" t="array" ref="B36:B36">IF(A36="","",IFERROR(INDEX('CLM &amp; IM Mapping'!$B$2:$B$270,MATCH(TRIM(A36),'CLM &amp; IM Mapping'!$A$2:$A$270,0)),"Not Mapped"))</f>
        <v>Arun Raj</v>
      </c>
      <c r="C36" s="38" t="str">
        <f aca="false" t="array" ref="C36:C36">IF(A36="","",IFERROR(INDEX('CLM &amp; IM Mapping'!$C$2:$C$270,MATCH(TRIM(A36),'CLM &amp; IM Mapping'!$A$2:$A$270,0)),"Not Mapped"))</f>
        <v>Simon Manoharan</v>
      </c>
      <c r="D36" s="38" t="n">
        <v>299</v>
      </c>
      <c r="E36" s="38"/>
      <c r="F36" s="38" t="n">
        <v>7</v>
      </c>
      <c r="G36" s="38"/>
      <c r="H36" s="38" t="n">
        <v>285</v>
      </c>
      <c r="I36" s="38" t="n">
        <v>21</v>
      </c>
      <c r="J36" s="38" t="n">
        <v>306</v>
      </c>
      <c r="K36" s="12"/>
      <c r="L36" s="12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customFormat="false" ht="15.75" hidden="false" customHeight="true" outlineLevel="0" collapsed="false">
      <c r="A37" s="38" t="s">
        <v>67</v>
      </c>
      <c r="B37" s="38" t="str">
        <f aca="false" t="array" ref="B37:B37">IF(A37="","",IFERROR(INDEX('CLM &amp; IM Mapping'!$B$2:$B$270,MATCH(TRIM(A37),'CLM &amp; IM Mapping'!$A$2:$A$270,0)),"Not Mapped"))</f>
        <v>Arun Raj</v>
      </c>
      <c r="C37" s="38" t="str">
        <f aca="false" t="array" ref="C37:C37">IF(A37="","",IFERROR(INDEX('CLM &amp; IM Mapping'!$C$2:$C$270,MATCH(TRIM(A37),'CLM &amp; IM Mapping'!$A$2:$A$270,0)),"Not Mapped"))</f>
        <v>Simon Manoharan</v>
      </c>
      <c r="D37" s="38" t="n">
        <v>300</v>
      </c>
      <c r="E37" s="38"/>
      <c r="F37" s="38"/>
      <c r="G37" s="38" t="n">
        <v>5</v>
      </c>
      <c r="H37" s="38" t="n">
        <v>305</v>
      </c>
      <c r="I37" s="38" t="n">
        <v>0</v>
      </c>
      <c r="J37" s="38" t="n">
        <v>305</v>
      </c>
      <c r="K37" s="12"/>
      <c r="L37" s="12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customFormat="false" ht="15.75" hidden="false" customHeight="true" outlineLevel="0" collapsed="false">
      <c r="A38" s="38" t="s">
        <v>136</v>
      </c>
      <c r="B38" s="38" t="str">
        <f aca="false" t="array" ref="B38:B38">IF(A38="","",IFERROR(INDEX('CLM &amp; IM Mapping'!$B$2:$B$270,MATCH(TRIM(A38),'CLM &amp; IM Mapping'!$A$2:$A$270,0)),"Not Mapped"))</f>
        <v>Arun Raj</v>
      </c>
      <c r="C38" s="38" t="str">
        <f aca="false" t="array" ref="C38:C38">IF(A38="","",IFERROR(INDEX('CLM &amp; IM Mapping'!$C$2:$C$270,MATCH(TRIM(A38),'CLM &amp; IM Mapping'!$A$2:$A$270,0)),"Not Mapped"))</f>
        <v>Simon Manoharan</v>
      </c>
      <c r="D38" s="38" t="n">
        <v>300</v>
      </c>
      <c r="E38" s="38"/>
      <c r="F38" s="38" t="n">
        <v>4</v>
      </c>
      <c r="G38" s="38"/>
      <c r="H38" s="38" t="n">
        <v>300</v>
      </c>
      <c r="I38" s="38" t="n">
        <v>4</v>
      </c>
      <c r="J38" s="38" t="n">
        <v>304</v>
      </c>
      <c r="K38" s="12"/>
      <c r="L38" s="12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customFormat="false" ht="15.75" hidden="false" customHeight="true" outlineLevel="0" collapsed="false">
      <c r="A39" s="38" t="s">
        <v>252</v>
      </c>
      <c r="B39" s="38" t="str">
        <f aca="false" t="array" ref="B39:B39">IF(A39="","",IFERROR(INDEX('CLM &amp; IM Mapping'!$B$2:$B$270,MATCH(TRIM(A39),'CLM &amp; IM Mapping'!$A$2:$A$270,0)),"Not Mapped"))</f>
        <v>Arun Raj</v>
      </c>
      <c r="C39" s="38" t="str">
        <f aca="false" t="array" ref="C39:C39">IF(A39="","",IFERROR(INDEX('CLM &amp; IM Mapping'!$C$2:$C$270,MATCH(TRIM(A39),'CLM &amp; IM Mapping'!$A$2:$A$270,0)),"Not Mapped"))</f>
        <v>Simon Manoharan</v>
      </c>
      <c r="D39" s="38" t="n">
        <v>300</v>
      </c>
      <c r="E39" s="38"/>
      <c r="F39" s="38" t="n">
        <v>1</v>
      </c>
      <c r="G39" s="38"/>
      <c r="H39" s="38" t="n">
        <v>301</v>
      </c>
      <c r="I39" s="38" t="n">
        <v>0</v>
      </c>
      <c r="J39" s="38" t="n">
        <v>301</v>
      </c>
      <c r="K39" s="12"/>
      <c r="L39" s="12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customFormat="false" ht="15.75" hidden="false" customHeight="true" outlineLevel="0" collapsed="false">
      <c r="A40" s="38" t="s">
        <v>117</v>
      </c>
      <c r="B40" s="38" t="str">
        <f aca="false" t="array" ref="B40:B40">IF(A40="","",IFERROR(INDEX('CLM &amp; IM Mapping'!$B$2:$B$270,MATCH(TRIM(A40),'CLM &amp; IM Mapping'!$A$2:$A$270,0)),"Not Mapped"))</f>
        <v>Arun Raj</v>
      </c>
      <c r="C40" s="38" t="str">
        <f aca="false" t="array" ref="C40:C40">IF(A40="","",IFERROR(INDEX('CLM &amp; IM Mapping'!$C$2:$C$270,MATCH(TRIM(A40),'CLM &amp; IM Mapping'!$A$2:$A$270,0)),"Not Mapped"))</f>
        <v>Simon Manoharan</v>
      </c>
      <c r="D40" s="38" t="n">
        <v>300</v>
      </c>
      <c r="E40" s="38"/>
      <c r="F40" s="38"/>
      <c r="G40" s="38"/>
      <c r="H40" s="38" t="n">
        <v>300</v>
      </c>
      <c r="I40" s="38" t="n">
        <v>0</v>
      </c>
      <c r="J40" s="38" t="n">
        <v>300</v>
      </c>
      <c r="K40" s="12"/>
      <c r="L40" s="12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customFormat="false" ht="15.75" hidden="false" customHeight="true" outlineLevel="0" collapsed="false">
      <c r="A41" s="38" t="s">
        <v>177</v>
      </c>
      <c r="B41" s="38" t="str">
        <f aca="false" t="array" ref="B41:B41">IF(A41="","",IFERROR(INDEX('CLM &amp; IM Mapping'!$B$2:$B$270,MATCH(TRIM(A41),'CLM &amp; IM Mapping'!$A$2:$A$270,0)),"Not Mapped"))</f>
        <v>Arun Raj</v>
      </c>
      <c r="C41" s="38" t="str">
        <f aca="false" t="array" ref="C41:C41">IF(A41="","",IFERROR(INDEX('CLM &amp; IM Mapping'!$C$2:$C$270,MATCH(TRIM(A41),'CLM &amp; IM Mapping'!$A$2:$A$270,0)),"Not Mapped"))</f>
        <v>Simon Manoharan</v>
      </c>
      <c r="D41" s="38" t="n">
        <v>300</v>
      </c>
      <c r="E41" s="38"/>
      <c r="F41" s="38"/>
      <c r="G41" s="38"/>
      <c r="H41" s="38" t="n">
        <v>300</v>
      </c>
      <c r="I41" s="38" t="n">
        <v>0</v>
      </c>
      <c r="J41" s="38" t="n">
        <v>300</v>
      </c>
      <c r="K41" s="12"/>
      <c r="L41" s="12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customFormat="false" ht="15.75" hidden="false" customHeight="true" outlineLevel="0" collapsed="false">
      <c r="A42" s="38" t="s">
        <v>317</v>
      </c>
      <c r="B42" s="38" t="str">
        <f aca="false" t="array" ref="B42:B42">IF(A42="","",IFERROR(INDEX('CLM &amp; IM Mapping'!$B$2:$B$270,MATCH(TRIM(A42),'CLM &amp; IM Mapping'!$A$2:$A$270,0)),"Not Mapped"))</f>
        <v>Arun Raj</v>
      </c>
      <c r="C42" s="38" t="str">
        <f aca="false" t="array" ref="C42:C42">IF(A42="","",IFERROR(INDEX('CLM &amp; IM Mapping'!$C$2:$C$270,MATCH(TRIM(A42),'CLM &amp; IM Mapping'!$A$2:$A$270,0)),"Not Mapped"))</f>
        <v>Simon Manoharan</v>
      </c>
      <c r="D42" s="38" t="n">
        <v>300</v>
      </c>
      <c r="E42" s="38"/>
      <c r="F42" s="38"/>
      <c r="G42" s="38"/>
      <c r="H42" s="38" t="n">
        <v>300</v>
      </c>
      <c r="I42" s="38" t="n">
        <v>0</v>
      </c>
      <c r="J42" s="38" t="n">
        <v>300</v>
      </c>
      <c r="K42" s="12"/>
      <c r="L42" s="12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customFormat="false" ht="15.75" hidden="false" customHeight="true" outlineLevel="0" collapsed="false">
      <c r="A43" s="38" t="s">
        <v>106</v>
      </c>
      <c r="B43" s="38" t="str">
        <f aca="false" t="array" ref="B43:B43">IF(A43="","",IFERROR(INDEX('CLM &amp; IM Mapping'!$B$2:$B$270,MATCH(TRIM(A43),'CLM &amp; IM Mapping'!$A$2:$A$270,0)),"Not Mapped"))</f>
        <v>Vishnu V</v>
      </c>
      <c r="C43" s="38" t="str">
        <f aca="false" t="array" ref="C43:C43">IF(A43="","",IFERROR(INDEX('CLM &amp; IM Mapping'!$C$2:$C$270,MATCH(TRIM(A43),'CLM &amp; IM Mapping'!$A$2:$A$270,0)),"Not Mapped"))</f>
        <v>Arivind S</v>
      </c>
      <c r="D43" s="38" t="n">
        <v>300</v>
      </c>
      <c r="E43" s="38"/>
      <c r="F43" s="38"/>
      <c r="G43" s="38"/>
      <c r="H43" s="38" t="n">
        <v>300</v>
      </c>
      <c r="I43" s="38" t="n">
        <v>0</v>
      </c>
      <c r="J43" s="38" t="n">
        <v>300</v>
      </c>
      <c r="K43" s="12"/>
      <c r="L43" s="12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customFormat="false" ht="15.75" hidden="false" customHeight="true" outlineLevel="0" collapsed="false">
      <c r="A44" s="38" t="s">
        <v>110</v>
      </c>
      <c r="B44" s="38" t="str">
        <f aca="false" t="array" ref="B44:B44">IF(A44="","",IFERROR(INDEX('CLM &amp; IM Mapping'!$B$2:$B$270,MATCH(TRIM(A44),'CLM &amp; IM Mapping'!$A$2:$A$270,0)),"Not Mapped"))</f>
        <v>Arun Raj</v>
      </c>
      <c r="C44" s="38" t="str">
        <f aca="false" t="array" ref="C44:C44">IF(A44="","",IFERROR(INDEX('CLM &amp; IM Mapping'!$C$2:$C$270,MATCH(TRIM(A44),'CLM &amp; IM Mapping'!$A$2:$A$270,0)),"Not Mapped"))</f>
        <v>Simon Manoharan</v>
      </c>
      <c r="D44" s="38" t="n">
        <v>300</v>
      </c>
      <c r="E44" s="38"/>
      <c r="F44" s="38"/>
      <c r="G44" s="38"/>
      <c r="H44" s="38" t="n">
        <v>1</v>
      </c>
      <c r="I44" s="38" t="n">
        <v>299</v>
      </c>
      <c r="J44" s="38" t="n">
        <v>300</v>
      </c>
      <c r="K44" s="12"/>
      <c r="L44" s="12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customFormat="false" ht="15.75" hidden="false" customHeight="true" outlineLevel="0" collapsed="false">
      <c r="A45" s="38" t="s">
        <v>197</v>
      </c>
      <c r="B45" s="38" t="str">
        <f aca="false" t="array" ref="B45:B45">IF(A45="","",IFERROR(INDEX('CLM &amp; IM Mapping'!$B$2:$B$270,MATCH(TRIM(A45),'CLM &amp; IM Mapping'!$A$2:$A$270,0)),"Not Mapped"))</f>
        <v>Arun Raj</v>
      </c>
      <c r="C45" s="38" t="str">
        <f aca="false" t="array" ref="C45:C45">IF(A45="","",IFERROR(INDEX('CLM &amp; IM Mapping'!$C$2:$C$270,MATCH(TRIM(A45),'CLM &amp; IM Mapping'!$A$2:$A$270,0)),"Not Mapped"))</f>
        <v>Simon Manoharan</v>
      </c>
      <c r="D45" s="38" t="n">
        <v>299</v>
      </c>
      <c r="E45" s="38"/>
      <c r="F45" s="38"/>
      <c r="G45" s="38"/>
      <c r="H45" s="38" t="n">
        <v>299</v>
      </c>
      <c r="I45" s="38" t="n">
        <v>0</v>
      </c>
      <c r="J45" s="38" t="n">
        <v>299</v>
      </c>
      <c r="K45" s="12"/>
      <c r="L45" s="12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customFormat="false" ht="15.75" hidden="false" customHeight="true" outlineLevel="0" collapsed="false">
      <c r="A46" s="38" t="s">
        <v>81</v>
      </c>
      <c r="B46" s="38" t="str">
        <f aca="false" t="array" ref="B46:B46">IF(A46="","",IFERROR(INDEX('CLM &amp; IM Mapping'!$B$2:$B$270,MATCH(TRIM(A46),'CLM &amp; IM Mapping'!$A$2:$A$270,0)),"Not Mapped"))</f>
        <v>Arun Raj</v>
      </c>
      <c r="C46" s="38" t="str">
        <f aca="false" t="array" ref="C46:C46">IF(A46="","",IFERROR(INDEX('CLM &amp; IM Mapping'!$C$2:$C$270,MATCH(TRIM(A46),'CLM &amp; IM Mapping'!$A$2:$A$270,0)),"Not Mapped"))</f>
        <v>Simon Manoharan</v>
      </c>
      <c r="D46" s="38" t="n">
        <v>299</v>
      </c>
      <c r="E46" s="38"/>
      <c r="F46" s="38"/>
      <c r="G46" s="38"/>
      <c r="H46" s="38" t="n">
        <v>299</v>
      </c>
      <c r="I46" s="38" t="n">
        <v>0</v>
      </c>
      <c r="J46" s="38" t="n">
        <v>299</v>
      </c>
      <c r="K46" s="12"/>
      <c r="L46" s="12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customFormat="false" ht="15.75" hidden="false" customHeight="true" outlineLevel="0" collapsed="false">
      <c r="A47" s="38" t="s">
        <v>218</v>
      </c>
      <c r="B47" s="38" t="str">
        <f aca="false" t="array" ref="B47:B47">IF(A47="","",IFERROR(INDEX('CLM &amp; IM Mapping'!$B$2:$B$270,MATCH(TRIM(A47),'CLM &amp; IM Mapping'!$A$2:$A$270,0)),"Not Mapped"))</f>
        <v>Arun Raj</v>
      </c>
      <c r="C47" s="38" t="str">
        <f aca="false" t="array" ref="C47:C47">IF(A47="","",IFERROR(INDEX('CLM &amp; IM Mapping'!$C$2:$C$270,MATCH(TRIM(A47),'CLM &amp; IM Mapping'!$A$2:$A$270,0)),"Not Mapped"))</f>
        <v>Simon Manoharan</v>
      </c>
      <c r="D47" s="38" t="n">
        <v>299</v>
      </c>
      <c r="E47" s="38"/>
      <c r="F47" s="38"/>
      <c r="G47" s="38"/>
      <c r="H47" s="38" t="n">
        <v>299</v>
      </c>
      <c r="I47" s="38" t="n">
        <v>0</v>
      </c>
      <c r="J47" s="38" t="n">
        <v>299</v>
      </c>
      <c r="K47" s="12"/>
      <c r="L47" s="12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customFormat="false" ht="15.75" hidden="false" customHeight="true" outlineLevel="0" collapsed="false">
      <c r="A48" s="38" t="s">
        <v>109</v>
      </c>
      <c r="B48" s="38" t="str">
        <f aca="false" t="array" ref="B48:B48">IF(A48="","",IFERROR(INDEX('CLM &amp; IM Mapping'!$B$2:$B$270,MATCH(TRIM(A48),'CLM &amp; IM Mapping'!$A$2:$A$270,0)),"Not Mapped"))</f>
        <v>Arun Raj</v>
      </c>
      <c r="C48" s="38" t="str">
        <f aca="false" t="array" ref="C48:C48">IF(A48="","",IFERROR(INDEX('CLM &amp; IM Mapping'!$C$2:$C$270,MATCH(TRIM(A48),'CLM &amp; IM Mapping'!$A$2:$A$270,0)),"Not Mapped"))</f>
        <v>Simon Manoharan</v>
      </c>
      <c r="D48" s="38" t="n">
        <v>299</v>
      </c>
      <c r="E48" s="38"/>
      <c r="F48" s="38"/>
      <c r="G48" s="38"/>
      <c r="H48" s="38" t="n">
        <v>299</v>
      </c>
      <c r="I48" s="38" t="n">
        <v>0</v>
      </c>
      <c r="J48" s="38" t="n">
        <v>299</v>
      </c>
      <c r="K48" s="12"/>
      <c r="L48" s="12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customFormat="false" ht="15.75" hidden="false" customHeight="true" outlineLevel="0" collapsed="false">
      <c r="A49" s="38" t="s">
        <v>128</v>
      </c>
      <c r="B49" s="38" t="str">
        <f aca="false" t="array" ref="B49:B49">IF(A49="","",IFERROR(INDEX('CLM &amp; IM Mapping'!$B$2:$B$270,MATCH(TRIM(A49),'CLM &amp; IM Mapping'!$A$2:$A$270,0)),"Not Mapped"))</f>
        <v>Arun Raj</v>
      </c>
      <c r="C49" s="38" t="str">
        <f aca="false" t="array" ref="C49:C49">IF(A49="","",IFERROR(INDEX('CLM &amp; IM Mapping'!$C$2:$C$270,MATCH(TRIM(A49),'CLM &amp; IM Mapping'!$A$2:$A$270,0)),"Not Mapped"))</f>
        <v>Simon Manoharan</v>
      </c>
      <c r="D49" s="38" t="n">
        <v>298</v>
      </c>
      <c r="E49" s="38"/>
      <c r="F49" s="38"/>
      <c r="G49" s="38"/>
      <c r="H49" s="38" t="n">
        <v>298</v>
      </c>
      <c r="I49" s="38" t="n">
        <v>0</v>
      </c>
      <c r="J49" s="38" t="n">
        <v>298</v>
      </c>
      <c r="K49" s="12"/>
      <c r="L49" s="12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customFormat="false" ht="15.75" hidden="false" customHeight="true" outlineLevel="0" collapsed="false">
      <c r="A50" s="38" t="s">
        <v>23</v>
      </c>
      <c r="B50" s="38" t="str">
        <f aca="false" t="array" ref="B50:B50">IF(A50="","",IFERROR(INDEX('CLM &amp; IM Mapping'!$B$2:$B$270,MATCH(TRIM(A50),'CLM &amp; IM Mapping'!$A$2:$A$270,0)),"Not Mapped"))</f>
        <v>Arun Raj</v>
      </c>
      <c r="C50" s="38" t="str">
        <f aca="false" t="array" ref="C50:C50">IF(A50="","",IFERROR(INDEX('CLM &amp; IM Mapping'!$C$2:$C$270,MATCH(TRIM(A50),'CLM &amp; IM Mapping'!$A$2:$A$270,0)),"Not Mapped"))</f>
        <v>Simon Manoharan</v>
      </c>
      <c r="D50" s="38" t="n">
        <v>198</v>
      </c>
      <c r="E50" s="38"/>
      <c r="F50" s="38" t="n">
        <v>80</v>
      </c>
      <c r="G50" s="38" t="n">
        <v>3</v>
      </c>
      <c r="H50" s="38" t="n">
        <v>202</v>
      </c>
      <c r="I50" s="38" t="n">
        <v>79</v>
      </c>
      <c r="J50" s="38" t="n">
        <v>281</v>
      </c>
      <c r="K50" s="12"/>
      <c r="L50" s="12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customFormat="false" ht="15.75" hidden="false" customHeight="true" outlineLevel="0" collapsed="false">
      <c r="A51" s="38" t="s">
        <v>73</v>
      </c>
      <c r="B51" s="38" t="str">
        <f aca="false" t="array" ref="B51:B51">IF(A51="","",IFERROR(INDEX('CLM &amp; IM Mapping'!$B$2:$B$270,MATCH(TRIM(A51),'CLM &amp; IM Mapping'!$A$2:$A$270,0)),"Not Mapped"))</f>
        <v>Ashwath S</v>
      </c>
      <c r="C51" s="38" t="str">
        <f aca="false" t="array" ref="C51:C51">IF(A51="","",IFERROR(INDEX('CLM &amp; IM Mapping'!$C$2:$C$270,MATCH(TRIM(A51),'CLM &amp; IM Mapping'!$A$2:$A$270,0)),"Not Mapped"))</f>
        <v>Kantha Kumar</v>
      </c>
      <c r="D51" s="38"/>
      <c r="E51" s="38"/>
      <c r="F51" s="38" t="n">
        <v>8</v>
      </c>
      <c r="G51" s="38" t="n">
        <v>269</v>
      </c>
      <c r="H51" s="38" t="n">
        <v>277</v>
      </c>
      <c r="I51" s="38" t="n">
        <v>0</v>
      </c>
      <c r="J51" s="38" t="n">
        <v>277</v>
      </c>
      <c r="K51" s="12"/>
      <c r="L51" s="12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customFormat="false" ht="15.75" hidden="false" customHeight="true" outlineLevel="0" collapsed="false">
      <c r="A52" s="38" t="s">
        <v>97</v>
      </c>
      <c r="B52" s="38" t="str">
        <f aca="false" t="array" ref="B52:B52">IF(A52="","",IFERROR(INDEX('CLM &amp; IM Mapping'!$B$2:$B$270,MATCH(TRIM(A52),'CLM &amp; IM Mapping'!$A$2:$A$270,0)),"Not Mapped"))</f>
        <v>Akshay P</v>
      </c>
      <c r="C52" s="38" t="str">
        <f aca="false" t="array" ref="C52:C52">IF(A52="","",IFERROR(INDEX('CLM &amp; IM Mapping'!$C$2:$C$270,MATCH(TRIM(A52),'CLM &amp; IM Mapping'!$A$2:$A$270,0)),"Not Mapped"))</f>
        <v>Srittam Dhal</v>
      </c>
      <c r="D52" s="38"/>
      <c r="E52" s="38"/>
      <c r="F52" s="38"/>
      <c r="G52" s="38" t="n">
        <v>236</v>
      </c>
      <c r="H52" s="38" t="n">
        <v>236</v>
      </c>
      <c r="I52" s="38" t="n">
        <v>0</v>
      </c>
      <c r="J52" s="38" t="n">
        <v>236</v>
      </c>
      <c r="K52" s="12"/>
      <c r="L52" s="12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customFormat="false" ht="15.75" hidden="false" customHeight="true" outlineLevel="0" collapsed="false">
      <c r="A53" s="38" t="s">
        <v>70</v>
      </c>
      <c r="B53" s="38" t="str">
        <f aca="false" t="array" ref="B53:B53">IF(A53="","",IFERROR(INDEX('CLM &amp; IM Mapping'!$B$2:$B$270,MATCH(TRIM(A53),'CLM &amp; IM Mapping'!$A$2:$A$270,0)),"Not Mapped"))</f>
        <v>Mohaideen DH</v>
      </c>
      <c r="C53" s="38" t="str">
        <f aca="false" t="array" ref="C53:C53">IF(A53="","",IFERROR(INDEX('CLM &amp; IM Mapping'!$C$2:$C$270,MATCH(TRIM(A53),'CLM &amp; IM Mapping'!$A$2:$A$270,0)),"Not Mapped"))</f>
        <v>Mohammed Akbar</v>
      </c>
      <c r="D53" s="38"/>
      <c r="E53" s="38"/>
      <c r="F53" s="38" t="n">
        <v>13</v>
      </c>
      <c r="G53" s="38" t="n">
        <v>210</v>
      </c>
      <c r="H53" s="38" t="n">
        <v>222</v>
      </c>
      <c r="I53" s="38" t="n">
        <v>1</v>
      </c>
      <c r="J53" s="38" t="n">
        <v>223</v>
      </c>
      <c r="K53" s="12"/>
      <c r="L53" s="12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customFormat="false" ht="15.75" hidden="false" customHeight="true" outlineLevel="0" collapsed="false">
      <c r="A54" s="38" t="s">
        <v>183</v>
      </c>
      <c r="B54" s="38" t="str">
        <f aca="false" t="array" ref="B54:B54">IF(A54="","",IFERROR(INDEX('CLM &amp; IM Mapping'!$B$2:$B$270,MATCH(TRIM(A54),'CLM &amp; IM Mapping'!$A$2:$A$270,0)),"Not Mapped"))</f>
        <v>Akshay P</v>
      </c>
      <c r="C54" s="38" t="str">
        <f aca="false" t="array" ref="C54:C54">IF(A54="","",IFERROR(INDEX('CLM &amp; IM Mapping'!$C$2:$C$270,MATCH(TRIM(A54),'CLM &amp; IM Mapping'!$A$2:$A$270,0)),"Not Mapped"))</f>
        <v>Srittam Dhal</v>
      </c>
      <c r="D54" s="38"/>
      <c r="E54" s="38"/>
      <c r="F54" s="38" t="n">
        <v>17</v>
      </c>
      <c r="G54" s="38" t="n">
        <v>118</v>
      </c>
      <c r="H54" s="38" t="n">
        <v>135</v>
      </c>
      <c r="I54" s="38" t="n">
        <v>0</v>
      </c>
      <c r="J54" s="38" t="n">
        <v>135</v>
      </c>
      <c r="K54" s="12"/>
      <c r="L54" s="12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customFormat="false" ht="15.75" hidden="false" customHeight="true" outlineLevel="0" collapsed="false">
      <c r="A55" s="38" t="s">
        <v>46</v>
      </c>
      <c r="B55" s="38" t="str">
        <f aca="false" t="array" ref="B55:B55">IF(A55="","",IFERROR(INDEX('CLM &amp; IM Mapping'!$B$2:$B$270,MATCH(TRIM(A55),'CLM &amp; IM Mapping'!$A$2:$A$270,0)),"Not Mapped"))</f>
        <v>Keshav G</v>
      </c>
      <c r="C55" s="38" t="str">
        <f aca="false" t="array" ref="C55:C55">IF(A55="","",IFERROR(INDEX('CLM &amp; IM Mapping'!$C$2:$C$270,MATCH(TRIM(A55),'CLM &amp; IM Mapping'!$A$2:$A$270,0)),"Not Mapped"))</f>
        <v>Mohammed Akbar</v>
      </c>
      <c r="D55" s="38"/>
      <c r="E55" s="38"/>
      <c r="F55" s="38" t="n">
        <v>1</v>
      </c>
      <c r="G55" s="38" t="n">
        <v>129</v>
      </c>
      <c r="H55" s="38" t="n">
        <v>130</v>
      </c>
      <c r="I55" s="38" t="n">
        <v>0</v>
      </c>
      <c r="J55" s="38" t="n">
        <v>130</v>
      </c>
      <c r="K55" s="12"/>
      <c r="L55" s="12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customFormat="false" ht="15.75" hidden="false" customHeight="true" outlineLevel="0" collapsed="false">
      <c r="A56" s="38" t="s">
        <v>147</v>
      </c>
      <c r="B56" s="38" t="str">
        <f aca="false" t="array" ref="B56:B56">IF(A56="","",IFERROR(INDEX('CLM &amp; IM Mapping'!$B$2:$B$270,MATCH(TRIM(A56),'CLM &amp; IM Mapping'!$A$2:$A$270,0)),"Not Mapped"))</f>
        <v>Manjunatha V</v>
      </c>
      <c r="C56" s="38" t="str">
        <f aca="false" t="array" ref="C56:C56">IF(A56="","",IFERROR(INDEX('CLM &amp; IM Mapping'!$C$2:$C$270,MATCH(TRIM(A56),'CLM &amp; IM Mapping'!$A$2:$A$270,0)),"Not Mapped"))</f>
        <v>Un Mapped</v>
      </c>
      <c r="D56" s="38"/>
      <c r="E56" s="38"/>
      <c r="F56" s="38" t="n">
        <v>8</v>
      </c>
      <c r="G56" s="38" t="n">
        <v>87</v>
      </c>
      <c r="H56" s="38" t="n">
        <v>0</v>
      </c>
      <c r="I56" s="38" t="n">
        <v>95</v>
      </c>
      <c r="J56" s="38" t="n">
        <v>95</v>
      </c>
      <c r="K56" s="12"/>
      <c r="L56" s="12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customFormat="false" ht="15.75" hidden="false" customHeight="true" outlineLevel="0" collapsed="false">
      <c r="A57" s="38" t="s">
        <v>26</v>
      </c>
      <c r="B57" s="38" t="str">
        <f aca="false" t="array" ref="B57:B57">IF(A57="","",IFERROR(INDEX('CLM &amp; IM Mapping'!$B$2:$B$270,MATCH(TRIM(A57),'CLM &amp; IM Mapping'!$A$2:$A$270,0)),"Not Mapped"))</f>
        <v>Manoj Kj</v>
      </c>
      <c r="C57" s="38" t="str">
        <f aca="false" t="array" ref="C57:C57">IF(A57="","",IFERROR(INDEX('CLM &amp; IM Mapping'!$C$2:$C$270,MATCH(TRIM(A57),'CLM &amp; IM Mapping'!$A$2:$A$270,0)),"Not Mapped"))</f>
        <v>Srittam Dhal</v>
      </c>
      <c r="D57" s="38" t="n">
        <v>29</v>
      </c>
      <c r="E57" s="38"/>
      <c r="F57" s="38"/>
      <c r="G57" s="38" t="n">
        <v>50</v>
      </c>
      <c r="H57" s="38" t="n">
        <v>48</v>
      </c>
      <c r="I57" s="38" t="n">
        <v>31</v>
      </c>
      <c r="J57" s="38" t="n">
        <v>79</v>
      </c>
      <c r="K57" s="12"/>
      <c r="L57" s="12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customFormat="false" ht="15.75" hidden="false" customHeight="true" outlineLevel="0" collapsed="false">
      <c r="A58" s="38" t="s">
        <v>77</v>
      </c>
      <c r="B58" s="38" t="str">
        <f aca="false" t="array" ref="B58:B58">IF(A58="","",IFERROR(INDEX('CLM &amp; IM Mapping'!$B$2:$B$270,MATCH(TRIM(A58),'CLM &amp; IM Mapping'!$A$2:$A$270,0)),"Not Mapped"))</f>
        <v>Akshay P</v>
      </c>
      <c r="C58" s="38" t="str">
        <f aca="false" t="array" ref="C58:C58">IF(A58="","",IFERROR(INDEX('CLM &amp; IM Mapping'!$C$2:$C$270,MATCH(TRIM(A58),'CLM &amp; IM Mapping'!$A$2:$A$270,0)),"Not Mapped"))</f>
        <v>Srittam Dhal</v>
      </c>
      <c r="D58" s="38"/>
      <c r="E58" s="38"/>
      <c r="F58" s="38" t="n">
        <v>2</v>
      </c>
      <c r="G58" s="38" t="n">
        <v>77</v>
      </c>
      <c r="H58" s="38" t="n">
        <v>67</v>
      </c>
      <c r="I58" s="38" t="n">
        <v>12</v>
      </c>
      <c r="J58" s="38" t="n">
        <v>79</v>
      </c>
      <c r="K58" s="12"/>
      <c r="L58" s="12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customFormat="false" ht="15.75" hidden="false" customHeight="true" outlineLevel="0" collapsed="false">
      <c r="A59" s="38" t="s">
        <v>126</v>
      </c>
      <c r="B59" s="38" t="str">
        <f aca="false" t="array" ref="B59:B59">IF(A59="","",IFERROR(INDEX('CLM &amp; IM Mapping'!$B$2:$B$270,MATCH(TRIM(A59),'CLM &amp; IM Mapping'!$A$2:$A$270,0)),"Not Mapped"))</f>
        <v>Balaji G</v>
      </c>
      <c r="C59" s="38" t="str">
        <f aca="false" t="array" ref="C59:C59">IF(A59="","",IFERROR(INDEX('CLM &amp; IM Mapping'!$C$2:$C$270,MATCH(TRIM(A59),'CLM &amp; IM Mapping'!$A$2:$A$270,0)),"Not Mapped"))</f>
        <v>Mohammed Akbar</v>
      </c>
      <c r="D59" s="38"/>
      <c r="E59" s="38" t="n">
        <v>64</v>
      </c>
      <c r="F59" s="38"/>
      <c r="G59" s="38"/>
      <c r="H59" s="38" t="n">
        <v>0</v>
      </c>
      <c r="I59" s="38" t="n">
        <v>64</v>
      </c>
      <c r="J59" s="38" t="n">
        <v>64</v>
      </c>
      <c r="K59" s="12"/>
      <c r="L59" s="12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customFormat="false" ht="15.75" hidden="false" customHeight="true" outlineLevel="0" collapsed="false">
      <c r="A60" s="38" t="s">
        <v>93</v>
      </c>
      <c r="B60" s="38" t="str">
        <f aca="false" t="array" ref="B60:B60">IF(A60="","",IFERROR(INDEX('CLM &amp; IM Mapping'!$B$2:$B$270,MATCH(TRIM(A60),'CLM &amp; IM Mapping'!$A$2:$A$270,0)),"Not Mapped"))</f>
        <v>Manjunatha V</v>
      </c>
      <c r="C60" s="38" t="str">
        <f aca="false" t="array" ref="C60:C60">IF(A60="","",IFERROR(INDEX('CLM &amp; IM Mapping'!$C$2:$C$270,MATCH(TRIM(A60),'CLM &amp; IM Mapping'!$A$2:$A$270,0)),"Not Mapped"))</f>
        <v>Un Mapped</v>
      </c>
      <c r="D60" s="38"/>
      <c r="E60" s="38"/>
      <c r="F60" s="38" t="n">
        <v>15</v>
      </c>
      <c r="G60" s="38" t="n">
        <v>29</v>
      </c>
      <c r="H60" s="38" t="n">
        <v>38</v>
      </c>
      <c r="I60" s="38" t="n">
        <v>6</v>
      </c>
      <c r="J60" s="38" t="n">
        <v>44</v>
      </c>
      <c r="K60" s="12"/>
      <c r="L60" s="12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customFormat="false" ht="15.75" hidden="false" customHeight="true" outlineLevel="0" collapsed="false">
      <c r="A61" s="38" t="s">
        <v>288</v>
      </c>
      <c r="B61" s="38" t="str">
        <f aca="false" t="array" ref="B61:B61">IF(A61="","",IFERROR(INDEX('CLM &amp; IM Mapping'!$B$2:$B$270,MATCH(TRIM(A61),'CLM &amp; IM Mapping'!$A$2:$A$270,0)),"Not Mapped"))</f>
        <v>Sundaresh S</v>
      </c>
      <c r="C61" s="38" t="str">
        <f aca="false" t="array" ref="C61:C61">IF(A61="","",IFERROR(INDEX('CLM &amp; IM Mapping'!$C$2:$C$270,MATCH(TRIM(A61),'CLM &amp; IM Mapping'!$A$2:$A$270,0)),"Not Mapped"))</f>
        <v>Un Mapped</v>
      </c>
      <c r="D61" s="38"/>
      <c r="E61" s="38" t="n">
        <v>43</v>
      </c>
      <c r="F61" s="38"/>
      <c r="G61" s="38"/>
      <c r="H61" s="38" t="n">
        <v>0</v>
      </c>
      <c r="I61" s="38" t="n">
        <v>43</v>
      </c>
      <c r="J61" s="38" t="n">
        <v>43</v>
      </c>
      <c r="K61" s="12"/>
      <c r="L61" s="12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customFormat="false" ht="15.75" hidden="false" customHeight="true" outlineLevel="0" collapsed="false">
      <c r="A62" s="38" t="s">
        <v>285</v>
      </c>
      <c r="B62" s="38" t="str">
        <f aca="false" t="array" ref="B62:B62">IF(A62="","",IFERROR(INDEX('CLM &amp; IM Mapping'!$B$2:$B$270,MATCH(TRIM(A62),'CLM &amp; IM Mapping'!$A$2:$A$270,0)),"Not Mapped"))</f>
        <v>Saddam Hussain</v>
      </c>
      <c r="C62" s="38" t="str">
        <f aca="false" t="array" ref="C62:C62">IF(A62="","",IFERROR(INDEX('CLM &amp; IM Mapping'!$C$2:$C$270,MATCH(TRIM(A62),'CLM &amp; IM Mapping'!$A$2:$A$270,0)),"Not Mapped"))</f>
        <v>Un Mapped</v>
      </c>
      <c r="D62" s="38"/>
      <c r="E62" s="38"/>
      <c r="F62" s="38" t="n">
        <v>24</v>
      </c>
      <c r="G62" s="38" t="n">
        <v>18</v>
      </c>
      <c r="H62" s="38" t="n">
        <v>42</v>
      </c>
      <c r="I62" s="38" t="n">
        <v>0</v>
      </c>
      <c r="J62" s="38" t="n">
        <v>42</v>
      </c>
      <c r="K62" s="12"/>
      <c r="L62" s="12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customFormat="false" ht="15.75" hidden="false" customHeight="true" outlineLevel="0" collapsed="false">
      <c r="A63" s="38" t="s">
        <v>108</v>
      </c>
      <c r="B63" s="38" t="str">
        <f aca="false" t="array" ref="B63:B63">IF(A63="","",IFERROR(INDEX('CLM &amp; IM Mapping'!$B$2:$B$270,MATCH(TRIM(A63),'CLM &amp; IM Mapping'!$A$2:$A$270,0)),"Not Mapped"))</f>
        <v>Vijay M</v>
      </c>
      <c r="C63" s="38" t="str">
        <f aca="false" t="array" ref="C63:C63">IF(A63="","",IFERROR(INDEX('CLM &amp; IM Mapping'!$C$2:$C$270,MATCH(TRIM(A63),'CLM &amp; IM Mapping'!$A$2:$A$270,0)),"Not Mapped"))</f>
        <v>Kantha Kumar</v>
      </c>
      <c r="D63" s="38"/>
      <c r="E63" s="38"/>
      <c r="F63" s="38" t="n">
        <v>5</v>
      </c>
      <c r="G63" s="38" t="n">
        <v>27</v>
      </c>
      <c r="H63" s="38" t="n">
        <v>32</v>
      </c>
      <c r="I63" s="38" t="n">
        <v>0</v>
      </c>
      <c r="J63" s="38" t="n">
        <v>32</v>
      </c>
      <c r="K63" s="12"/>
      <c r="L63" s="12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customFormat="false" ht="15.75" hidden="false" customHeight="true" outlineLevel="0" collapsed="false">
      <c r="A64" s="38" t="s">
        <v>153</v>
      </c>
      <c r="B64" s="38" t="str">
        <f aca="false" t="array" ref="B64:B64">IF(A64="","",IFERROR(INDEX('CLM &amp; IM Mapping'!$B$2:$B$270,MATCH(TRIM(A64),'CLM &amp; IM Mapping'!$A$2:$A$270,0)),"Not Mapped"))</f>
        <v>Vishnu V</v>
      </c>
      <c r="C64" s="38" t="str">
        <f aca="false" t="array" ref="C64:C64">IF(A64="","",IFERROR(INDEX('CLM &amp; IM Mapping'!$C$2:$C$270,MATCH(TRIM(A64),'CLM &amp; IM Mapping'!$A$2:$A$270,0)),"Not Mapped"))</f>
        <v>Arivind S</v>
      </c>
      <c r="D64" s="38"/>
      <c r="E64" s="38"/>
      <c r="F64" s="38" t="n">
        <v>7</v>
      </c>
      <c r="G64" s="38" t="n">
        <v>23</v>
      </c>
      <c r="H64" s="38" t="n">
        <v>30</v>
      </c>
      <c r="I64" s="38" t="n">
        <v>0</v>
      </c>
      <c r="J64" s="38" t="n">
        <v>30</v>
      </c>
      <c r="K64" s="12"/>
      <c r="L64" s="12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customFormat="false" ht="15.75" hidden="false" customHeight="true" outlineLevel="0" collapsed="false">
      <c r="A65" s="38" t="s">
        <v>84</v>
      </c>
      <c r="B65" s="38" t="str">
        <f aca="false" t="array" ref="B65:B65">IF(A65="","",IFERROR(INDEX('CLM &amp; IM Mapping'!$B$2:$B$270,MATCH(TRIM(A65),'CLM &amp; IM Mapping'!$A$2:$A$270,0)),"Not Mapped"))</f>
        <v>Silambarasan E</v>
      </c>
      <c r="C65" s="38" t="str">
        <f aca="false" t="array" ref="C65:C65">IF(A65="","",IFERROR(INDEX('CLM &amp; IM Mapping'!$C$2:$C$270,MATCH(TRIM(A65),'CLM &amp; IM Mapping'!$A$2:$A$270,0)),"Not Mapped"))</f>
        <v>Arivind S</v>
      </c>
      <c r="D65" s="38"/>
      <c r="E65" s="38" t="n">
        <v>11</v>
      </c>
      <c r="F65" s="38" t="n">
        <v>4</v>
      </c>
      <c r="G65" s="38" t="n">
        <v>10</v>
      </c>
      <c r="H65" s="38" t="n">
        <v>0</v>
      </c>
      <c r="I65" s="38" t="n">
        <v>25</v>
      </c>
      <c r="J65" s="38" t="n">
        <v>25</v>
      </c>
      <c r="K65" s="12"/>
      <c r="L65" s="12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customFormat="false" ht="15.75" hidden="false" customHeight="true" outlineLevel="0" collapsed="false">
      <c r="A66" s="38" t="s">
        <v>142</v>
      </c>
      <c r="B66" s="38" t="str">
        <f aca="false" t="array" ref="B66:B66">IF(A66="","",IFERROR(INDEX('CLM &amp; IM Mapping'!$B$2:$B$270,MATCH(TRIM(A66),'CLM &amp; IM Mapping'!$A$2:$A$270,0)),"Not Mapped"))</f>
        <v>Balaji G</v>
      </c>
      <c r="C66" s="38" t="str">
        <f aca="false" t="array" ref="C66:C66">IF(A66="","",IFERROR(INDEX('CLM &amp; IM Mapping'!$C$2:$C$270,MATCH(TRIM(A66),'CLM &amp; IM Mapping'!$A$2:$A$270,0)),"Not Mapped"))</f>
        <v>Mohammed Akbar</v>
      </c>
      <c r="D66" s="38"/>
      <c r="E66" s="38"/>
      <c r="F66" s="38"/>
      <c r="G66" s="38" t="n">
        <v>25</v>
      </c>
      <c r="H66" s="38" t="n">
        <v>25</v>
      </c>
      <c r="I66" s="38" t="n">
        <v>0</v>
      </c>
      <c r="J66" s="38" t="n">
        <v>25</v>
      </c>
      <c r="K66" s="12"/>
      <c r="L66" s="12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customFormat="false" ht="15.75" hidden="false" customHeight="true" outlineLevel="0" collapsed="false">
      <c r="A67" s="38" t="s">
        <v>51</v>
      </c>
      <c r="B67" s="38" t="str">
        <f aca="false" t="array" ref="B67:B67">IF(A67="","",IFERROR(INDEX('CLM &amp; IM Mapping'!$B$2:$B$270,MATCH(TRIM(A67),'CLM &amp; IM Mapping'!$A$2:$A$270,0)),"Not Mapped"))</f>
        <v>Raghavendra Vernekar</v>
      </c>
      <c r="C67" s="38" t="str">
        <f aca="false" t="array" ref="C67:C67">IF(A67="","",IFERROR(INDEX('CLM &amp; IM Mapping'!$C$2:$C$270,MATCH(TRIM(A67),'CLM &amp; IM Mapping'!$A$2:$A$270,0)),"Not Mapped"))</f>
        <v>Prakash BS</v>
      </c>
      <c r="D67" s="38"/>
      <c r="E67" s="38"/>
      <c r="F67" s="38" t="n">
        <v>24</v>
      </c>
      <c r="G67" s="38"/>
      <c r="H67" s="38" t="n">
        <v>24</v>
      </c>
      <c r="I67" s="38" t="n">
        <v>0</v>
      </c>
      <c r="J67" s="38" t="n">
        <v>24</v>
      </c>
      <c r="K67" s="12"/>
      <c r="L67" s="12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customFormat="false" ht="15.75" hidden="false" customHeight="true" outlineLevel="0" collapsed="false">
      <c r="A68" s="38" t="s">
        <v>44</v>
      </c>
      <c r="B68" s="38" t="str">
        <f aca="false" t="array" ref="B68:B68">IF(A68="","",IFERROR(INDEX('CLM &amp; IM Mapping'!$B$2:$B$270,MATCH(TRIM(A68),'CLM &amp; IM Mapping'!$A$2:$A$270,0)),"Not Mapped"))</f>
        <v>Silambarasan E</v>
      </c>
      <c r="C68" s="38" t="str">
        <f aca="false" t="array" ref="C68:C68">IF(A68="","",IFERROR(INDEX('CLM &amp; IM Mapping'!$C$2:$C$270,MATCH(TRIM(A68),'CLM &amp; IM Mapping'!$A$2:$A$270,0)),"Not Mapped"))</f>
        <v>Arivind S</v>
      </c>
      <c r="D68" s="38"/>
      <c r="E68" s="38"/>
      <c r="F68" s="38" t="n">
        <v>6</v>
      </c>
      <c r="G68" s="38" t="n">
        <v>17</v>
      </c>
      <c r="H68" s="38" t="n">
        <v>6</v>
      </c>
      <c r="I68" s="38" t="n">
        <v>17</v>
      </c>
      <c r="J68" s="38" t="n">
        <v>23</v>
      </c>
      <c r="K68" s="12"/>
      <c r="L68" s="12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customFormat="false" ht="15.75" hidden="false" customHeight="true" outlineLevel="0" collapsed="false">
      <c r="A69" s="38" t="s">
        <v>279</v>
      </c>
      <c r="B69" s="38" t="str">
        <f aca="false" t="array" ref="B69:B69">IF(A69="","",IFERROR(INDEX('CLM &amp; IM Mapping'!$B$2:$B$270,MATCH(TRIM(A69),'CLM &amp; IM Mapping'!$A$2:$A$270,0)),"Not Mapped"))</f>
        <v>Manjunatha V</v>
      </c>
      <c r="C69" s="38" t="str">
        <f aca="false" t="array" ref="C69:C69">IF(A69="","",IFERROR(INDEX('CLM &amp; IM Mapping'!$C$2:$C$270,MATCH(TRIM(A69),'CLM &amp; IM Mapping'!$A$2:$A$270,0)),"Not Mapped"))</f>
        <v>Un Mapped</v>
      </c>
      <c r="D69" s="38"/>
      <c r="E69" s="38"/>
      <c r="F69" s="38" t="n">
        <v>22</v>
      </c>
      <c r="G69" s="38"/>
      <c r="H69" s="38" t="n">
        <v>22</v>
      </c>
      <c r="I69" s="38" t="n">
        <v>0</v>
      </c>
      <c r="J69" s="38" t="n">
        <v>22</v>
      </c>
      <c r="K69" s="12"/>
      <c r="L69" s="12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customFormat="false" ht="15.75" hidden="false" customHeight="true" outlineLevel="0" collapsed="false">
      <c r="A70" s="38" t="s">
        <v>34</v>
      </c>
      <c r="B70" s="38" t="str">
        <f aca="false" t="array" ref="B70:B70">IF(A70="","",IFERROR(INDEX('CLM &amp; IM Mapping'!$B$2:$B$270,MATCH(TRIM(A70),'CLM &amp; IM Mapping'!$A$2:$A$270,0)),"Not Mapped"))</f>
        <v>Richard Harris</v>
      </c>
      <c r="C70" s="38" t="str">
        <f aca="false" t="array" ref="C70:C70">IF(A70="","",IFERROR(INDEX('CLM &amp; IM Mapping'!$C$2:$C$270,MATCH(TRIM(A70),'CLM &amp; IM Mapping'!$A$2:$A$270,0)),"Not Mapped"))</f>
        <v>Kantha Kumar</v>
      </c>
      <c r="D70" s="38"/>
      <c r="E70" s="38"/>
      <c r="F70" s="38" t="n">
        <v>21</v>
      </c>
      <c r="G70" s="38"/>
      <c r="H70" s="38" t="n">
        <v>21</v>
      </c>
      <c r="I70" s="38" t="n">
        <v>0</v>
      </c>
      <c r="J70" s="38" t="n">
        <v>21</v>
      </c>
      <c r="K70" s="12"/>
      <c r="L70" s="12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customFormat="false" ht="15.75" hidden="false" customHeight="true" outlineLevel="0" collapsed="false">
      <c r="A71" s="38" t="s">
        <v>111</v>
      </c>
      <c r="B71" s="38" t="str">
        <f aca="false" t="array" ref="B71:B71">IF(A71="","",IFERROR(INDEX('CLM &amp; IM Mapping'!$B$2:$B$270,MATCH(TRIM(A71),'CLM &amp; IM Mapping'!$A$2:$A$270,0)),"Not Mapped"))</f>
        <v>Suhas N</v>
      </c>
      <c r="C71" s="38" t="str">
        <f aca="false" t="array" ref="C71:C71">IF(A71="","",IFERROR(INDEX('CLM &amp; IM Mapping'!$C$2:$C$270,MATCH(TRIM(A71),'CLM &amp; IM Mapping'!$A$2:$A$270,0)),"Not Mapped"))</f>
        <v>Aravind S</v>
      </c>
      <c r="D71" s="38"/>
      <c r="E71" s="38"/>
      <c r="F71" s="38" t="n">
        <v>19</v>
      </c>
      <c r="G71" s="38" t="n">
        <v>1</v>
      </c>
      <c r="H71" s="38" t="n">
        <v>19</v>
      </c>
      <c r="I71" s="38" t="n">
        <v>1</v>
      </c>
      <c r="J71" s="38" t="n">
        <v>20</v>
      </c>
      <c r="K71" s="12"/>
      <c r="L71" s="12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customFormat="false" ht="15.75" hidden="false" customHeight="true" outlineLevel="0" collapsed="false">
      <c r="A72" s="38" t="s">
        <v>79</v>
      </c>
      <c r="B72" s="38" t="str">
        <f aca="false" t="array" ref="B72:B72">IF(A72="","",IFERROR(INDEX('CLM &amp; IM Mapping'!$B$2:$B$270,MATCH(TRIM(A72),'CLM &amp; IM Mapping'!$A$2:$A$270,0)),"Not Mapped"))</f>
        <v>Ashwath S</v>
      </c>
      <c r="C72" s="38" t="str">
        <f aca="false" t="array" ref="C72:C72">IF(A72="","",IFERROR(INDEX('CLM &amp; IM Mapping'!$C$2:$C$270,MATCH(TRIM(A72),'CLM &amp; IM Mapping'!$A$2:$A$270,0)),"Not Mapped"))</f>
        <v>Kantha Kumar</v>
      </c>
      <c r="D72" s="38"/>
      <c r="E72" s="38"/>
      <c r="F72" s="38" t="n">
        <v>19</v>
      </c>
      <c r="G72" s="38"/>
      <c r="H72" s="38" t="n">
        <v>19</v>
      </c>
      <c r="I72" s="38" t="n">
        <v>0</v>
      </c>
      <c r="J72" s="38" t="n">
        <v>19</v>
      </c>
      <c r="K72" s="12"/>
      <c r="L72" s="12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customFormat="false" ht="15.75" hidden="false" customHeight="true" outlineLevel="0" collapsed="false">
      <c r="A73" s="38" t="s">
        <v>118</v>
      </c>
      <c r="B73" s="38" t="str">
        <f aca="false" t="array" ref="B73:B73">IF(A73="","",IFERROR(INDEX('CLM &amp; IM Mapping'!$B$2:$B$270,MATCH(TRIM(A73),'CLM &amp; IM Mapping'!$A$2:$A$270,0)),"Not Mapped"))</f>
        <v>Akshay P</v>
      </c>
      <c r="C73" s="38" t="str">
        <f aca="false" t="array" ref="C73:C73">IF(A73="","",IFERROR(INDEX('CLM &amp; IM Mapping'!$C$2:$C$270,MATCH(TRIM(A73),'CLM &amp; IM Mapping'!$A$2:$A$270,0)),"Not Mapped"))</f>
        <v>Srittam Dhal</v>
      </c>
      <c r="D73" s="38"/>
      <c r="E73" s="38"/>
      <c r="F73" s="38" t="n">
        <v>12</v>
      </c>
      <c r="G73" s="38" t="n">
        <v>7</v>
      </c>
      <c r="H73" s="38" t="n">
        <v>19</v>
      </c>
      <c r="I73" s="38" t="n">
        <v>0</v>
      </c>
      <c r="J73" s="38" t="n">
        <v>19</v>
      </c>
      <c r="K73" s="12"/>
      <c r="L73" s="12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customFormat="false" ht="15.75" hidden="false" customHeight="true" outlineLevel="0" collapsed="false">
      <c r="A74" s="38" t="s">
        <v>209</v>
      </c>
      <c r="B74" s="38" t="str">
        <f aca="false" t="array" ref="B74:B74">IF(A74="","",IFERROR(INDEX('CLM &amp; IM Mapping'!$B$2:$B$270,MATCH(TRIM(A74),'CLM &amp; IM Mapping'!$A$2:$A$270,0)),"Not Mapped"))</f>
        <v>Narasimhamurthy R</v>
      </c>
      <c r="C74" s="38" t="str">
        <f aca="false" t="array" ref="C74:C74">IF(A74="","",IFERROR(INDEX('CLM &amp; IM Mapping'!$C$2:$C$270,MATCH(TRIM(A74),'CLM &amp; IM Mapping'!$A$2:$A$270,0)),"Not Mapped"))</f>
        <v>Kishor K</v>
      </c>
      <c r="D74" s="38"/>
      <c r="E74" s="38"/>
      <c r="F74" s="38" t="n">
        <v>18</v>
      </c>
      <c r="G74" s="38"/>
      <c r="H74" s="38" t="n">
        <v>18</v>
      </c>
      <c r="I74" s="38" t="n">
        <v>0</v>
      </c>
      <c r="J74" s="38" t="n">
        <v>18</v>
      </c>
      <c r="K74" s="12"/>
      <c r="L74" s="12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customFormat="false" ht="15.75" hidden="false" customHeight="true" outlineLevel="0" collapsed="false">
      <c r="A75" s="38" t="s">
        <v>160</v>
      </c>
      <c r="B75" s="38" t="str">
        <f aca="false" t="array" ref="B75:B75">IF(A75="","",IFERROR(INDEX('CLM &amp; IM Mapping'!$B$2:$B$270,MATCH(TRIM(A75),'CLM &amp; IM Mapping'!$A$2:$A$270,0)),"Not Mapped"))</f>
        <v>Suhas N</v>
      </c>
      <c r="C75" s="38" t="str">
        <f aca="false" t="array" ref="C75:C75">IF(A75="","",IFERROR(INDEX('CLM &amp; IM Mapping'!$C$2:$C$270,MATCH(TRIM(A75),'CLM &amp; IM Mapping'!$A$2:$A$270,0)),"Not Mapped"))</f>
        <v>Aravind S</v>
      </c>
      <c r="D75" s="38"/>
      <c r="E75" s="38"/>
      <c r="F75" s="38" t="n">
        <v>17</v>
      </c>
      <c r="G75" s="38"/>
      <c r="H75" s="38" t="n">
        <v>17</v>
      </c>
      <c r="I75" s="38" t="n">
        <v>0</v>
      </c>
      <c r="J75" s="38" t="n">
        <v>17</v>
      </c>
      <c r="K75" s="12"/>
      <c r="L75" s="12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customFormat="false" ht="15.75" hidden="false" customHeight="true" outlineLevel="0" collapsed="false">
      <c r="A76" s="38" t="s">
        <v>254</v>
      </c>
      <c r="B76" s="38" t="str">
        <f aca="false" t="array" ref="B76:B76">IF(A76="","",IFERROR(INDEX('CLM &amp; IM Mapping'!$B$2:$B$270,MATCH(TRIM(A76),'CLM &amp; IM Mapping'!$A$2:$A$270,0)),"Not Mapped"))</f>
        <v>Suhas N</v>
      </c>
      <c r="C76" s="38" t="str">
        <f aca="false" t="array" ref="C76:C76">IF(A76="","",IFERROR(INDEX('CLM &amp; IM Mapping'!$C$2:$C$270,MATCH(TRIM(A76),'CLM &amp; IM Mapping'!$A$2:$A$270,0)),"Not Mapped"))</f>
        <v>Aravind S</v>
      </c>
      <c r="D76" s="38"/>
      <c r="E76" s="38"/>
      <c r="F76" s="38" t="n">
        <v>16</v>
      </c>
      <c r="G76" s="38" t="n">
        <v>1</v>
      </c>
      <c r="H76" s="38" t="n">
        <v>17</v>
      </c>
      <c r="I76" s="38" t="n">
        <v>0</v>
      </c>
      <c r="J76" s="38" t="n">
        <v>17</v>
      </c>
      <c r="K76" s="12"/>
      <c r="L76" s="12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customFormat="false" ht="15.75" hidden="false" customHeight="true" outlineLevel="0" collapsed="false">
      <c r="A77" s="38" t="s">
        <v>289</v>
      </c>
      <c r="B77" s="38" t="str">
        <f aca="false" t="array" ref="B77:B77">IF(A77="","",IFERROR(INDEX('CLM &amp; IM Mapping'!$B$2:$B$270,MATCH(TRIM(A77),'CLM &amp; IM Mapping'!$A$2:$A$270,0)),"Not Mapped"))</f>
        <v>Manoj Kj</v>
      </c>
      <c r="C77" s="38" t="str">
        <f aca="false" t="array" ref="C77:C77">IF(A77="","",IFERROR(INDEX('CLM &amp; IM Mapping'!$C$2:$C$270,MATCH(TRIM(A77),'CLM &amp; IM Mapping'!$A$2:$A$270,0)),"Not Mapped"))</f>
        <v>Srittam Dhal</v>
      </c>
      <c r="D77" s="38"/>
      <c r="E77" s="38" t="n">
        <v>16</v>
      </c>
      <c r="F77" s="38"/>
      <c r="G77" s="38"/>
      <c r="H77" s="38" t="n">
        <v>16</v>
      </c>
      <c r="I77" s="38" t="n">
        <v>0</v>
      </c>
      <c r="J77" s="38" t="n">
        <v>16</v>
      </c>
      <c r="K77" s="12"/>
      <c r="L77" s="12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customFormat="false" ht="15.75" hidden="false" customHeight="true" outlineLevel="0" collapsed="false">
      <c r="A78" s="38" t="s">
        <v>152</v>
      </c>
      <c r="B78" s="38" t="str">
        <f aca="false" t="array" ref="B78:B78">IF(A78="","",IFERROR(INDEX('CLM &amp; IM Mapping'!$B$2:$B$270,MATCH(TRIM(A78),'CLM &amp; IM Mapping'!$A$2:$A$270,0)),"Not Mapped"))</f>
        <v>Basil Scariya</v>
      </c>
      <c r="C78" s="38" t="str">
        <f aca="false" t="array" ref="C78:C78">IF(A78="","",IFERROR(INDEX('CLM &amp; IM Mapping'!$C$2:$C$270,MATCH(TRIM(A78),'CLM &amp; IM Mapping'!$A$2:$A$270,0)),"Not Mapped"))</f>
        <v>Prakash BS</v>
      </c>
      <c r="D78" s="38"/>
      <c r="E78" s="38"/>
      <c r="F78" s="38" t="n">
        <v>1</v>
      </c>
      <c r="G78" s="38" t="n">
        <v>14</v>
      </c>
      <c r="H78" s="38" t="n">
        <v>15</v>
      </c>
      <c r="I78" s="38" t="n">
        <v>0</v>
      </c>
      <c r="J78" s="38" t="n">
        <v>15</v>
      </c>
      <c r="K78" s="12"/>
      <c r="L78" s="12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customFormat="false" ht="15.75" hidden="false" customHeight="true" outlineLevel="0" collapsed="false">
      <c r="A79" s="38" t="s">
        <v>248</v>
      </c>
      <c r="B79" s="38" t="str">
        <f aca="false" t="array" ref="B79:B79">IF(A79="","",IFERROR(INDEX('CLM &amp; IM Mapping'!$B$2:$B$270,MATCH(TRIM(A79),'CLM &amp; IM Mapping'!$A$2:$A$270,0)),"Not Mapped"))</f>
        <v>Rizwan Ahmed</v>
      </c>
      <c r="C79" s="38" t="str">
        <f aca="false" t="array" ref="C79:C79">IF(A79="","",IFERROR(INDEX('CLM &amp; IM Mapping'!$C$2:$C$270,MATCH(TRIM(A79),'CLM &amp; IM Mapping'!$A$2:$A$270,0)),"Not Mapped"))</f>
        <v>Un Mapped</v>
      </c>
      <c r="D79" s="38"/>
      <c r="E79" s="38"/>
      <c r="F79" s="38" t="n">
        <v>10</v>
      </c>
      <c r="G79" s="38" t="n">
        <v>3</v>
      </c>
      <c r="H79" s="38" t="n">
        <v>11</v>
      </c>
      <c r="I79" s="38" t="n">
        <v>2</v>
      </c>
      <c r="J79" s="38" t="n">
        <v>13</v>
      </c>
      <c r="K79" s="12"/>
      <c r="L79" s="12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customFormat="false" ht="15.75" hidden="false" customHeight="true" outlineLevel="0" collapsed="false">
      <c r="A80" s="38" t="s">
        <v>226</v>
      </c>
      <c r="B80" s="38" t="str">
        <f aca="false" t="array" ref="B80:B80">IF(A80="","",IFERROR(INDEX('CLM &amp; IM Mapping'!$B$2:$B$270,MATCH(TRIM(A80),'CLM &amp; IM Mapping'!$A$2:$A$270,0)),"Not Mapped"))</f>
        <v>Ashwath S</v>
      </c>
      <c r="C80" s="38" t="str">
        <f aca="false" t="array" ref="C80:C80">IF(A80="","",IFERROR(INDEX('CLM &amp; IM Mapping'!$C$2:$C$270,MATCH(TRIM(A80),'CLM &amp; IM Mapping'!$A$2:$A$270,0)),"Not Mapped"))</f>
        <v>Kantha Kumar</v>
      </c>
      <c r="D80" s="38"/>
      <c r="E80" s="38"/>
      <c r="F80" s="38" t="n">
        <v>7</v>
      </c>
      <c r="G80" s="38" t="n">
        <v>6</v>
      </c>
      <c r="H80" s="38" t="n">
        <v>13</v>
      </c>
      <c r="I80" s="38" t="n">
        <v>0</v>
      </c>
      <c r="J80" s="38" t="n">
        <v>13</v>
      </c>
      <c r="K80" s="12"/>
      <c r="L80" s="12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customFormat="false" ht="15.75" hidden="false" customHeight="true" outlineLevel="0" collapsed="false">
      <c r="A81" s="38" t="s">
        <v>62</v>
      </c>
      <c r="B81" s="38" t="str">
        <f aca="false" t="array" ref="B81:B81">IF(A81="","",IFERROR(INDEX('CLM &amp; IM Mapping'!$B$2:$B$270,MATCH(TRIM(A81),'CLM &amp; IM Mapping'!$A$2:$A$270,0)),"Not Mapped"))</f>
        <v>Silambarasan E</v>
      </c>
      <c r="C81" s="38" t="str">
        <f aca="false" t="array" ref="C81:C81">IF(A81="","",IFERROR(INDEX('CLM &amp; IM Mapping'!$C$2:$C$270,MATCH(TRIM(A81),'CLM &amp; IM Mapping'!$A$2:$A$270,0)),"Not Mapped"))</f>
        <v>Arivind S</v>
      </c>
      <c r="D81" s="38"/>
      <c r="E81" s="38"/>
      <c r="F81" s="38"/>
      <c r="G81" s="38" t="n">
        <v>12</v>
      </c>
      <c r="H81" s="38" t="n">
        <v>0</v>
      </c>
      <c r="I81" s="38" t="n">
        <v>12</v>
      </c>
      <c r="J81" s="38" t="n">
        <v>12</v>
      </c>
      <c r="K81" s="12"/>
      <c r="L81" s="12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customFormat="false" ht="15.75" hidden="false" customHeight="true" outlineLevel="0" collapsed="false">
      <c r="A82" s="38" t="s">
        <v>164</v>
      </c>
      <c r="B82" s="38" t="str">
        <f aca="false" t="array" ref="B82:B82">IF(A82="","",IFERROR(INDEX('CLM &amp; IM Mapping'!$B$2:$B$270,MATCH(TRIM(A82),'CLM &amp; IM Mapping'!$A$2:$A$270,0)),"Not Mapped"))</f>
        <v>Akshay P</v>
      </c>
      <c r="C82" s="38" t="str">
        <f aca="false" t="array" ref="C82:C82">IF(A82="","",IFERROR(INDEX('CLM &amp; IM Mapping'!$C$2:$C$270,MATCH(TRIM(A82),'CLM &amp; IM Mapping'!$A$2:$A$270,0)),"Not Mapped"))</f>
        <v>Srittam Dhal</v>
      </c>
      <c r="D82" s="38"/>
      <c r="E82" s="38"/>
      <c r="F82" s="38" t="n">
        <v>12</v>
      </c>
      <c r="G82" s="38"/>
      <c r="H82" s="38" t="n">
        <v>0</v>
      </c>
      <c r="I82" s="38" t="n">
        <v>12</v>
      </c>
      <c r="J82" s="38" t="n">
        <v>12</v>
      </c>
      <c r="K82" s="12"/>
      <c r="L82" s="12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customFormat="false" ht="15.75" hidden="false" customHeight="true" outlineLevel="0" collapsed="false">
      <c r="A83" s="38" t="s">
        <v>157</v>
      </c>
      <c r="B83" s="38" t="str">
        <f aca="false" t="array" ref="B83:B83">IF(A83="","",IFERROR(INDEX('CLM &amp; IM Mapping'!$B$2:$B$270,MATCH(TRIM(A83),'CLM &amp; IM Mapping'!$A$2:$A$270,0)),"Not Mapped"))</f>
        <v>Ashwath S</v>
      </c>
      <c r="C83" s="38" t="str">
        <f aca="false" t="array" ref="C83:C83">IF(A83="","",IFERROR(INDEX('CLM &amp; IM Mapping'!$C$2:$C$270,MATCH(TRIM(A83),'CLM &amp; IM Mapping'!$A$2:$A$270,0)),"Not Mapped"))</f>
        <v>Kantha Kumar</v>
      </c>
      <c r="D83" s="38"/>
      <c r="E83" s="38"/>
      <c r="F83" s="38" t="n">
        <v>8</v>
      </c>
      <c r="G83" s="38" t="n">
        <v>3</v>
      </c>
      <c r="H83" s="38" t="n">
        <v>11</v>
      </c>
      <c r="I83" s="38" t="n">
        <v>0</v>
      </c>
      <c r="J83" s="38" t="n">
        <v>11</v>
      </c>
      <c r="K83" s="12"/>
      <c r="L83" s="12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customFormat="false" ht="15.75" hidden="false" customHeight="true" outlineLevel="0" collapsed="false">
      <c r="A84" s="38" t="s">
        <v>59</v>
      </c>
      <c r="B84" s="38" t="str">
        <f aca="false" t="array" ref="B84:B84">IF(A84="","",IFERROR(INDEX('CLM &amp; IM Mapping'!$B$2:$B$270,MATCH(TRIM(A84),'CLM &amp; IM Mapping'!$A$2:$A$270,0)),"Not Mapped"))</f>
        <v>Adhavan Subramani</v>
      </c>
      <c r="C84" s="38" t="str">
        <f aca="false" t="array" ref="C84:C84">IF(A84="","",IFERROR(INDEX('CLM &amp; IM Mapping'!$C$2:$C$270,MATCH(TRIM(A84),'CLM &amp; IM Mapping'!$A$2:$A$270,0)),"Not Mapped"))</f>
        <v>Mohammed Akbar</v>
      </c>
      <c r="D84" s="38"/>
      <c r="E84" s="38"/>
      <c r="F84" s="38"/>
      <c r="G84" s="38" t="n">
        <v>11</v>
      </c>
      <c r="H84" s="38" t="n">
        <v>5</v>
      </c>
      <c r="I84" s="38" t="n">
        <v>6</v>
      </c>
      <c r="J84" s="38" t="n">
        <v>11</v>
      </c>
      <c r="K84" s="12"/>
      <c r="L84" s="12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customFormat="false" ht="15.75" hidden="false" customHeight="true" outlineLevel="0" collapsed="false">
      <c r="A85" s="38" t="s">
        <v>60</v>
      </c>
      <c r="B85" s="38" t="str">
        <f aca="false" t="array" ref="B85:B85">IF(A85="","",IFERROR(INDEX('CLM &amp; IM Mapping'!$B$2:$B$270,MATCH(TRIM(A85),'CLM &amp; IM Mapping'!$A$2:$A$270,0)),"Not Mapped"))</f>
        <v>Adhavan Subramani</v>
      </c>
      <c r="C85" s="38" t="str">
        <f aca="false" t="array" ref="C85:C85">IF(A85="","",IFERROR(INDEX('CLM &amp; IM Mapping'!$C$2:$C$270,MATCH(TRIM(A85),'CLM &amp; IM Mapping'!$A$2:$A$270,0)),"Not Mapped"))</f>
        <v>Mohammed Akbar</v>
      </c>
      <c r="D85" s="38"/>
      <c r="E85" s="38"/>
      <c r="F85" s="38" t="n">
        <v>4</v>
      </c>
      <c r="G85" s="38" t="n">
        <v>7</v>
      </c>
      <c r="H85" s="38" t="n">
        <v>11</v>
      </c>
      <c r="I85" s="38" t="n">
        <v>0</v>
      </c>
      <c r="J85" s="38" t="n">
        <v>11</v>
      </c>
      <c r="K85" s="12"/>
      <c r="L85" s="12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customFormat="false" ht="15.75" hidden="false" customHeight="true" outlineLevel="0" collapsed="false">
      <c r="A86" s="38" t="s">
        <v>80</v>
      </c>
      <c r="B86" s="38" t="str">
        <f aca="false" t="array" ref="B86:B86">IF(A86="","",IFERROR(INDEX('CLM &amp; IM Mapping'!$B$2:$B$270,MATCH(TRIM(A86),'CLM &amp; IM Mapping'!$A$2:$A$270,0)),"Not Mapped"))</f>
        <v>Akshay P</v>
      </c>
      <c r="C86" s="38" t="str">
        <f aca="false" t="array" ref="C86:C86">IF(A86="","",IFERROR(INDEX('CLM &amp; IM Mapping'!$C$2:$C$270,MATCH(TRIM(A86),'CLM &amp; IM Mapping'!$A$2:$A$270,0)),"Not Mapped"))</f>
        <v>Srittam Dhal</v>
      </c>
      <c r="D86" s="38"/>
      <c r="E86" s="38"/>
      <c r="F86" s="38" t="n">
        <v>8</v>
      </c>
      <c r="G86" s="38" t="n">
        <v>2</v>
      </c>
      <c r="H86" s="38" t="n">
        <v>10</v>
      </c>
      <c r="I86" s="38" t="n">
        <v>0</v>
      </c>
      <c r="J86" s="38" t="n">
        <v>10</v>
      </c>
      <c r="K86" s="12"/>
      <c r="L86" s="12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customFormat="false" ht="15.75" hidden="false" customHeight="true" outlineLevel="0" collapsed="false">
      <c r="A87" s="38" t="s">
        <v>251</v>
      </c>
      <c r="B87" s="38" t="str">
        <f aca="false" t="array" ref="B87:B87">IF(A87="","",IFERROR(INDEX('CLM &amp; IM Mapping'!$B$2:$B$270,MATCH(TRIM(A87),'CLM &amp; IM Mapping'!$A$2:$A$270,0)),"Not Mapped"))</f>
        <v>Vijay M</v>
      </c>
      <c r="C87" s="38" t="str">
        <f aca="false" t="array" ref="C87:C87">IF(A87="","",IFERROR(INDEX('CLM &amp; IM Mapping'!$C$2:$C$270,MATCH(TRIM(A87),'CLM &amp; IM Mapping'!$A$2:$A$270,0)),"Not Mapped"))</f>
        <v>Kantha Kumar</v>
      </c>
      <c r="D87" s="38"/>
      <c r="E87" s="38" t="n">
        <v>9</v>
      </c>
      <c r="F87" s="38" t="n">
        <v>1</v>
      </c>
      <c r="G87" s="38"/>
      <c r="H87" s="38" t="n">
        <v>10</v>
      </c>
      <c r="I87" s="38" t="n">
        <v>0</v>
      </c>
      <c r="J87" s="38" t="n">
        <v>10</v>
      </c>
      <c r="K87" s="12"/>
      <c r="L87" s="12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customFormat="false" ht="15.75" hidden="false" customHeight="true" outlineLevel="0" collapsed="false">
      <c r="A88" s="38" t="s">
        <v>115</v>
      </c>
      <c r="B88" s="38" t="str">
        <f aca="false" t="array" ref="B88:B88">IF(A88="","",IFERROR(INDEX('CLM &amp; IM Mapping'!$B$2:$B$270,MATCH(TRIM(A88),'CLM &amp; IM Mapping'!$A$2:$A$270,0)),"Not Mapped"))</f>
        <v>Suhas N</v>
      </c>
      <c r="C88" s="38" t="str">
        <f aca="false" t="array" ref="C88:C88">IF(A88="","",IFERROR(INDEX('CLM &amp; IM Mapping'!$C$2:$C$270,MATCH(TRIM(A88),'CLM &amp; IM Mapping'!$A$2:$A$270,0)),"Not Mapped"))</f>
        <v>Aravind S</v>
      </c>
      <c r="D88" s="38"/>
      <c r="E88" s="38"/>
      <c r="F88" s="38" t="n">
        <v>10</v>
      </c>
      <c r="G88" s="38"/>
      <c r="H88" s="38" t="n">
        <v>0</v>
      </c>
      <c r="I88" s="38" t="n">
        <v>10</v>
      </c>
      <c r="J88" s="38" t="n">
        <v>10</v>
      </c>
      <c r="K88" s="12"/>
      <c r="L88" s="12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customFormat="false" ht="15.75" hidden="false" customHeight="true" outlineLevel="0" collapsed="false">
      <c r="A89" s="38" t="s">
        <v>148</v>
      </c>
      <c r="B89" s="38" t="str">
        <f aca="false" t="array" ref="B89:B89">IF(A89="","",IFERROR(INDEX('CLM &amp; IM Mapping'!$B$2:$B$270,MATCH(TRIM(A89),'CLM &amp; IM Mapping'!$A$2:$A$270,0)),"Not Mapped"))</f>
        <v>Narasimhamurthy R</v>
      </c>
      <c r="C89" s="38" t="str">
        <f aca="false" t="array" ref="C89:C89">IF(A89="","",IFERROR(INDEX('CLM &amp; IM Mapping'!$C$2:$C$270,MATCH(TRIM(A89),'CLM &amp; IM Mapping'!$A$2:$A$270,0)),"Not Mapped"))</f>
        <v>Kishor K</v>
      </c>
      <c r="D89" s="38"/>
      <c r="E89" s="38"/>
      <c r="F89" s="38" t="n">
        <v>8</v>
      </c>
      <c r="G89" s="38" t="n">
        <v>1</v>
      </c>
      <c r="H89" s="38" t="n">
        <v>0</v>
      </c>
      <c r="I89" s="38" t="n">
        <v>9</v>
      </c>
      <c r="J89" s="38" t="n">
        <v>9</v>
      </c>
      <c r="K89" s="12"/>
      <c r="L89" s="12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customFormat="false" ht="15.75" hidden="false" customHeight="true" outlineLevel="0" collapsed="false">
      <c r="A90" s="38" t="s">
        <v>138</v>
      </c>
      <c r="B90" s="38" t="str">
        <f aca="false" t="array" ref="B90:B90">IF(A90="","",IFERROR(INDEX('CLM &amp; IM Mapping'!$B$2:$B$270,MATCH(TRIM(A90),'CLM &amp; IM Mapping'!$A$2:$A$270,0)),"Not Mapped"))</f>
        <v>Ashwath S</v>
      </c>
      <c r="C90" s="38" t="str">
        <f aca="false" t="array" ref="C90:C90">IF(A90="","",IFERROR(INDEX('CLM &amp; IM Mapping'!$C$2:$C$270,MATCH(TRIM(A90),'CLM &amp; IM Mapping'!$A$2:$A$270,0)),"Not Mapped"))</f>
        <v>Kantha Kumar</v>
      </c>
      <c r="D90" s="38"/>
      <c r="E90" s="38"/>
      <c r="F90" s="38" t="n">
        <v>9</v>
      </c>
      <c r="G90" s="38"/>
      <c r="H90" s="38" t="n">
        <v>2</v>
      </c>
      <c r="I90" s="38" t="n">
        <v>7</v>
      </c>
      <c r="J90" s="38" t="n">
        <v>9</v>
      </c>
      <c r="K90" s="12"/>
      <c r="L90" s="12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customFormat="false" ht="15.75" hidden="false" customHeight="true" outlineLevel="0" collapsed="false">
      <c r="A91" s="38" t="s">
        <v>215</v>
      </c>
      <c r="B91" s="38" t="str">
        <f aca="false" t="array" ref="B91:B91">IF(A91="","",IFERROR(INDEX('CLM &amp; IM Mapping'!$B$2:$B$270,MATCH(TRIM(A91),'CLM &amp; IM Mapping'!$A$2:$A$270,0)),"Not Mapped"))</f>
        <v>Akshay P</v>
      </c>
      <c r="C91" s="38" t="str">
        <f aca="false" t="array" ref="C91:C91">IF(A91="","",IFERROR(INDEX('CLM &amp; IM Mapping'!$C$2:$C$270,MATCH(TRIM(A91),'CLM &amp; IM Mapping'!$A$2:$A$270,0)),"Not Mapped"))</f>
        <v>Srittam Dhal</v>
      </c>
      <c r="D91" s="38"/>
      <c r="E91" s="38" t="n">
        <v>8</v>
      </c>
      <c r="F91" s="38"/>
      <c r="G91" s="38" t="n">
        <v>1</v>
      </c>
      <c r="H91" s="38" t="n">
        <v>9</v>
      </c>
      <c r="I91" s="38" t="n">
        <v>0</v>
      </c>
      <c r="J91" s="38" t="n">
        <v>9</v>
      </c>
      <c r="K91" s="12"/>
      <c r="L91" s="12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customFormat="false" ht="15.75" hidden="false" customHeight="true" outlineLevel="0" collapsed="false">
      <c r="A92" s="38" t="s">
        <v>87</v>
      </c>
      <c r="B92" s="38" t="str">
        <f aca="false" t="array" ref="B92:B92">IF(A92="","",IFERROR(INDEX('CLM &amp; IM Mapping'!$B$2:$B$270,MATCH(TRIM(A92),'CLM &amp; IM Mapping'!$A$2:$A$270,0)),"Not Mapped"))</f>
        <v>Silambarasan E</v>
      </c>
      <c r="C92" s="38" t="str">
        <f aca="false" t="array" ref="C92:C92">IF(A92="","",IFERROR(INDEX('CLM &amp; IM Mapping'!$C$2:$C$270,MATCH(TRIM(A92),'CLM &amp; IM Mapping'!$A$2:$A$270,0)),"Not Mapped"))</f>
        <v>Arivind S</v>
      </c>
      <c r="D92" s="38"/>
      <c r="E92" s="38"/>
      <c r="F92" s="38" t="n">
        <v>8</v>
      </c>
      <c r="G92" s="38" t="n">
        <v>1</v>
      </c>
      <c r="H92" s="38" t="n">
        <v>9</v>
      </c>
      <c r="I92" s="38" t="n">
        <v>0</v>
      </c>
      <c r="J92" s="38" t="n">
        <v>9</v>
      </c>
      <c r="K92" s="12"/>
      <c r="L92" s="12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customFormat="false" ht="15.75" hidden="false" customHeight="true" outlineLevel="0" collapsed="false">
      <c r="A93" s="38" t="s">
        <v>75</v>
      </c>
      <c r="B93" s="38" t="str">
        <f aca="false" t="array" ref="B93:B93">IF(A93="","",IFERROR(INDEX('CLM &amp; IM Mapping'!$B$2:$B$270,MATCH(TRIM(A93),'CLM &amp; IM Mapping'!$A$2:$A$270,0)),"Not Mapped"))</f>
        <v>Rizwan Ahmed</v>
      </c>
      <c r="C93" s="38" t="str">
        <f aca="false" t="array" ref="C93:C93">IF(A93="","",IFERROR(INDEX('CLM &amp; IM Mapping'!$C$2:$C$270,MATCH(TRIM(A93),'CLM &amp; IM Mapping'!$A$2:$A$270,0)),"Not Mapped"))</f>
        <v>Un Mapped</v>
      </c>
      <c r="D93" s="38"/>
      <c r="E93" s="38"/>
      <c r="F93" s="38" t="n">
        <v>7</v>
      </c>
      <c r="G93" s="38" t="n">
        <v>2</v>
      </c>
      <c r="H93" s="38" t="n">
        <v>0</v>
      </c>
      <c r="I93" s="38" t="n">
        <v>9</v>
      </c>
      <c r="J93" s="38" t="n">
        <v>9</v>
      </c>
      <c r="K93" s="12"/>
      <c r="L93" s="12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customFormat="false" ht="15.75" hidden="false" customHeight="true" outlineLevel="0" collapsed="false">
      <c r="A94" s="38" t="s">
        <v>229</v>
      </c>
      <c r="B94" s="38" t="str">
        <f aca="false" t="array" ref="B94:B94">IF(A94="","",IFERROR(INDEX('CLM &amp; IM Mapping'!$B$2:$B$270,MATCH(TRIM(A94),'CLM &amp; IM Mapping'!$A$2:$A$270,0)),"Not Mapped"))</f>
        <v>John Britto</v>
      </c>
      <c r="C94" s="38" t="str">
        <f aca="false" t="array" ref="C94:C94">IF(A94="","",IFERROR(INDEX('CLM &amp; IM Mapping'!$C$2:$C$270,MATCH(TRIM(A94),'CLM &amp; IM Mapping'!$A$2:$A$270,0)),"Not Mapped"))</f>
        <v>Aravind S</v>
      </c>
      <c r="D94" s="38"/>
      <c r="E94" s="38"/>
      <c r="F94" s="38" t="n">
        <v>8</v>
      </c>
      <c r="G94" s="38"/>
      <c r="H94" s="38" t="n">
        <v>8</v>
      </c>
      <c r="I94" s="38" t="n">
        <v>0</v>
      </c>
      <c r="J94" s="38" t="n">
        <v>8</v>
      </c>
      <c r="K94" s="12"/>
      <c r="L94" s="12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customFormat="false" ht="15.75" hidden="false" customHeight="true" outlineLevel="0" collapsed="false">
      <c r="A95" s="38" t="s">
        <v>266</v>
      </c>
      <c r="B95" s="38" t="str">
        <f aca="false" t="array" ref="B95:B95">IF(A95="","",IFERROR(INDEX('CLM &amp; IM Mapping'!$B$2:$B$270,MATCH(TRIM(A95),'CLM &amp; IM Mapping'!$A$2:$A$270,0)),"Not Mapped"))</f>
        <v>Sundaresh S</v>
      </c>
      <c r="C95" s="38" t="str">
        <f aca="false" t="array" ref="C95:C95">IF(A95="","",IFERROR(INDEX('CLM &amp; IM Mapping'!$C$2:$C$270,MATCH(TRIM(A95),'CLM &amp; IM Mapping'!$A$2:$A$270,0)),"Not Mapped"))</f>
        <v>Un Mapped</v>
      </c>
      <c r="D95" s="38"/>
      <c r="E95" s="38"/>
      <c r="F95" s="38" t="n">
        <v>6</v>
      </c>
      <c r="G95" s="38" t="n">
        <v>1</v>
      </c>
      <c r="H95" s="38" t="n">
        <v>7</v>
      </c>
      <c r="I95" s="38" t="n">
        <v>0</v>
      </c>
      <c r="J95" s="38" t="n">
        <v>7</v>
      </c>
      <c r="K95" s="12"/>
      <c r="L95" s="12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customFormat="false" ht="15.75" hidden="false" customHeight="true" outlineLevel="0" collapsed="false">
      <c r="A96" s="38" t="s">
        <v>181</v>
      </c>
      <c r="B96" s="38" t="str">
        <f aca="false" t="array" ref="B96:B96">IF(A96="","",IFERROR(INDEX('CLM &amp; IM Mapping'!$B$2:$B$270,MATCH(TRIM(A96),'CLM &amp; IM Mapping'!$A$2:$A$270,0)),"Not Mapped"))</f>
        <v>Raghavendra Vernekar</v>
      </c>
      <c r="C96" s="38" t="str">
        <f aca="false" t="array" ref="C96:C96">IF(A96="","",IFERROR(INDEX('CLM &amp; IM Mapping'!$C$2:$C$270,MATCH(TRIM(A96),'CLM &amp; IM Mapping'!$A$2:$A$270,0)),"Not Mapped"))</f>
        <v>Prakash BS</v>
      </c>
      <c r="D96" s="38" t="n">
        <v>6</v>
      </c>
      <c r="E96" s="38"/>
      <c r="F96" s="38" t="n">
        <v>1</v>
      </c>
      <c r="G96" s="38"/>
      <c r="H96" s="38" t="n">
        <v>0</v>
      </c>
      <c r="I96" s="38" t="n">
        <v>7</v>
      </c>
      <c r="J96" s="38" t="n">
        <v>7</v>
      </c>
      <c r="K96" s="12"/>
      <c r="L96" s="12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customFormat="false" ht="15.75" hidden="false" customHeight="true" outlineLevel="0" collapsed="false">
      <c r="A97" s="38" t="s">
        <v>296</v>
      </c>
      <c r="B97" s="38" t="str">
        <f aca="false" t="array" ref="B97:B97">IF(A97="","",IFERROR(INDEX('CLM &amp; IM Mapping'!$B$2:$B$270,MATCH(TRIM(A97),'CLM &amp; IM Mapping'!$A$2:$A$270,0)),"Not Mapped"))</f>
        <v>Sundaresh S</v>
      </c>
      <c r="C97" s="38" t="str">
        <f aca="false" t="array" ref="C97:C97">IF(A97="","",IFERROR(INDEX('CLM &amp; IM Mapping'!$C$2:$C$270,MATCH(TRIM(A97),'CLM &amp; IM Mapping'!$A$2:$A$270,0)),"Not Mapped"))</f>
        <v>Un Mapped</v>
      </c>
      <c r="D97" s="38"/>
      <c r="E97" s="38"/>
      <c r="F97" s="38" t="n">
        <v>5</v>
      </c>
      <c r="G97" s="38" t="n">
        <v>2</v>
      </c>
      <c r="H97" s="38" t="n">
        <v>7</v>
      </c>
      <c r="I97" s="38" t="n">
        <v>0</v>
      </c>
      <c r="J97" s="38" t="n">
        <v>7</v>
      </c>
      <c r="K97" s="12"/>
      <c r="L97" s="12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customFormat="false" ht="15.75" hidden="false" customHeight="true" outlineLevel="0" collapsed="false">
      <c r="A98" s="38" t="s">
        <v>131</v>
      </c>
      <c r="B98" s="38" t="str">
        <f aca="false" t="array" ref="B98:B98">IF(A98="","",IFERROR(INDEX('CLM &amp; IM Mapping'!$B$2:$B$270,MATCH(TRIM(A98),'CLM &amp; IM Mapping'!$A$2:$A$270,0)),"Not Mapped"))</f>
        <v>Santhosha M</v>
      </c>
      <c r="C98" s="38" t="str">
        <f aca="false" t="array" ref="C98:C98">IF(A98="","",IFERROR(INDEX('CLM &amp; IM Mapping'!$C$2:$C$270,MATCH(TRIM(A98),'CLM &amp; IM Mapping'!$A$2:$A$270,0)),"Not Mapped"))</f>
        <v>Aravind S</v>
      </c>
      <c r="D98" s="38"/>
      <c r="E98" s="38"/>
      <c r="F98" s="38" t="n">
        <v>5</v>
      </c>
      <c r="G98" s="38" t="n">
        <v>2</v>
      </c>
      <c r="H98" s="38" t="n">
        <v>7</v>
      </c>
      <c r="I98" s="38" t="n">
        <v>0</v>
      </c>
      <c r="J98" s="38" t="n">
        <v>7</v>
      </c>
      <c r="K98" s="12"/>
      <c r="L98" s="12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customFormat="false" ht="15.75" hidden="false" customHeight="true" outlineLevel="0" collapsed="false">
      <c r="A99" s="38" t="s">
        <v>162</v>
      </c>
      <c r="B99" s="38" t="str">
        <f aca="false" t="array" ref="B99:B99">IF(A99="","",IFERROR(INDEX('CLM &amp; IM Mapping'!$B$2:$B$270,MATCH(TRIM(A99),'CLM &amp; IM Mapping'!$A$2:$A$270,0)),"Not Mapped"))</f>
        <v>Vijay M</v>
      </c>
      <c r="C99" s="38" t="str">
        <f aca="false" t="array" ref="C99:C99">IF(A99="","",IFERROR(INDEX('CLM &amp; IM Mapping'!$C$2:$C$270,MATCH(TRIM(A99),'CLM &amp; IM Mapping'!$A$2:$A$270,0)),"Not Mapped"))</f>
        <v>Kantha Kumar</v>
      </c>
      <c r="D99" s="38"/>
      <c r="E99" s="38"/>
      <c r="F99" s="38" t="n">
        <v>7</v>
      </c>
      <c r="G99" s="38"/>
      <c r="H99" s="38" t="n">
        <v>7</v>
      </c>
      <c r="I99" s="38" t="n">
        <v>0</v>
      </c>
      <c r="J99" s="38" t="n">
        <v>7</v>
      </c>
      <c r="K99" s="12"/>
      <c r="L99" s="12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customFormat="false" ht="15.75" hidden="false" customHeight="true" outlineLevel="0" collapsed="false">
      <c r="A100" s="38" t="s">
        <v>120</v>
      </c>
      <c r="B100" s="38" t="str">
        <f aca="false" t="array" ref="B100:B100">IF(A100="","",IFERROR(INDEX('CLM &amp; IM Mapping'!$B$2:$B$270,MATCH(TRIM(A100),'CLM &amp; IM Mapping'!$A$2:$A$270,0)),"Not Mapped"))</f>
        <v>Basil Scariya</v>
      </c>
      <c r="C100" s="38" t="str">
        <f aca="false" t="array" ref="C100:C100">IF(A100="","",IFERROR(INDEX('CLM &amp; IM Mapping'!$C$2:$C$270,MATCH(TRIM(A100),'CLM &amp; IM Mapping'!$A$2:$A$270,0)),"Not Mapped"))</f>
        <v>Prakash BS</v>
      </c>
      <c r="D100" s="38"/>
      <c r="E100" s="38"/>
      <c r="F100" s="38" t="n">
        <v>4</v>
      </c>
      <c r="G100" s="38" t="n">
        <v>2</v>
      </c>
      <c r="H100" s="38" t="n">
        <v>6</v>
      </c>
      <c r="I100" s="38" t="n">
        <v>0</v>
      </c>
      <c r="J100" s="38" t="n">
        <v>6</v>
      </c>
      <c r="K100" s="12"/>
      <c r="L100" s="12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customFormat="false" ht="15.75" hidden="false" customHeight="true" outlineLevel="0" collapsed="false">
      <c r="A101" s="38" t="s">
        <v>199</v>
      </c>
      <c r="B101" s="38" t="str">
        <f aca="false" t="array" ref="B101:B101">IF(A101="","",IFERROR(INDEX('CLM &amp; IM Mapping'!$B$2:$B$270,MATCH(TRIM(A101),'CLM &amp; IM Mapping'!$A$2:$A$270,0)),"Not Mapped"))</f>
        <v>Sundaresh S</v>
      </c>
      <c r="C101" s="38" t="str">
        <f aca="false" t="array" ref="C101:C101">IF(A101="","",IFERROR(INDEX('CLM &amp; IM Mapping'!$C$2:$C$270,MATCH(TRIM(A101),'CLM &amp; IM Mapping'!$A$2:$A$270,0)),"Not Mapped"))</f>
        <v>Un Mapped</v>
      </c>
      <c r="D101" s="38"/>
      <c r="E101" s="38"/>
      <c r="F101" s="38" t="n">
        <v>6</v>
      </c>
      <c r="G101" s="38"/>
      <c r="H101" s="38" t="n">
        <v>0</v>
      </c>
      <c r="I101" s="38" t="n">
        <v>6</v>
      </c>
      <c r="J101" s="38" t="n">
        <v>6</v>
      </c>
      <c r="K101" s="12"/>
      <c r="L101" s="12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customFormat="false" ht="15.75" hidden="false" customHeight="true" outlineLevel="0" collapsed="false">
      <c r="A102" s="38" t="s">
        <v>101</v>
      </c>
      <c r="B102" s="38" t="str">
        <f aca="false" t="array" ref="B102:B102">IF(A102="","",IFERROR(INDEX('CLM &amp; IM Mapping'!$B$2:$B$270,MATCH(TRIM(A102),'CLM &amp; IM Mapping'!$A$2:$A$270,0)),"Not Mapped"))</f>
        <v>Silambarasan E</v>
      </c>
      <c r="C102" s="38" t="str">
        <f aca="false" t="array" ref="C102:C102">IF(A102="","",IFERROR(INDEX('CLM &amp; IM Mapping'!$C$2:$C$270,MATCH(TRIM(A102),'CLM &amp; IM Mapping'!$A$2:$A$270,0)),"Not Mapped"))</f>
        <v>Arivind S</v>
      </c>
      <c r="D102" s="38"/>
      <c r="E102" s="38"/>
      <c r="F102" s="38" t="n">
        <v>6</v>
      </c>
      <c r="G102" s="38"/>
      <c r="H102" s="38" t="n">
        <v>0</v>
      </c>
      <c r="I102" s="38" t="n">
        <v>6</v>
      </c>
      <c r="J102" s="38" t="n">
        <v>6</v>
      </c>
      <c r="K102" s="12"/>
      <c r="L102" s="12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customFormat="false" ht="15.75" hidden="false" customHeight="true" outlineLevel="0" collapsed="false">
      <c r="A103" s="38" t="s">
        <v>40</v>
      </c>
      <c r="B103" s="38" t="str">
        <f aca="false" t="array" ref="B103:B103">IF(A103="","",IFERROR(INDEX('CLM &amp; IM Mapping'!$B$2:$B$270,MATCH(TRIM(A103),'CLM &amp; IM Mapping'!$A$2:$A$270,0)),"Not Mapped"))</f>
        <v>Rizwan Ahmed</v>
      </c>
      <c r="C103" s="38" t="str">
        <f aca="false" t="array" ref="C103:C103">IF(A103="","",IFERROR(INDEX('CLM &amp; IM Mapping'!$C$2:$C$270,MATCH(TRIM(A103),'CLM &amp; IM Mapping'!$A$2:$A$270,0)),"Not Mapped"))</f>
        <v>Un Mapped</v>
      </c>
      <c r="D103" s="38"/>
      <c r="E103" s="38"/>
      <c r="F103" s="38" t="n">
        <v>4</v>
      </c>
      <c r="G103" s="38" t="n">
        <v>2</v>
      </c>
      <c r="H103" s="38" t="n">
        <v>6</v>
      </c>
      <c r="I103" s="38" t="n">
        <v>0</v>
      </c>
      <c r="J103" s="38" t="n">
        <v>6</v>
      </c>
      <c r="K103" s="12"/>
      <c r="L103" s="12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customFormat="false" ht="15.75" hidden="false" customHeight="true" outlineLevel="0" collapsed="false">
      <c r="A104" s="38" t="s">
        <v>150</v>
      </c>
      <c r="B104" s="38" t="str">
        <f aca="false" t="array" ref="B104:B104">IF(A104="","",IFERROR(INDEX('CLM &amp; IM Mapping'!$B$2:$B$270,MATCH(TRIM(A104),'CLM &amp; IM Mapping'!$A$2:$A$270,0)),"Not Mapped"))</f>
        <v>Manjunatha V</v>
      </c>
      <c r="C104" s="38" t="str">
        <f aca="false" t="array" ref="C104:C104">IF(A104="","",IFERROR(INDEX('CLM &amp; IM Mapping'!$C$2:$C$270,MATCH(TRIM(A104),'CLM &amp; IM Mapping'!$A$2:$A$270,0)),"Not Mapped"))</f>
        <v>Un Mapped</v>
      </c>
      <c r="D104" s="38"/>
      <c r="E104" s="38"/>
      <c r="F104" s="38" t="n">
        <v>4</v>
      </c>
      <c r="G104" s="38" t="n">
        <v>2</v>
      </c>
      <c r="H104" s="38" t="n">
        <v>6</v>
      </c>
      <c r="I104" s="38" t="n">
        <v>0</v>
      </c>
      <c r="J104" s="38" t="n">
        <v>6</v>
      </c>
      <c r="K104" s="12"/>
      <c r="L104" s="12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customFormat="false" ht="15.75" hidden="false" customHeight="true" outlineLevel="0" collapsed="false">
      <c r="A105" s="38" t="s">
        <v>154</v>
      </c>
      <c r="B105" s="38" t="str">
        <f aca="false" t="array" ref="B105:B105">IF(A105="","",IFERROR(INDEX('CLM &amp; IM Mapping'!$B$2:$B$270,MATCH(TRIM(A105),'CLM &amp; IM Mapping'!$A$2:$A$270,0)),"Not Mapped"))</f>
        <v>Akshay P</v>
      </c>
      <c r="C105" s="38" t="str">
        <f aca="false" t="array" ref="C105:C105">IF(A105="","",IFERROR(INDEX('CLM &amp; IM Mapping'!$C$2:$C$270,MATCH(TRIM(A105),'CLM &amp; IM Mapping'!$A$2:$A$270,0)),"Not Mapped"))</f>
        <v>Srittam Dhal</v>
      </c>
      <c r="D105" s="38"/>
      <c r="E105" s="38"/>
      <c r="F105" s="38" t="n">
        <v>5</v>
      </c>
      <c r="G105" s="38"/>
      <c r="H105" s="38" t="n">
        <v>5</v>
      </c>
      <c r="I105" s="38" t="n">
        <v>0</v>
      </c>
      <c r="J105" s="38" t="n">
        <v>5</v>
      </c>
      <c r="K105" s="12"/>
      <c r="L105" s="12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customFormat="false" ht="15.75" hidden="false" customHeight="true" outlineLevel="0" collapsed="false">
      <c r="A106" s="38" t="s">
        <v>269</v>
      </c>
      <c r="B106" s="38" t="str">
        <f aca="false" t="array" ref="B106:B106">IF(A106="","",IFERROR(INDEX('CLM &amp; IM Mapping'!$B$2:$B$270,MATCH(TRIM(A106),'CLM &amp; IM Mapping'!$A$2:$A$270,0)),"Not Mapped"))</f>
        <v>Sundaresh S</v>
      </c>
      <c r="C106" s="38" t="str">
        <f aca="false" t="array" ref="C106:C106">IF(A106="","",IFERROR(INDEX('CLM &amp; IM Mapping'!$C$2:$C$270,MATCH(TRIM(A106),'CLM &amp; IM Mapping'!$A$2:$A$270,0)),"Not Mapped"))</f>
        <v>Un Mapped</v>
      </c>
      <c r="D106" s="38"/>
      <c r="E106" s="38"/>
      <c r="F106" s="38" t="n">
        <v>1</v>
      </c>
      <c r="G106" s="38" t="n">
        <v>4</v>
      </c>
      <c r="H106" s="38" t="n">
        <v>5</v>
      </c>
      <c r="I106" s="38" t="n">
        <v>0</v>
      </c>
      <c r="J106" s="38" t="n">
        <v>5</v>
      </c>
      <c r="K106" s="12"/>
      <c r="L106" s="12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customFormat="false" ht="15.75" hidden="false" customHeight="true" outlineLevel="0" collapsed="false">
      <c r="A107" s="38" t="s">
        <v>94</v>
      </c>
      <c r="B107" s="38" t="str">
        <f aca="false" t="array" ref="B107:B107">IF(A107="","",IFERROR(INDEX('CLM &amp; IM Mapping'!$B$2:$B$270,MATCH(TRIM(A107),'CLM &amp; IM Mapping'!$A$2:$A$270,0)),"Not Mapped"))</f>
        <v>Adhavan Subramani</v>
      </c>
      <c r="C107" s="38" t="str">
        <f aca="false" t="array" ref="C107:C107">IF(A107="","",IFERROR(INDEX('CLM &amp; IM Mapping'!$C$2:$C$270,MATCH(TRIM(A107),'CLM &amp; IM Mapping'!$A$2:$A$270,0)),"Not Mapped"))</f>
        <v>Mohammed Akbar</v>
      </c>
      <c r="D107" s="38"/>
      <c r="E107" s="38"/>
      <c r="F107" s="38" t="n">
        <v>5</v>
      </c>
      <c r="G107" s="38"/>
      <c r="H107" s="38" t="n">
        <v>5</v>
      </c>
      <c r="I107" s="38" t="n">
        <v>0</v>
      </c>
      <c r="J107" s="38" t="n">
        <v>5</v>
      </c>
      <c r="K107" s="12"/>
      <c r="L107" s="12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customFormat="false" ht="15.75" hidden="false" customHeight="true" outlineLevel="0" collapsed="false">
      <c r="A108" s="38" t="s">
        <v>140</v>
      </c>
      <c r="B108" s="38" t="str">
        <f aca="false" t="array" ref="B108:B108">IF(A108="","",IFERROR(INDEX('CLM &amp; IM Mapping'!$B$2:$B$270,MATCH(TRIM(A108),'CLM &amp; IM Mapping'!$A$2:$A$270,0)),"Not Mapped"))</f>
        <v>Suhas N</v>
      </c>
      <c r="C108" s="38" t="str">
        <f aca="false" t="array" ref="C108:C108">IF(A108="","",IFERROR(INDEX('CLM &amp; IM Mapping'!$C$2:$C$270,MATCH(TRIM(A108),'CLM &amp; IM Mapping'!$A$2:$A$270,0)),"Not Mapped"))</f>
        <v>Aravind S</v>
      </c>
      <c r="D108" s="38"/>
      <c r="E108" s="38"/>
      <c r="F108" s="38" t="n">
        <v>1</v>
      </c>
      <c r="G108" s="38" t="n">
        <v>3</v>
      </c>
      <c r="H108" s="38" t="n">
        <v>4</v>
      </c>
      <c r="I108" s="38" t="n">
        <v>0</v>
      </c>
      <c r="J108" s="38" t="n">
        <v>4</v>
      </c>
      <c r="K108" s="12"/>
      <c r="L108" s="12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customFormat="false" ht="15.75" hidden="false" customHeight="true" outlineLevel="0" collapsed="false">
      <c r="A109" s="38" t="s">
        <v>185</v>
      </c>
      <c r="B109" s="38" t="str">
        <f aca="false" t="array" ref="B109:B109">IF(A109="","",IFERROR(INDEX('CLM &amp; IM Mapping'!$B$2:$B$270,MATCH(TRIM(A109),'CLM &amp; IM Mapping'!$A$2:$A$270,0)),"Not Mapped"))</f>
        <v>Not Mapped</v>
      </c>
      <c r="C109" s="38" t="str">
        <f aca="false" t="array" ref="C109:C109">IF(A109="","",IFERROR(INDEX('CLM &amp; IM Mapping'!$C$2:$C$270,MATCH(TRIM(A109),'CLM &amp; IM Mapping'!$A$2:$A$270,0)),"Not Mapped"))</f>
        <v>Not Mapped</v>
      </c>
      <c r="D109" s="38"/>
      <c r="E109" s="38"/>
      <c r="F109" s="38" t="n">
        <v>3</v>
      </c>
      <c r="G109" s="38" t="n">
        <v>1</v>
      </c>
      <c r="H109" s="38" t="n">
        <v>4</v>
      </c>
      <c r="I109" s="38" t="n">
        <v>0</v>
      </c>
      <c r="J109" s="38" t="n">
        <v>4</v>
      </c>
      <c r="K109" s="12"/>
      <c r="L109" s="12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customFormat="false" ht="15.75" hidden="false" customHeight="true" outlineLevel="0" collapsed="false">
      <c r="A110" s="38" t="s">
        <v>182</v>
      </c>
      <c r="B110" s="38" t="str">
        <f aca="false" t="array" ref="B110:B110">IF(A110="","",IFERROR(INDEX('CLM &amp; IM Mapping'!$B$2:$B$270,MATCH(TRIM(A110),'CLM &amp; IM Mapping'!$A$2:$A$270,0)),"Not Mapped"))</f>
        <v>Raghavendra Vernekar</v>
      </c>
      <c r="C110" s="38" t="str">
        <f aca="false" t="array" ref="C110:C110">IF(A110="","",IFERROR(INDEX('CLM &amp; IM Mapping'!$C$2:$C$270,MATCH(TRIM(A110),'CLM &amp; IM Mapping'!$A$2:$A$270,0)),"Not Mapped"))</f>
        <v>Prakash BS</v>
      </c>
      <c r="D110" s="38"/>
      <c r="E110" s="38"/>
      <c r="F110" s="38" t="n">
        <v>4</v>
      </c>
      <c r="G110" s="38"/>
      <c r="H110" s="38" t="n">
        <v>4</v>
      </c>
      <c r="I110" s="38" t="n">
        <v>0</v>
      </c>
      <c r="J110" s="38" t="n">
        <v>4</v>
      </c>
      <c r="K110" s="12"/>
      <c r="L110" s="12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customFormat="false" ht="15.75" hidden="false" customHeight="true" outlineLevel="0" collapsed="false">
      <c r="A111" s="38" t="s">
        <v>179</v>
      </c>
      <c r="B111" s="38" t="str">
        <f aca="false" t="array" ref="B111:B111">IF(A111="","",IFERROR(INDEX('CLM &amp; IM Mapping'!$B$2:$B$270,MATCH(TRIM(A111),'CLM &amp; IM Mapping'!$A$2:$A$270,0)),"Not Mapped"))</f>
        <v>Santhosha M</v>
      </c>
      <c r="C111" s="38" t="str">
        <f aca="false" t="array" ref="C111:C111">IF(A111="","",IFERROR(INDEX('CLM &amp; IM Mapping'!$C$2:$C$270,MATCH(TRIM(A111),'CLM &amp; IM Mapping'!$A$2:$A$270,0)),"Not Mapped"))</f>
        <v>Aravind S</v>
      </c>
      <c r="D111" s="38"/>
      <c r="E111" s="38"/>
      <c r="F111" s="38" t="n">
        <v>3</v>
      </c>
      <c r="G111" s="38" t="n">
        <v>1</v>
      </c>
      <c r="H111" s="38" t="n">
        <v>0</v>
      </c>
      <c r="I111" s="38" t="n">
        <v>4</v>
      </c>
      <c r="J111" s="38" t="n">
        <v>4</v>
      </c>
      <c r="K111" s="12"/>
      <c r="L111" s="12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customFormat="false" ht="15.75" hidden="false" customHeight="true" outlineLevel="0" collapsed="false">
      <c r="A112" s="38" t="s">
        <v>113</v>
      </c>
      <c r="B112" s="38" t="str">
        <f aca="false" t="array" ref="B112:B112">IF(A112="","",IFERROR(INDEX('CLM &amp; IM Mapping'!$B$2:$B$270,MATCH(TRIM(A112),'CLM &amp; IM Mapping'!$A$2:$A$270,0)),"Not Mapped"))</f>
        <v>Suhas N</v>
      </c>
      <c r="C112" s="38" t="str">
        <f aca="false" t="array" ref="C112:C112">IF(A112="","",IFERROR(INDEX('CLM &amp; IM Mapping'!$C$2:$C$270,MATCH(TRIM(A112),'CLM &amp; IM Mapping'!$A$2:$A$270,0)),"Not Mapped"))</f>
        <v>Aravind S</v>
      </c>
      <c r="D112" s="38"/>
      <c r="E112" s="38"/>
      <c r="F112" s="38"/>
      <c r="G112" s="38" t="n">
        <v>3</v>
      </c>
      <c r="H112" s="38" t="n">
        <v>0</v>
      </c>
      <c r="I112" s="38" t="n">
        <v>3</v>
      </c>
      <c r="J112" s="38" t="n">
        <v>3</v>
      </c>
      <c r="K112" s="12"/>
      <c r="L112" s="12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customFormat="false" ht="15.75" hidden="false" customHeight="true" outlineLevel="0" collapsed="false">
      <c r="A113" s="38" t="s">
        <v>37</v>
      </c>
      <c r="B113" s="38" t="str">
        <f aca="false" t="array" ref="B113:B113">IF(A113="","",IFERROR(INDEX('CLM &amp; IM Mapping'!$B$2:$B$270,MATCH(TRIM(A113),'CLM &amp; IM Mapping'!$A$2:$A$270,0)),"Not Mapped"))</f>
        <v>Basil Scariya</v>
      </c>
      <c r="C113" s="38" t="str">
        <f aca="false" t="array" ref="C113:C113">IF(A113="","",IFERROR(INDEX('CLM &amp; IM Mapping'!$C$2:$C$270,MATCH(TRIM(A113),'CLM &amp; IM Mapping'!$A$2:$A$270,0)),"Not Mapped"))</f>
        <v>Prakash BS</v>
      </c>
      <c r="D113" s="38"/>
      <c r="E113" s="38"/>
      <c r="F113" s="38"/>
      <c r="G113" s="38" t="n">
        <v>3</v>
      </c>
      <c r="H113" s="38" t="n">
        <v>0</v>
      </c>
      <c r="I113" s="38" t="n">
        <v>3</v>
      </c>
      <c r="J113" s="38" t="n">
        <v>3</v>
      </c>
      <c r="K113" s="12"/>
      <c r="L113" s="12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customFormat="false" ht="15.75" hidden="false" customHeight="true" outlineLevel="0" collapsed="false">
      <c r="A114" s="38" t="s">
        <v>68</v>
      </c>
      <c r="B114" s="38" t="str">
        <f aca="false" t="array" ref="B114:B114">IF(A114="","",IFERROR(INDEX('CLM &amp; IM Mapping'!$B$2:$B$270,MATCH(TRIM(A114),'CLM &amp; IM Mapping'!$A$2:$A$270,0)),"Not Mapped"))</f>
        <v>Mohaideen DH</v>
      </c>
      <c r="C114" s="38" t="str">
        <f aca="false" t="array" ref="C114:C114">IF(A114="","",IFERROR(INDEX('CLM &amp; IM Mapping'!$C$2:$C$270,MATCH(TRIM(A114),'CLM &amp; IM Mapping'!$A$2:$A$270,0)),"Not Mapped"))</f>
        <v>Mohammed Akbar</v>
      </c>
      <c r="D114" s="38"/>
      <c r="E114" s="38"/>
      <c r="F114" s="38" t="n">
        <v>3</v>
      </c>
      <c r="G114" s="38"/>
      <c r="H114" s="38" t="n">
        <v>3</v>
      </c>
      <c r="I114" s="38" t="n">
        <v>0</v>
      </c>
      <c r="J114" s="38" t="n">
        <v>3</v>
      </c>
      <c r="K114" s="12"/>
      <c r="L114" s="12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customFormat="false" ht="15.75" hidden="false" customHeight="true" outlineLevel="0" collapsed="false">
      <c r="A115" s="38" t="s">
        <v>95</v>
      </c>
      <c r="B115" s="38" t="str">
        <f aca="false" t="array" ref="B115:B115">IF(A115="","",IFERROR(INDEX('CLM &amp; IM Mapping'!$B$2:$B$270,MATCH(TRIM(A115),'CLM &amp; IM Mapping'!$A$2:$A$270,0)),"Not Mapped"))</f>
        <v>Suhas N</v>
      </c>
      <c r="C115" s="38" t="str">
        <f aca="false" t="array" ref="C115:C115">IF(A115="","",IFERROR(INDEX('CLM &amp; IM Mapping'!$C$2:$C$270,MATCH(TRIM(A115),'CLM &amp; IM Mapping'!$A$2:$A$270,0)),"Not Mapped"))</f>
        <v>Aravind S</v>
      </c>
      <c r="D115" s="38"/>
      <c r="E115" s="38"/>
      <c r="F115" s="38" t="n">
        <v>3</v>
      </c>
      <c r="G115" s="38"/>
      <c r="H115" s="38" t="n">
        <v>3</v>
      </c>
      <c r="I115" s="38" t="n">
        <v>0</v>
      </c>
      <c r="J115" s="38" t="n">
        <v>3</v>
      </c>
      <c r="K115" s="12"/>
      <c r="L115" s="12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customFormat="false" ht="15.75" hidden="false" customHeight="true" outlineLevel="0" collapsed="false">
      <c r="A116" s="38" t="s">
        <v>205</v>
      </c>
      <c r="B116" s="38" t="str">
        <f aca="false" t="array" ref="B116:B116">IF(A116="","",IFERROR(INDEX('CLM &amp; IM Mapping'!$B$2:$B$270,MATCH(TRIM(A116),'CLM &amp; IM Mapping'!$A$2:$A$270,0)),"Not Mapped"))</f>
        <v>Akshay P</v>
      </c>
      <c r="C116" s="38" t="str">
        <f aca="false" t="array" ref="C116:C116">IF(A116="","",IFERROR(INDEX('CLM &amp; IM Mapping'!$C$2:$C$270,MATCH(TRIM(A116),'CLM &amp; IM Mapping'!$A$2:$A$270,0)),"Not Mapped"))</f>
        <v>Srittam Dhal</v>
      </c>
      <c r="D116" s="38"/>
      <c r="E116" s="38"/>
      <c r="F116" s="38"/>
      <c r="G116" s="38" t="n">
        <v>2</v>
      </c>
      <c r="H116" s="38" t="n">
        <v>2</v>
      </c>
      <c r="I116" s="38" t="n">
        <v>0</v>
      </c>
      <c r="J116" s="38" t="n">
        <v>2</v>
      </c>
      <c r="K116" s="12"/>
      <c r="L116" s="12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customFormat="false" ht="15.75" hidden="false" customHeight="true" outlineLevel="0" collapsed="false">
      <c r="A117" s="38" t="s">
        <v>64</v>
      </c>
      <c r="B117" s="38" t="str">
        <f aca="false" t="array" ref="B117:B117">IF(A117="","",IFERROR(INDEX('CLM &amp; IM Mapping'!$B$2:$B$270,MATCH(TRIM(A117),'CLM &amp; IM Mapping'!$A$2:$A$270,0)),"Not Mapped"))</f>
        <v>Ashwath S</v>
      </c>
      <c r="C117" s="38" t="str">
        <f aca="false" t="array" ref="C117:C117">IF(A117="","",IFERROR(INDEX('CLM &amp; IM Mapping'!$C$2:$C$270,MATCH(TRIM(A117),'CLM &amp; IM Mapping'!$A$2:$A$270,0)),"Not Mapped"))</f>
        <v>Kantha Kumar</v>
      </c>
      <c r="D117" s="38"/>
      <c r="E117" s="38"/>
      <c r="F117" s="38" t="n">
        <v>2</v>
      </c>
      <c r="G117" s="38"/>
      <c r="H117" s="38" t="n">
        <v>2</v>
      </c>
      <c r="I117" s="38" t="n">
        <v>0</v>
      </c>
      <c r="J117" s="38" t="n">
        <v>2</v>
      </c>
      <c r="K117" s="12"/>
      <c r="L117" s="12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customFormat="false" ht="15.75" hidden="false" customHeight="true" outlineLevel="0" collapsed="false">
      <c r="A118" s="38" t="s">
        <v>135</v>
      </c>
      <c r="B118" s="38" t="str">
        <f aca="false" t="array" ref="B118:B118">IF(A118="","",IFERROR(INDEX('CLM &amp; IM Mapping'!$B$2:$B$270,MATCH(TRIM(A118),'CLM &amp; IM Mapping'!$A$2:$A$270,0)),"Not Mapped"))</f>
        <v>Sundaresh S</v>
      </c>
      <c r="C118" s="38" t="str">
        <f aca="false" t="array" ref="C118:C118">IF(A118="","",IFERROR(INDEX('CLM &amp; IM Mapping'!$C$2:$C$270,MATCH(TRIM(A118),'CLM &amp; IM Mapping'!$A$2:$A$270,0)),"Not Mapped"))</f>
        <v>Un Mapped</v>
      </c>
      <c r="D118" s="38"/>
      <c r="E118" s="38"/>
      <c r="F118" s="38" t="n">
        <v>2</v>
      </c>
      <c r="G118" s="38"/>
      <c r="H118" s="38" t="n">
        <v>2</v>
      </c>
      <c r="I118" s="38" t="n">
        <v>0</v>
      </c>
      <c r="J118" s="38" t="n">
        <v>2</v>
      </c>
      <c r="K118" s="12"/>
      <c r="L118" s="12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customFormat="false" ht="15.75" hidden="false" customHeight="true" outlineLevel="0" collapsed="false">
      <c r="A119" s="38" t="s">
        <v>210</v>
      </c>
      <c r="B119" s="38" t="str">
        <f aca="false" t="array" ref="B119:B119">IF(A119="","",IFERROR(INDEX('CLM &amp; IM Mapping'!$B$2:$B$270,MATCH(TRIM(A119),'CLM &amp; IM Mapping'!$A$2:$A$270,0)),"Not Mapped"))</f>
        <v>Narasimhamurthy R</v>
      </c>
      <c r="C119" s="38" t="str">
        <f aca="false" t="array" ref="C119:C119">IF(A119="","",IFERROR(INDEX('CLM &amp; IM Mapping'!$C$2:$C$270,MATCH(TRIM(A119),'CLM &amp; IM Mapping'!$A$2:$A$270,0)),"Not Mapped"))</f>
        <v>Kishor K</v>
      </c>
      <c r="D119" s="38"/>
      <c r="E119" s="38"/>
      <c r="F119" s="38"/>
      <c r="G119" s="38" t="n">
        <v>2</v>
      </c>
      <c r="H119" s="38" t="n">
        <v>1</v>
      </c>
      <c r="I119" s="38" t="n">
        <v>1</v>
      </c>
      <c r="J119" s="38" t="n">
        <v>2</v>
      </c>
      <c r="K119" s="12"/>
      <c r="L119" s="12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customFormat="false" ht="15.75" hidden="false" customHeight="true" outlineLevel="0" collapsed="false">
      <c r="A120" s="38" t="s">
        <v>139</v>
      </c>
      <c r="B120" s="38" t="str">
        <f aca="false" t="array" ref="B120:B120">IF(A120="","",IFERROR(INDEX('CLM &amp; IM Mapping'!$B$2:$B$270,MATCH(TRIM(A120),'CLM &amp; IM Mapping'!$A$2:$A$270,0)),"Not Mapped"))</f>
        <v>Mohaideen DH</v>
      </c>
      <c r="C120" s="38" t="str">
        <f aca="false" t="array" ref="C120:C120">IF(A120="","",IFERROR(INDEX('CLM &amp; IM Mapping'!$C$2:$C$270,MATCH(TRIM(A120),'CLM &amp; IM Mapping'!$A$2:$A$270,0)),"Not Mapped"))</f>
        <v>Mohammed Akbar</v>
      </c>
      <c r="D120" s="38"/>
      <c r="E120" s="38"/>
      <c r="F120" s="38"/>
      <c r="G120" s="38" t="n">
        <v>2</v>
      </c>
      <c r="H120" s="38" t="n">
        <v>0</v>
      </c>
      <c r="I120" s="38" t="n">
        <v>2</v>
      </c>
      <c r="J120" s="38" t="n">
        <v>2</v>
      </c>
      <c r="K120" s="12"/>
      <c r="L120" s="12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customFormat="false" ht="15.75" hidden="false" customHeight="true" outlineLevel="0" collapsed="false">
      <c r="A121" s="38" t="s">
        <v>53</v>
      </c>
      <c r="B121" s="38" t="str">
        <f aca="false" t="array" ref="B121:B121">IF(A121="","",IFERROR(INDEX('CLM &amp; IM Mapping'!$B$2:$B$270,MATCH(TRIM(A121),'CLM &amp; IM Mapping'!$A$2:$A$270,0)),"Not Mapped"))</f>
        <v>Girish N</v>
      </c>
      <c r="C121" s="38" t="str">
        <f aca="false" t="array" ref="C121:C121">IF(A121="","",IFERROR(INDEX('CLM &amp; IM Mapping'!$C$2:$C$270,MATCH(TRIM(A121),'CLM &amp; IM Mapping'!$A$2:$A$270,0)),"Not Mapped"))</f>
        <v>Un Mapped</v>
      </c>
      <c r="D121" s="38"/>
      <c r="E121" s="38"/>
      <c r="F121" s="38" t="n">
        <v>1</v>
      </c>
      <c r="G121" s="38" t="n">
        <v>1</v>
      </c>
      <c r="H121" s="38" t="n">
        <v>2</v>
      </c>
      <c r="I121" s="38" t="n">
        <v>0</v>
      </c>
      <c r="J121" s="38" t="n">
        <v>2</v>
      </c>
      <c r="K121" s="12"/>
      <c r="L121" s="12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customFormat="false" ht="15.75" hidden="false" customHeight="true" outlineLevel="0" collapsed="false">
      <c r="A122" s="38" t="s">
        <v>203</v>
      </c>
      <c r="B122" s="38" t="str">
        <f aca="false" t="array" ref="B122:B122">IF(A122="","",IFERROR(INDEX('CLM &amp; IM Mapping'!$B$2:$B$270,MATCH(TRIM(A122),'CLM &amp; IM Mapping'!$A$2:$A$270,0)),"Not Mapped"))</f>
        <v>Bangareppa CS</v>
      </c>
      <c r="C122" s="38" t="str">
        <f aca="false" t="array" ref="C122:C122">IF(A122="","",IFERROR(INDEX('CLM &amp; IM Mapping'!$C$2:$C$270,MATCH(TRIM(A122),'CLM &amp; IM Mapping'!$A$2:$A$270,0)),"Not Mapped"))</f>
        <v>Kishor K</v>
      </c>
      <c r="D122" s="38"/>
      <c r="E122" s="38"/>
      <c r="F122" s="38"/>
      <c r="G122" s="38" t="n">
        <v>2</v>
      </c>
      <c r="H122" s="38" t="n">
        <v>2</v>
      </c>
      <c r="I122" s="38" t="n">
        <v>0</v>
      </c>
      <c r="J122" s="38" t="n">
        <v>2</v>
      </c>
      <c r="K122" s="12"/>
      <c r="L122" s="12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customFormat="false" ht="15.75" hidden="false" customHeight="true" outlineLevel="0" collapsed="false">
      <c r="A123" s="38" t="s">
        <v>72</v>
      </c>
      <c r="B123" s="38" t="str">
        <f aca="false" t="array" ref="B123:B123">IF(A123="","",IFERROR(INDEX('CLM &amp; IM Mapping'!$B$2:$B$270,MATCH(TRIM(A123),'CLM &amp; IM Mapping'!$A$2:$A$270,0)),"Not Mapped"))</f>
        <v>Akshay P</v>
      </c>
      <c r="C123" s="38" t="str">
        <f aca="false" t="array" ref="C123:C123">IF(A123="","",IFERROR(INDEX('CLM &amp; IM Mapping'!$C$2:$C$270,MATCH(TRIM(A123),'CLM &amp; IM Mapping'!$A$2:$A$270,0)),"Not Mapped"))</f>
        <v>Srittam Dhal</v>
      </c>
      <c r="D123" s="38"/>
      <c r="E123" s="38"/>
      <c r="F123" s="38"/>
      <c r="G123" s="38" t="n">
        <v>2</v>
      </c>
      <c r="H123" s="38" t="n">
        <v>2</v>
      </c>
      <c r="I123" s="38" t="n">
        <v>0</v>
      </c>
      <c r="J123" s="38" t="n">
        <v>2</v>
      </c>
      <c r="K123" s="12"/>
      <c r="L123" s="12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customFormat="false" ht="15.75" hidden="false" customHeight="true" outlineLevel="0" collapsed="false">
      <c r="A124" s="38" t="s">
        <v>178</v>
      </c>
      <c r="B124" s="38" t="str">
        <f aca="false" t="array" ref="B124:B124">IF(A124="","",IFERROR(INDEX('CLM &amp; IM Mapping'!$B$2:$B$270,MATCH(TRIM(A124),'CLM &amp; IM Mapping'!$A$2:$A$270,0)),"Not Mapped"))</f>
        <v>Santhosha M</v>
      </c>
      <c r="C124" s="38" t="str">
        <f aca="false" t="array" ref="C124:C124">IF(A124="","",IFERROR(INDEX('CLM &amp; IM Mapping'!$C$2:$C$270,MATCH(TRIM(A124),'CLM &amp; IM Mapping'!$A$2:$A$270,0)),"Not Mapped"))</f>
        <v>Aravind S</v>
      </c>
      <c r="D124" s="38"/>
      <c r="E124" s="38"/>
      <c r="F124" s="38"/>
      <c r="G124" s="38" t="n">
        <v>2</v>
      </c>
      <c r="H124" s="38" t="n">
        <v>2</v>
      </c>
      <c r="I124" s="38" t="n">
        <v>0</v>
      </c>
      <c r="J124" s="38" t="n">
        <v>2</v>
      </c>
      <c r="K124" s="12"/>
      <c r="L124" s="12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customFormat="false" ht="15.75" hidden="false" customHeight="true" outlineLevel="0" collapsed="false">
      <c r="A125" s="38" t="s">
        <v>63</v>
      </c>
      <c r="B125" s="38" t="str">
        <f aca="false" t="array" ref="B125:B125">IF(A125="","",IFERROR(INDEX('CLM &amp; IM Mapping'!$B$2:$B$270,MATCH(TRIM(A125),'CLM &amp; IM Mapping'!$A$2:$A$270,0)),"Not Mapped"))</f>
        <v>Girish N</v>
      </c>
      <c r="C125" s="38" t="str">
        <f aca="false" t="array" ref="C125:C125">IF(A125="","",IFERROR(INDEX('CLM &amp; IM Mapping'!$C$2:$C$270,MATCH(TRIM(A125),'CLM &amp; IM Mapping'!$A$2:$A$270,0)),"Not Mapped"))</f>
        <v>Un Mapped</v>
      </c>
      <c r="D125" s="38"/>
      <c r="E125" s="38"/>
      <c r="F125" s="38" t="n">
        <v>2</v>
      </c>
      <c r="G125" s="38"/>
      <c r="H125" s="38" t="n">
        <v>2</v>
      </c>
      <c r="I125" s="38" t="n">
        <v>0</v>
      </c>
      <c r="J125" s="38" t="n">
        <v>2</v>
      </c>
      <c r="K125" s="12"/>
      <c r="L125" s="12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customFormat="false" ht="15.75" hidden="false" customHeight="true" outlineLevel="0" collapsed="false">
      <c r="A126" s="38" t="s">
        <v>30</v>
      </c>
      <c r="B126" s="38" t="str">
        <f aca="false" t="array" ref="B126:B126">IF(A126="","",IFERROR(INDEX('CLM &amp; IM Mapping'!$B$2:$B$270,MATCH(TRIM(A126),'CLM &amp; IM Mapping'!$A$2:$A$270,0)),"Not Mapped"))</f>
        <v>Rizwan Ahmed</v>
      </c>
      <c r="C126" s="38" t="str">
        <f aca="false" t="array" ref="C126:C126">IF(A126="","",IFERROR(INDEX('CLM &amp; IM Mapping'!$C$2:$C$270,MATCH(TRIM(A126),'CLM &amp; IM Mapping'!$A$2:$A$270,0)),"Not Mapped"))</f>
        <v>Un Mapped</v>
      </c>
      <c r="D126" s="38"/>
      <c r="E126" s="38"/>
      <c r="F126" s="38" t="n">
        <v>1</v>
      </c>
      <c r="G126" s="38" t="n">
        <v>1</v>
      </c>
      <c r="H126" s="38" t="n">
        <v>2</v>
      </c>
      <c r="I126" s="38" t="n">
        <v>0</v>
      </c>
      <c r="J126" s="38" t="n">
        <v>2</v>
      </c>
      <c r="K126" s="12"/>
      <c r="L126" s="12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customFormat="false" ht="15.75" hidden="false" customHeight="true" outlineLevel="0" collapsed="false">
      <c r="A127" s="38" t="s">
        <v>189</v>
      </c>
      <c r="B127" s="38" t="str">
        <f aca="false" t="array" ref="B127:B127">IF(A127="","",IFERROR(INDEX('CLM &amp; IM Mapping'!$B$2:$B$270,MATCH(TRIM(A127),'CLM &amp; IM Mapping'!$A$2:$A$270,0)),"Not Mapped"))</f>
        <v>Saddam Hussain</v>
      </c>
      <c r="C127" s="38" t="str">
        <f aca="false" t="array" ref="C127:C127">IF(A127="","",IFERROR(INDEX('CLM &amp; IM Mapping'!$C$2:$C$270,MATCH(TRIM(A127),'CLM &amp; IM Mapping'!$A$2:$A$270,0)),"Not Mapped"))</f>
        <v>Un Mapped</v>
      </c>
      <c r="D127" s="38"/>
      <c r="E127" s="38"/>
      <c r="F127" s="38"/>
      <c r="G127" s="38" t="n">
        <v>2</v>
      </c>
      <c r="H127" s="38" t="n">
        <v>2</v>
      </c>
      <c r="I127" s="38" t="n">
        <v>0</v>
      </c>
      <c r="J127" s="38" t="n">
        <v>2</v>
      </c>
      <c r="K127" s="12"/>
      <c r="L127" s="12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customFormat="false" ht="15.75" hidden="false" customHeight="true" outlineLevel="0" collapsed="false">
      <c r="A128" s="38" t="s">
        <v>186</v>
      </c>
      <c r="B128" s="38" t="str">
        <f aca="false" t="array" ref="B128:B128">IF(A128="","",IFERROR(INDEX('CLM &amp; IM Mapping'!$B$2:$B$270,MATCH(TRIM(A128),'CLM &amp; IM Mapping'!$A$2:$A$270,0)),"Not Mapped"))</f>
        <v>Not Mapped</v>
      </c>
      <c r="C128" s="38" t="str">
        <f aca="false" t="array" ref="C128:C128">IF(A128="","",IFERROR(INDEX('CLM &amp; IM Mapping'!$C$2:$C$270,MATCH(TRIM(A128),'CLM &amp; IM Mapping'!$A$2:$A$270,0)),"Not Mapped"))</f>
        <v>Not Mapped</v>
      </c>
      <c r="D128" s="38"/>
      <c r="E128" s="38"/>
      <c r="F128" s="38" t="n">
        <v>1</v>
      </c>
      <c r="G128" s="38" t="n">
        <v>1</v>
      </c>
      <c r="H128" s="38" t="n">
        <v>2</v>
      </c>
      <c r="I128" s="38" t="n">
        <v>0</v>
      </c>
      <c r="J128" s="38" t="n">
        <v>2</v>
      </c>
      <c r="K128" s="12"/>
      <c r="L128" s="12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customFormat="false" ht="15.75" hidden="false" customHeight="true" outlineLevel="0" collapsed="false">
      <c r="A129" s="38" t="s">
        <v>47</v>
      </c>
      <c r="B129" s="38" t="str">
        <f aca="false" t="array" ref="B129:B129">IF(A129="","",IFERROR(INDEX('CLM &amp; IM Mapping'!$B$2:$B$270,MATCH(TRIM(A129),'CLM &amp; IM Mapping'!$A$2:$A$270,0)),"Not Mapped"))</f>
        <v>Raghavendra Vernekar</v>
      </c>
      <c r="C129" s="38" t="str">
        <f aca="false" t="array" ref="C129:C129">IF(A129="","",IFERROR(INDEX('CLM &amp; IM Mapping'!$C$2:$C$270,MATCH(TRIM(A129),'CLM &amp; IM Mapping'!$A$2:$A$270,0)),"Not Mapped"))</f>
        <v>Prakash BS</v>
      </c>
      <c r="D129" s="38"/>
      <c r="E129" s="38"/>
      <c r="F129" s="38" t="n">
        <v>1</v>
      </c>
      <c r="G129" s="38" t="n">
        <v>1</v>
      </c>
      <c r="H129" s="38" t="n">
        <v>0</v>
      </c>
      <c r="I129" s="38" t="n">
        <v>2</v>
      </c>
      <c r="J129" s="38" t="n">
        <v>2</v>
      </c>
      <c r="K129" s="12"/>
      <c r="L129" s="12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customFormat="false" ht="15.75" hidden="false" customHeight="true" outlineLevel="0" collapsed="false">
      <c r="A130" s="38" t="s">
        <v>85</v>
      </c>
      <c r="B130" s="38" t="str">
        <f aca="false" t="array" ref="B130:B130">IF(A130="","",IFERROR(INDEX('CLM &amp; IM Mapping'!$B$2:$B$270,MATCH(TRIM(A130),'CLM &amp; IM Mapping'!$A$2:$A$270,0)),"Not Mapped"))</f>
        <v>Saddam Hussain</v>
      </c>
      <c r="C130" s="38" t="str">
        <f aca="false" t="array" ref="C130:C130">IF(A130="","",IFERROR(INDEX('CLM &amp; IM Mapping'!$C$2:$C$270,MATCH(TRIM(A130),'CLM &amp; IM Mapping'!$A$2:$A$270,0)),"Not Mapped"))</f>
        <v>Un Mapped</v>
      </c>
      <c r="D130" s="38"/>
      <c r="E130" s="38"/>
      <c r="F130" s="38"/>
      <c r="G130" s="38" t="n">
        <v>1</v>
      </c>
      <c r="H130" s="38" t="n">
        <v>1</v>
      </c>
      <c r="I130" s="38" t="n">
        <v>0</v>
      </c>
      <c r="J130" s="38" t="n">
        <v>1</v>
      </c>
      <c r="K130" s="12"/>
      <c r="L130" s="12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customFormat="false" ht="15.75" hidden="false" customHeight="true" outlineLevel="0" collapsed="false">
      <c r="A131" s="38" t="s">
        <v>144</v>
      </c>
      <c r="B131" s="38" t="str">
        <f aca="false" t="array" ref="B131:B131">IF(A131="","",IFERROR(INDEX('CLM &amp; IM Mapping'!$B$2:$B$270,MATCH(TRIM(A131),'CLM &amp; IM Mapping'!$A$2:$A$270,0)),"Not Mapped"))</f>
        <v>Bangareppa CS</v>
      </c>
      <c r="C131" s="38" t="str">
        <f aca="false" t="array" ref="C131:C131">IF(A131="","",IFERROR(INDEX('CLM &amp; IM Mapping'!$C$2:$C$270,MATCH(TRIM(A131),'CLM &amp; IM Mapping'!$A$2:$A$270,0)),"Not Mapped"))</f>
        <v>Kishor K</v>
      </c>
      <c r="D131" s="38"/>
      <c r="E131" s="38"/>
      <c r="F131" s="38" t="n">
        <v>1</v>
      </c>
      <c r="G131" s="38"/>
      <c r="H131" s="38" t="n">
        <v>1</v>
      </c>
      <c r="I131" s="38" t="n">
        <v>0</v>
      </c>
      <c r="J131" s="38" t="n">
        <v>1</v>
      </c>
      <c r="K131" s="12"/>
      <c r="L131" s="12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customFormat="false" ht="15.75" hidden="false" customHeight="true" outlineLevel="0" collapsed="false">
      <c r="A132" s="38" t="s">
        <v>204</v>
      </c>
      <c r="B132" s="38" t="str">
        <f aca="false" t="array" ref="B132:B132">IF(A132="","",IFERROR(INDEX('CLM &amp; IM Mapping'!$B$2:$B$270,MATCH(TRIM(A132),'CLM &amp; IM Mapping'!$A$2:$A$270,0)),"Not Mapped"))</f>
        <v>Ravishankar gowda</v>
      </c>
      <c r="C132" s="38" t="str">
        <f aca="false" t="array" ref="C132:C132">IF(A132="","",IFERROR(INDEX('CLM &amp; IM Mapping'!$C$2:$C$270,MATCH(TRIM(A132),'CLM &amp; IM Mapping'!$A$2:$A$270,0)),"Not Mapped"))</f>
        <v>Kishor K</v>
      </c>
      <c r="D132" s="38"/>
      <c r="E132" s="38"/>
      <c r="F132" s="38"/>
      <c r="G132" s="38" t="n">
        <v>1</v>
      </c>
      <c r="H132" s="38" t="n">
        <v>1</v>
      </c>
      <c r="I132" s="38" t="n">
        <v>0</v>
      </c>
      <c r="J132" s="38" t="n">
        <v>1</v>
      </c>
      <c r="K132" s="12"/>
      <c r="L132" s="12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customFormat="false" ht="15.75" hidden="false" customHeight="true" outlineLevel="0" collapsed="false">
      <c r="A133" s="38" t="s">
        <v>98</v>
      </c>
      <c r="B133" s="38" t="str">
        <f aca="false" t="array" ref="B133:B133">IF(A133="","",IFERROR(INDEX('CLM &amp; IM Mapping'!$B$2:$B$270,MATCH(TRIM(A133),'CLM &amp; IM Mapping'!$A$2:$A$270,0)),"Not Mapped"))</f>
        <v>Silambarasan E</v>
      </c>
      <c r="C133" s="38" t="str">
        <f aca="false" t="array" ref="C133:C133">IF(A133="","",IFERROR(INDEX('CLM &amp; IM Mapping'!$C$2:$C$270,MATCH(TRIM(A133),'CLM &amp; IM Mapping'!$A$2:$A$270,0)),"Not Mapped"))</f>
        <v>Arivind S</v>
      </c>
      <c r="D133" s="38"/>
      <c r="E133" s="38"/>
      <c r="F133" s="38"/>
      <c r="G133" s="38" t="n">
        <v>1</v>
      </c>
      <c r="H133" s="38" t="n">
        <v>1</v>
      </c>
      <c r="I133" s="38" t="n">
        <v>0</v>
      </c>
      <c r="J133" s="38" t="n">
        <v>1</v>
      </c>
      <c r="K133" s="12"/>
      <c r="L133" s="12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customFormat="false" ht="15.75" hidden="false" customHeight="true" outlineLevel="0" collapsed="false">
      <c r="A134" s="38" t="s">
        <v>282</v>
      </c>
      <c r="B134" s="38" t="str">
        <f aca="false" t="array" ref="B134:B134">IF(A134="","",IFERROR(INDEX('CLM &amp; IM Mapping'!$B$2:$B$270,MATCH(TRIM(A134),'CLM &amp; IM Mapping'!$A$2:$A$270,0)),"Not Mapped"))</f>
        <v>Raghavendra Vernekar</v>
      </c>
      <c r="C134" s="38" t="str">
        <f aca="false" t="array" ref="C134:C134">IF(A134="","",IFERROR(INDEX('CLM &amp; IM Mapping'!$C$2:$C$270,MATCH(TRIM(A134),'CLM &amp; IM Mapping'!$A$2:$A$270,0)),"Not Mapped"))</f>
        <v>Prakash BS</v>
      </c>
      <c r="D134" s="38"/>
      <c r="E134" s="38"/>
      <c r="F134" s="38" t="n">
        <v>1</v>
      </c>
      <c r="G134" s="38"/>
      <c r="H134" s="38" t="n">
        <v>0</v>
      </c>
      <c r="I134" s="38" t="n">
        <v>1</v>
      </c>
      <c r="J134" s="38" t="n">
        <v>1</v>
      </c>
      <c r="K134" s="12"/>
      <c r="L134" s="12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customFormat="false" ht="15.75" hidden="false" customHeight="true" outlineLevel="0" collapsed="false">
      <c r="A135" s="38" t="s">
        <v>112</v>
      </c>
      <c r="B135" s="38" t="str">
        <f aca="false" t="array" ref="B135:B135">IF(A135="","",IFERROR(INDEX('CLM &amp; IM Mapping'!$B$2:$B$270,MATCH(TRIM(A135),'CLM &amp; IM Mapping'!$A$2:$A$270,0)),"Not Mapped"))</f>
        <v>Akshay P</v>
      </c>
      <c r="C135" s="38" t="str">
        <f aca="false" t="array" ref="C135:C135">IF(A135="","",IFERROR(INDEX('CLM &amp; IM Mapping'!$C$2:$C$270,MATCH(TRIM(A135),'CLM &amp; IM Mapping'!$A$2:$A$270,0)),"Not Mapped"))</f>
        <v>Srittam Dhal</v>
      </c>
      <c r="D135" s="38"/>
      <c r="E135" s="38"/>
      <c r="F135" s="38"/>
      <c r="G135" s="38" t="n">
        <v>1</v>
      </c>
      <c r="H135" s="38" t="n">
        <v>1</v>
      </c>
      <c r="I135" s="38" t="n">
        <v>0</v>
      </c>
      <c r="J135" s="38" t="n">
        <v>1</v>
      </c>
      <c r="K135" s="12"/>
      <c r="L135" s="12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customFormat="false" ht="15.75" hidden="false" customHeight="true" outlineLevel="0" collapsed="false">
      <c r="A136" s="38" t="s">
        <v>159</v>
      </c>
      <c r="B136" s="38" t="str">
        <f aca="false" t="array" ref="B136:B136">IF(A136="","",IFERROR(INDEX('CLM &amp; IM Mapping'!$B$2:$B$270,MATCH(TRIM(A136),'CLM &amp; IM Mapping'!$A$2:$A$270,0)),"Not Mapped"))</f>
        <v>Santhosha M</v>
      </c>
      <c r="C136" s="38" t="str">
        <f aca="false" t="array" ref="C136:C136">IF(A136="","",IFERROR(INDEX('CLM &amp; IM Mapping'!$C$2:$C$270,MATCH(TRIM(A136),'CLM &amp; IM Mapping'!$A$2:$A$270,0)),"Not Mapped"))</f>
        <v>Aravind S</v>
      </c>
      <c r="D136" s="38"/>
      <c r="E136" s="38"/>
      <c r="F136" s="38"/>
      <c r="G136" s="38" t="n">
        <v>1</v>
      </c>
      <c r="H136" s="38" t="n">
        <v>0</v>
      </c>
      <c r="I136" s="38" t="n">
        <v>1</v>
      </c>
      <c r="J136" s="38" t="n">
        <v>1</v>
      </c>
      <c r="K136" s="12"/>
      <c r="L136" s="12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customFormat="false" ht="15.75" hidden="false" customHeight="true" outlineLevel="0" collapsed="false">
      <c r="A137" s="38" t="s">
        <v>187</v>
      </c>
      <c r="B137" s="38" t="str">
        <f aca="false" t="array" ref="B137:B137">IF(A137="","",IFERROR(INDEX('CLM &amp; IM Mapping'!$B$2:$B$270,MATCH(TRIM(A137),'CLM &amp; IM Mapping'!$A$2:$A$270,0)),"Not Mapped"))</f>
        <v>Akshay P</v>
      </c>
      <c r="C137" s="38" t="str">
        <f aca="false" t="array" ref="C137:C137">IF(A137="","",IFERROR(INDEX('CLM &amp; IM Mapping'!$C$2:$C$270,MATCH(TRIM(A137),'CLM &amp; IM Mapping'!$A$2:$A$270,0)),"Not Mapped"))</f>
        <v>Srittam Dhal</v>
      </c>
      <c r="D137" s="38"/>
      <c r="E137" s="38"/>
      <c r="F137" s="38" t="n">
        <v>1</v>
      </c>
      <c r="G137" s="38"/>
      <c r="H137" s="38" t="n">
        <v>1</v>
      </c>
      <c r="I137" s="38" t="n">
        <v>0</v>
      </c>
      <c r="J137" s="38" t="n">
        <v>1</v>
      </c>
      <c r="K137" s="12"/>
      <c r="L137" s="12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customFormat="false" ht="15.75" hidden="false" customHeight="true" outlineLevel="0" collapsed="false">
      <c r="A138" s="38" t="s">
        <v>241</v>
      </c>
      <c r="B138" s="38" t="str">
        <f aca="false" t="array" ref="B138:B138">IF(A138="","",IFERROR(INDEX('CLM &amp; IM Mapping'!$B$2:$B$270,MATCH(TRIM(A138),'CLM &amp; IM Mapping'!$A$2:$A$270,0)),"Not Mapped"))</f>
        <v>Sundaresh S</v>
      </c>
      <c r="C138" s="38" t="str">
        <f aca="false" t="array" ref="C138:C138">IF(A138="","",IFERROR(INDEX('CLM &amp; IM Mapping'!$C$2:$C$270,MATCH(TRIM(A138),'CLM &amp; IM Mapping'!$A$2:$A$270,0)),"Not Mapped"))</f>
        <v>Un Mapped</v>
      </c>
      <c r="D138" s="38"/>
      <c r="E138" s="38"/>
      <c r="F138" s="38"/>
      <c r="G138" s="38" t="n">
        <v>1</v>
      </c>
      <c r="H138" s="38" t="n">
        <v>0</v>
      </c>
      <c r="I138" s="38" t="n">
        <v>1</v>
      </c>
      <c r="J138" s="38" t="n">
        <v>1</v>
      </c>
      <c r="K138" s="12"/>
      <c r="L138" s="12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customFormat="false" ht="15.75" hidden="false" customHeight="true" outlineLevel="0" collapsed="false">
      <c r="A139" s="38" t="s">
        <v>286</v>
      </c>
      <c r="B139" s="38" t="str">
        <f aca="false" t="array" ref="B139:B139">IF(A139="","",IFERROR(INDEX('CLM &amp; IM Mapping'!$B$2:$B$270,MATCH(TRIM(A139),'CLM &amp; IM Mapping'!$A$2:$A$270,0)),"Not Mapped"))</f>
        <v>Manoj Kj</v>
      </c>
      <c r="C139" s="38" t="str">
        <f aca="false" t="array" ref="C139:C139">IF(A139="","",IFERROR(INDEX('CLM &amp; IM Mapping'!$C$2:$C$270,MATCH(TRIM(A139),'CLM &amp; IM Mapping'!$A$2:$A$270,0)),"Not Mapped"))</f>
        <v>Srittam Dhal</v>
      </c>
      <c r="D139" s="38"/>
      <c r="E139" s="38"/>
      <c r="F139" s="38"/>
      <c r="G139" s="38" t="n">
        <v>1</v>
      </c>
      <c r="H139" s="38" t="n">
        <v>1</v>
      </c>
      <c r="I139" s="38" t="n">
        <v>0</v>
      </c>
      <c r="J139" s="38" t="n">
        <v>1</v>
      </c>
      <c r="K139" s="12"/>
      <c r="L139" s="12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customFormat="false" ht="15.75" hidden="false" customHeight="true" outlineLevel="0" collapsed="false">
      <c r="A140" s="38" t="s">
        <v>173</v>
      </c>
      <c r="B140" s="38" t="str">
        <f aca="false" t="array" ref="B140:B140">IF(A140="","",IFERROR(INDEX('CLM &amp; IM Mapping'!$B$2:$B$270,MATCH(TRIM(A140),'CLM &amp; IM Mapping'!$A$2:$A$270,0)),"Not Mapped"))</f>
        <v>Vishnu V</v>
      </c>
      <c r="C140" s="38" t="str">
        <f aca="false" t="array" ref="C140:C140">IF(A140="","",IFERROR(INDEX('CLM &amp; IM Mapping'!$C$2:$C$270,MATCH(TRIM(A140),'CLM &amp; IM Mapping'!$A$2:$A$270,0)),"Not Mapped"))</f>
        <v>Arivind S</v>
      </c>
      <c r="D140" s="38"/>
      <c r="E140" s="38"/>
      <c r="F140" s="38"/>
      <c r="G140" s="38" t="n">
        <v>1</v>
      </c>
      <c r="H140" s="38" t="n">
        <v>0</v>
      </c>
      <c r="I140" s="38" t="n">
        <v>1</v>
      </c>
      <c r="J140" s="38" t="n">
        <v>1</v>
      </c>
      <c r="K140" s="12"/>
      <c r="L140" s="12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customFormat="false" ht="15.75" hidden="false" customHeight="true" outlineLevel="0" collapsed="false">
      <c r="A141" s="38" t="s">
        <v>121</v>
      </c>
      <c r="B141" s="38" t="str">
        <f aca="false" t="array" ref="B141:B141">IF(A141="","",IFERROR(INDEX('CLM &amp; IM Mapping'!$B$2:$B$270,MATCH(TRIM(A141),'CLM &amp; IM Mapping'!$A$2:$A$270,0)),"Not Mapped"))</f>
        <v>Raghavendra Vernekar</v>
      </c>
      <c r="C141" s="38" t="str">
        <f aca="false" t="array" ref="C141:C141">IF(A141="","",IFERROR(INDEX('CLM &amp; IM Mapping'!$C$2:$C$270,MATCH(TRIM(A141),'CLM &amp; IM Mapping'!$A$2:$A$270,0)),"Not Mapped"))</f>
        <v>Prakash BS</v>
      </c>
      <c r="D141" s="38"/>
      <c r="E141" s="38"/>
      <c r="F141" s="38"/>
      <c r="G141" s="38" t="n">
        <v>1</v>
      </c>
      <c r="H141" s="38" t="n">
        <v>0</v>
      </c>
      <c r="I141" s="38" t="n">
        <v>1</v>
      </c>
      <c r="J141" s="38" t="n">
        <v>1</v>
      </c>
      <c r="K141" s="12"/>
      <c r="L141" s="12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customFormat="false" ht="15.75" hidden="false" customHeight="true" outlineLevel="0" collapsed="false">
      <c r="A142" s="38" t="s">
        <v>28</v>
      </c>
      <c r="B142" s="38" t="str">
        <f aca="false" t="array" ref="B142:B142">IF(A142="","",IFERROR(INDEX('CLM &amp; IM Mapping'!$B$2:$B$270,MATCH(TRIM(A142),'CLM &amp; IM Mapping'!$A$2:$A$270,0)),"Not Mapped"))</f>
        <v>Vijay M</v>
      </c>
      <c r="C142" s="38" t="str">
        <f aca="false" t="array" ref="C142:C142">IF(A142="","",IFERROR(INDEX('CLM &amp; IM Mapping'!$C$2:$C$270,MATCH(TRIM(A142),'CLM &amp; IM Mapping'!$A$2:$A$270,0)),"Not Mapped"))</f>
        <v>Kantha Kumar</v>
      </c>
      <c r="D142" s="38"/>
      <c r="E142" s="38"/>
      <c r="F142" s="38"/>
      <c r="G142" s="38" t="n">
        <v>1</v>
      </c>
      <c r="H142" s="38" t="n">
        <v>1</v>
      </c>
      <c r="I142" s="38" t="n">
        <v>0</v>
      </c>
      <c r="J142" s="38" t="n">
        <v>1</v>
      </c>
      <c r="K142" s="12"/>
      <c r="L142" s="12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customFormat="false" ht="15.75" hidden="false" customHeight="true" outlineLevel="0" collapsed="false">
      <c r="A143" s="38" t="s">
        <v>239</v>
      </c>
      <c r="B143" s="38" t="str">
        <f aca="false" t="array" ref="B143:B143">IF(A143="","",IFERROR(INDEX('CLM &amp; IM Mapping'!$B$2:$B$270,MATCH(TRIM(A143),'CLM &amp; IM Mapping'!$A$2:$A$270,0)),"Not Mapped"))</f>
        <v>Manoj Kj</v>
      </c>
      <c r="C143" s="38" t="str">
        <f aca="false" t="array" ref="C143:C143">IF(A143="","",IFERROR(INDEX('CLM &amp; IM Mapping'!$C$2:$C$270,MATCH(TRIM(A143),'CLM &amp; IM Mapping'!$A$2:$A$270,0)),"Not Mapped"))</f>
        <v>Srittam Dhal</v>
      </c>
      <c r="D143" s="38"/>
      <c r="E143" s="38"/>
      <c r="F143" s="38"/>
      <c r="G143" s="38" t="n">
        <v>1</v>
      </c>
      <c r="H143" s="38" t="n">
        <v>1</v>
      </c>
      <c r="I143" s="38" t="n">
        <v>0</v>
      </c>
      <c r="J143" s="38" t="n">
        <v>1</v>
      </c>
      <c r="K143" s="12"/>
      <c r="L143" s="12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customFormat="false" ht="15.75" hidden="false" customHeight="true" outlineLevel="0" collapsed="false">
      <c r="A144" s="38" t="s">
        <v>151</v>
      </c>
      <c r="B144" s="38" t="str">
        <f aca="false" t="array" ref="B144:B144">IF(A144="","",IFERROR(INDEX('CLM &amp; IM Mapping'!$B$2:$B$270,MATCH(TRIM(A144),'CLM &amp; IM Mapping'!$A$2:$A$270,0)),"Not Mapped"))</f>
        <v>Manoj Kj</v>
      </c>
      <c r="C144" s="38" t="str">
        <f aca="false" t="array" ref="C144:C144">IF(A144="","",IFERROR(INDEX('CLM &amp; IM Mapping'!$C$2:$C$270,MATCH(TRIM(A144),'CLM &amp; IM Mapping'!$A$2:$A$270,0)),"Not Mapped"))</f>
        <v>Srittam Dhal</v>
      </c>
      <c r="D144" s="38"/>
      <c r="E144" s="38"/>
      <c r="F144" s="38"/>
      <c r="G144" s="38" t="n">
        <v>1</v>
      </c>
      <c r="H144" s="38" t="n">
        <v>1</v>
      </c>
      <c r="I144" s="38" t="n">
        <v>0</v>
      </c>
      <c r="J144" s="38" t="n">
        <v>1</v>
      </c>
      <c r="K144" s="12"/>
      <c r="L144" s="12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customFormat="false" ht="15.75" hidden="false" customHeight="true" outlineLevel="0" collapsed="false">
      <c r="A145" s="38" t="s">
        <v>170</v>
      </c>
      <c r="B145" s="38" t="str">
        <f aca="false" t="array" ref="B145:B145">IF(A145="","",IFERROR(INDEX('CLM &amp; IM Mapping'!$B$2:$B$270,MATCH(TRIM(A145),'CLM &amp; IM Mapping'!$A$2:$A$270,0)),"Not Mapped"))</f>
        <v>John Britto</v>
      </c>
      <c r="C145" s="38" t="str">
        <f aca="false" t="array" ref="C145:C145">IF(A145="","",IFERROR(INDEX('CLM &amp; IM Mapping'!$C$2:$C$270,MATCH(TRIM(A145),'CLM &amp; IM Mapping'!$A$2:$A$270,0)),"Not Mapped"))</f>
        <v>Aravind S</v>
      </c>
      <c r="D145" s="38"/>
      <c r="E145" s="38"/>
      <c r="F145" s="38" t="n">
        <v>1</v>
      </c>
      <c r="G145" s="38"/>
      <c r="H145" s="38" t="n">
        <v>1</v>
      </c>
      <c r="I145" s="38" t="n">
        <v>0</v>
      </c>
      <c r="J145" s="38" t="n">
        <v>1</v>
      </c>
      <c r="K145" s="12"/>
      <c r="L145" s="12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customFormat="false" ht="15.75" hidden="false" customHeight="true" outlineLevel="0" collapsed="false">
      <c r="A146" s="38" t="s">
        <v>193</v>
      </c>
      <c r="B146" s="38" t="str">
        <f aca="false" t="array" ref="B146:B146">IF(A146="","",IFERROR(INDEX('CLM &amp; IM Mapping'!$B$2:$B$270,MATCH(TRIM(A146),'CLM &amp; IM Mapping'!$A$2:$A$270,0)),"Not Mapped"))</f>
        <v>Richard Harris</v>
      </c>
      <c r="C146" s="38" t="str">
        <f aca="false" t="array" ref="C146:C146">IF(A146="","",IFERROR(INDEX('CLM &amp; IM Mapping'!$C$2:$C$270,MATCH(TRIM(A146),'CLM &amp; IM Mapping'!$A$2:$A$270,0)),"Not Mapped"))</f>
        <v>Kantha Kumar</v>
      </c>
      <c r="D146" s="38"/>
      <c r="E146" s="38"/>
      <c r="F146" s="38" t="n">
        <v>1</v>
      </c>
      <c r="G146" s="38"/>
      <c r="H146" s="38" t="n">
        <v>1</v>
      </c>
      <c r="I146" s="38" t="n">
        <v>0</v>
      </c>
      <c r="J146" s="38" t="n">
        <v>1</v>
      </c>
      <c r="K146" s="12"/>
      <c r="L146" s="12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customFormat="false" ht="15.75" hidden="false" customHeight="true" outlineLevel="0" collapsed="false">
      <c r="A147" s="38" t="s">
        <v>267</v>
      </c>
      <c r="B147" s="38" t="str">
        <f aca="false" t="array" ref="B147:B147">IF(A147="","",IFERROR(INDEX('CLM &amp; IM Mapping'!$B$2:$B$270,MATCH(TRIM(A147),'CLM &amp; IM Mapping'!$A$2:$A$270,0)),"Not Mapped"))</f>
        <v>Raghavendra Vernekar</v>
      </c>
      <c r="C147" s="38" t="str">
        <f aca="false" t="array" ref="C147:C147">IF(A147="","",IFERROR(INDEX('CLM &amp; IM Mapping'!$C$2:$C$270,MATCH(TRIM(A147),'CLM &amp; IM Mapping'!$A$2:$A$270,0)),"Not Mapped"))</f>
        <v>Prakash BS</v>
      </c>
      <c r="D147" s="38"/>
      <c r="E147" s="38"/>
      <c r="F147" s="38" t="n">
        <v>1</v>
      </c>
      <c r="G147" s="38"/>
      <c r="H147" s="38" t="n">
        <v>1</v>
      </c>
      <c r="I147" s="38" t="n">
        <v>0</v>
      </c>
      <c r="J147" s="38" t="n">
        <v>1</v>
      </c>
      <c r="K147" s="12"/>
      <c r="L147" s="12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customFormat="false" ht="15.75" hidden="false" customHeight="true" outlineLevel="0" collapsed="false">
      <c r="A148" s="38" t="s">
        <v>166</v>
      </c>
      <c r="B148" s="38" t="str">
        <f aca="false" t="array" ref="B148:B148">IF(A148="","",IFERROR(INDEX('CLM &amp; IM Mapping'!$B$2:$B$270,MATCH(TRIM(A148),'CLM &amp; IM Mapping'!$A$2:$A$270,0)),"Not Mapped"))</f>
        <v>Akshay P</v>
      </c>
      <c r="C148" s="38" t="str">
        <f aca="false" t="array" ref="C148:C148">IF(A148="","",IFERROR(INDEX('CLM &amp; IM Mapping'!$C$2:$C$270,MATCH(TRIM(A148),'CLM &amp; IM Mapping'!$A$2:$A$270,0)),"Not Mapped"))</f>
        <v>Srittam Dhal</v>
      </c>
      <c r="D148" s="38"/>
      <c r="E148" s="38"/>
      <c r="F148" s="38"/>
      <c r="G148" s="38" t="n">
        <v>1</v>
      </c>
      <c r="H148" s="38" t="n">
        <v>1</v>
      </c>
      <c r="I148" s="38" t="n">
        <v>0</v>
      </c>
      <c r="J148" s="38" t="n">
        <v>1</v>
      </c>
      <c r="K148" s="12"/>
      <c r="L148" s="12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customFormat="false" ht="15.75" hidden="false" customHeight="true" outlineLevel="0" collapsed="false">
      <c r="A149" s="38" t="s">
        <v>107</v>
      </c>
      <c r="B149" s="38" t="str">
        <f aca="false" t="array" ref="B149:B149">IF(A149="","",IFERROR(INDEX('CLM &amp; IM Mapping'!$B$2:$B$270,MATCH(TRIM(A149),'CLM &amp; IM Mapping'!$A$2:$A$270,0)),"Not Mapped"))</f>
        <v>Manoj Kj</v>
      </c>
      <c r="C149" s="38" t="str">
        <f aca="false" t="array" ref="C149:C149">IF(A149="","",IFERROR(INDEX('CLM &amp; IM Mapping'!$C$2:$C$270,MATCH(TRIM(A149),'CLM &amp; IM Mapping'!$A$2:$A$270,0)),"Not Mapped"))</f>
        <v>Srittam Dhal</v>
      </c>
      <c r="D149" s="38"/>
      <c r="E149" s="38"/>
      <c r="F149" s="38" t="n">
        <v>1</v>
      </c>
      <c r="G149" s="38"/>
      <c r="H149" s="38" t="n">
        <v>1</v>
      </c>
      <c r="I149" s="38" t="n">
        <v>0</v>
      </c>
      <c r="J149" s="38" t="n">
        <v>1</v>
      </c>
      <c r="K149" s="12"/>
      <c r="L149" s="12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customFormat="false" ht="15.75" hidden="false" customHeight="true" outlineLevel="0" collapsed="false">
      <c r="A150" s="38" t="s">
        <v>258</v>
      </c>
      <c r="B150" s="38" t="str">
        <f aca="false" t="array" ref="B150:B150">IF(A150="","",IFERROR(INDEX('CLM &amp; IM Mapping'!$B$2:$B$270,MATCH(TRIM(A150),'CLM &amp; IM Mapping'!$A$2:$A$270,0)),"Not Mapped"))</f>
        <v>Bangareppa CS</v>
      </c>
      <c r="C150" s="38" t="str">
        <f aca="false" t="array" ref="C150:C150">IF(A150="","",IFERROR(INDEX('CLM &amp; IM Mapping'!$C$2:$C$270,MATCH(TRIM(A150),'CLM &amp; IM Mapping'!$A$2:$A$270,0)),"Not Mapped"))</f>
        <v>Kishor K</v>
      </c>
      <c r="D150" s="38"/>
      <c r="E150" s="38"/>
      <c r="F150" s="38"/>
      <c r="G150" s="38" t="n">
        <v>1</v>
      </c>
      <c r="H150" s="38" t="n">
        <v>0</v>
      </c>
      <c r="I150" s="38" t="n">
        <v>1</v>
      </c>
      <c r="J150" s="38" t="n">
        <v>1</v>
      </c>
      <c r="K150" s="12"/>
      <c r="L150" s="12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customFormat="false" ht="15.75" hidden="false" customHeight="tru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customFormat="false" ht="15.75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customFormat="false" ht="15.75" hidden="false" customHeight="tru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customFormat="false" ht="15.75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customFormat="false" ht="15.75" hidden="false" customHeight="tru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customFormat="false" ht="15.75" hidden="false" customHeight="tru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customFormat="false" ht="15.75" hidden="false" customHeight="tru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customFormat="false" ht="15.75" hidden="false" customHeight="tru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customFormat="false" ht="15.75" hidden="false" customHeight="tru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customFormat="false" ht="15.75" hidden="false" customHeight="tru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customFormat="false" ht="15.75" hidden="false" customHeight="tru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customFormat="false" ht="15.75" hidden="false" customHeight="tru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customFormat="false" ht="15.75" hidden="false" customHeight="tru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customFormat="false" ht="15.75" hidden="false" customHeight="tru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customFormat="false" ht="15.75" hidden="false" customHeight="tru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customFormat="false" ht="15.7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customFormat="false" ht="15.75" hidden="false" customHeight="tru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customFormat="false" ht="15.75" hidden="false" customHeight="tru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customFormat="false" ht="15.75" hidden="false" customHeight="tru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customFormat="false" ht="15.75" hidden="false" customHeight="tru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customFormat="false" ht="15.75" hidden="false" customHeight="tru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customFormat="false" ht="15.75" hidden="false" customHeight="tru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customFormat="false" ht="15.75" hidden="false" customHeight="tru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customFormat="false" ht="15.75" hidden="false" customHeight="tru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customFormat="false" ht="15.75" hidden="false" customHeight="tru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customFormat="false" ht="15.75" hidden="false" customHeight="tru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customFormat="false" ht="15.75" hidden="false" customHeight="tru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customFormat="false" ht="15.75" hidden="false" customHeight="tru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customFormat="false" ht="15.75" hidden="false" customHeight="tru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customFormat="false" ht="15.75" hidden="false" customHeight="tru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customFormat="false" ht="15.75" hidden="false" customHeight="tru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customFormat="false" ht="15.75" hidden="false" customHeight="tru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customFormat="false" ht="15.75" hidden="false" customHeight="tru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customFormat="false" ht="15.75" hidden="false" customHeight="tru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customFormat="false" ht="15.75" hidden="false" customHeight="tru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customFormat="false" ht="15.75" hidden="false" customHeight="tru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customFormat="false" ht="15.75" hidden="false" customHeight="tru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customFormat="false" ht="15.75" hidden="false" customHeight="tru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customFormat="false" ht="15.75" hidden="false" customHeight="tru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customFormat="false" ht="15.75" hidden="false" customHeight="tru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customFormat="false" ht="15.75" hidden="false" customHeight="tru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customFormat="false" ht="15.75" hidden="false" customHeight="tru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customFormat="false" ht="15.75" hidden="false" customHeight="tru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customFormat="false" ht="15.75" hidden="false" customHeight="tru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customFormat="false" ht="15.75" hidden="false" customHeight="tru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customFormat="false" ht="15.75" hidden="false" customHeight="tru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customFormat="false" ht="15.75" hidden="false" customHeight="tru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customFormat="false" ht="15.75" hidden="false" customHeight="tru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customFormat="false" ht="15.75" hidden="false" customHeight="tru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customFormat="false" ht="15.75" hidden="false" customHeight="tru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customFormat="false" ht="15.75" hidden="false" customHeight="tru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customFormat="false" ht="15.75" hidden="false" customHeight="tru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customFormat="false" ht="15.75" hidden="false" customHeight="tru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customFormat="false" ht="15.75" hidden="false" customHeight="tru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customFormat="false" ht="15.75" hidden="false" customHeight="tru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customFormat="false" ht="15.75" hidden="false" customHeight="tru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customFormat="false" ht="15.75" hidden="false" customHeight="true" outlineLevel="0" collapsed="false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customFormat="false" ht="15.75" hidden="false" customHeight="tru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customFormat="false" ht="15.75" hidden="false" customHeight="true" outlineLevel="0" collapsed="false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customFormat="false" ht="15.75" hidden="false" customHeight="tru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customFormat="false" ht="15.75" hidden="false" customHeight="true" outlineLevel="0" collapsed="false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customFormat="false" ht="15.75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customFormat="false" ht="15.75" hidden="false" customHeight="true" outlineLevel="0" collapsed="false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customFormat="false" ht="15.7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customFormat="false" ht="15.75" hidden="false" customHeight="tru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customFormat="false" ht="15.7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customFormat="false" ht="15.75" hidden="false" customHeight="tru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customFormat="false" ht="15.7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customFormat="false" ht="15.75" hidden="false" customHeight="tru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customFormat="false" ht="15.7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customFormat="false" ht="15.75" hidden="false" customHeight="true" outlineLevel="0" collapsed="false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customFormat="false" ht="15.75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customFormat="false" ht="15.75" hidden="false" customHeight="true" outlineLevel="0" collapsed="false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customFormat="false" ht="15.75" hidden="false" customHeight="tru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customFormat="false" ht="15.75" hidden="false" customHeight="tru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customFormat="false" ht="15.75" hidden="false" customHeight="tru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customFormat="false" ht="15.75" hidden="false" customHeight="tru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customFormat="false" ht="15.75" hidden="false" customHeight="tru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customFormat="false" ht="15.75" hidden="false" customHeight="tru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customFormat="false" ht="15.75" hidden="false" customHeight="tru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customFormat="false" ht="15.75" hidden="false" customHeight="tru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customFormat="false" ht="15.7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customFormat="false" ht="15.75" hidden="false" customHeight="tru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customFormat="false" ht="15.75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customFormat="false" ht="15.75" hidden="false" customHeight="tru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customFormat="false" ht="15.75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customFormat="false" ht="15.75" hidden="false" customHeight="tru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customFormat="false" ht="15.75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customFormat="false" ht="15.75" hidden="false" customHeight="tru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customFormat="false" ht="15.75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customFormat="false" ht="15.75" hidden="false" customHeight="tru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customFormat="false" ht="15.75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customFormat="false" ht="15.75" hidden="false" customHeight="tru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customFormat="false" ht="15.75" hidden="false" customHeight="tru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customFormat="false" ht="15.75" hidden="false" customHeight="true" outlineLevel="0" collapsed="false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customFormat="false" ht="15.75" hidden="false" customHeight="tru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customFormat="false" ht="15.75" hidden="false" customHeight="true" outlineLevel="0" collapsed="false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customFormat="false" ht="15.75" hidden="false" customHeight="tru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customFormat="false" ht="15.75" hidden="false" customHeight="true" outlineLevel="0" collapsed="false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customFormat="false" ht="15.75" hidden="false" customHeight="tru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customFormat="false" ht="15.75" hidden="false" customHeight="true" outlineLevel="0" collapsed="false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customFormat="false" ht="15.75" hidden="false" customHeight="tru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customFormat="false" ht="15.75" hidden="false" customHeight="tru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customFormat="false" ht="15.75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customFormat="false" ht="15.75" hidden="false" customHeight="tru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customFormat="false" ht="15.75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customFormat="false" ht="15.75" hidden="false" customHeight="tru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customFormat="false" ht="15.75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customFormat="false" ht="15.75" hidden="false" customHeight="tru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customFormat="false" ht="15.7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customFormat="false" ht="15.75" hidden="false" customHeight="tru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customFormat="false" ht="15.7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customFormat="false" ht="15.75" hidden="false" customHeight="tru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customFormat="false" ht="15.7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customFormat="false" ht="15.75" hidden="false" customHeight="tru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customFormat="false" ht="15.7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customFormat="false" ht="15.75" hidden="false" customHeight="tru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customFormat="false" ht="15.7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customFormat="false" ht="15.75" hidden="false" customHeight="tru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customFormat="false" ht="15.7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customFormat="false" ht="15.75" hidden="false" customHeight="tru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customFormat="false" ht="15.7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customFormat="false" ht="15.75" hidden="false" customHeight="tru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customFormat="false" ht="15.7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customFormat="false" ht="15.75" hidden="false" customHeight="tru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customFormat="false" ht="15.7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customFormat="false" ht="15.75" hidden="false" customHeight="tru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customFormat="false" ht="15.7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customFormat="false" ht="15.75" hidden="false" customHeight="tru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customFormat="false" ht="15.7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customFormat="false" ht="15.75" hidden="false" customHeight="tru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customFormat="false" ht="15.7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customFormat="false" ht="15.75" hidden="false" customHeight="tru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customFormat="false" ht="15.7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customFormat="false" ht="15.75" hidden="false" customHeight="tru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customFormat="false" ht="15.7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customFormat="false" ht="15.75" hidden="false" customHeight="tru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customFormat="false" ht="15.7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customFormat="false" ht="15.75" hidden="false" customHeight="tru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customFormat="false" ht="15.7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customFormat="false" ht="15.75" hidden="false" customHeight="tru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customFormat="false" ht="15.7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customFormat="false" ht="15.75" hidden="false" customHeight="tru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customFormat="false" ht="15.7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customFormat="false" ht="15.75" hidden="false" customHeight="tru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customFormat="false" ht="15.7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customFormat="false" ht="15.75" hidden="false" customHeight="tru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customFormat="false" ht="15.7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customFormat="false" ht="15.75" hidden="false" customHeight="tru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customFormat="false" ht="15.7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customFormat="false" ht="15.75" hidden="false" customHeight="tru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customFormat="false" ht="15.7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customFormat="false" ht="15.75" hidden="false" customHeight="tru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customFormat="false" ht="15.7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customFormat="false" ht="15.75" hidden="false" customHeight="tru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customFormat="false" ht="15.7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customFormat="false" ht="15.75" hidden="false" customHeight="tru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customFormat="false" ht="15.7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customFormat="false" ht="15.75" hidden="false" customHeight="tru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customFormat="false" ht="15.7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customFormat="false" ht="15.75" hidden="false" customHeight="tru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customFormat="false" ht="15.7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customFormat="false" ht="15.7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customFormat="false" ht="15.75" hidden="false" customHeight="tru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customFormat="false" ht="15.7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customFormat="false" ht="15.75" hidden="false" customHeight="tru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customFormat="false" ht="15.7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customFormat="false" ht="15.75" hidden="false" customHeight="tru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customFormat="false" ht="15.7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customFormat="false" ht="15.75" hidden="false" customHeight="tru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customFormat="false" ht="15.7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customFormat="false" ht="15.75" hidden="false" customHeight="tru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customFormat="false" ht="15.7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customFormat="false" ht="15.75" hidden="false" customHeight="tru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customFormat="false" ht="15.7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customFormat="false" ht="15.75" hidden="false" customHeight="tru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customFormat="false" ht="15.7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customFormat="false" ht="15.75" hidden="false" customHeight="tru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customFormat="false" ht="15.7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customFormat="false" ht="15.75" hidden="false" customHeight="tru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customFormat="false" ht="15.7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customFormat="false" ht="15.75" hidden="false" customHeight="tru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customFormat="false" ht="15.7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customFormat="false" ht="15.75" hidden="false" customHeight="tru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customFormat="false" ht="15.7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customFormat="false" ht="15.75" hidden="false" customHeight="tru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customFormat="false" ht="15.7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customFormat="false" ht="15.75" hidden="false" customHeight="tru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customFormat="false" ht="15.7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customFormat="false" ht="15.75" hidden="false" customHeight="tru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customFormat="false" ht="15.7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customFormat="false" ht="15.75" hidden="false" customHeight="tru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customFormat="false" ht="15.7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customFormat="false" ht="15.75" hidden="false" customHeight="tru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customFormat="false" ht="15.7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customFormat="false" ht="15.75" hidden="false" customHeight="tru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customFormat="false" ht="15.7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customFormat="false" ht="15.75" hidden="false" customHeight="tru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customFormat="false" ht="15.7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customFormat="false" ht="15.75" hidden="false" customHeight="tru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customFormat="false" ht="15.7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customFormat="false" ht="15.75" hidden="false" customHeight="tru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customFormat="false" ht="15.7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customFormat="false" ht="15.75" hidden="false" customHeight="tru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customFormat="false" ht="15.7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customFormat="false" ht="15.75" hidden="false" customHeight="tru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customFormat="false" ht="15.7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customFormat="false" ht="15.75" hidden="false" customHeight="tru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customFormat="false" ht="15.7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customFormat="false" ht="15.75" hidden="false" customHeight="tru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customFormat="false" ht="15.7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customFormat="false" ht="15.75" hidden="false" customHeight="tru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customFormat="false" ht="15.7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customFormat="false" ht="15.75" hidden="false" customHeight="tru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customFormat="false" ht="15.7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customFormat="false" ht="15.75" hidden="false" customHeight="tru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customFormat="false" ht="15.7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customFormat="false" ht="15.75" hidden="false" customHeight="tru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customFormat="false" ht="15.7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customFormat="false" ht="15.75" hidden="false" customHeight="tru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customFormat="false" ht="15.7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customFormat="false" ht="15.75" hidden="false" customHeight="tru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customFormat="false" ht="15.7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customFormat="false" ht="15.75" hidden="false" customHeight="tru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customFormat="false" ht="15.7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customFormat="false" ht="15.75" hidden="false" customHeight="tru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customFormat="false" ht="15.7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customFormat="false" ht="15.75" hidden="false" customHeight="tru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customFormat="false" ht="15.7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customFormat="false" ht="15.75" hidden="false" customHeight="tru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customFormat="false" ht="15.7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customFormat="false" ht="15.75" hidden="false" customHeight="tru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customFormat="false" ht="15.7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customFormat="false" ht="15.75" hidden="false" customHeight="tru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customFormat="false" ht="15.7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customFormat="false" ht="15.75" hidden="false" customHeight="tru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customFormat="false" ht="15.7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customFormat="false" ht="15.75" hidden="false" customHeight="tru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customFormat="false" ht="15.7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customFormat="false" ht="15.75" hidden="false" customHeight="tru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customFormat="false" ht="15.7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customFormat="false" ht="15.75" hidden="false" customHeight="tru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customFormat="false" ht="15.7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customFormat="false" ht="15.75" hidden="false" customHeight="tru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customFormat="false" ht="15.7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customFormat="false" ht="15.75" hidden="false" customHeight="tru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customFormat="false" ht="15.7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customFormat="false" ht="15.75" hidden="false" customHeight="tru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customFormat="false" ht="15.7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customFormat="false" ht="15.75" hidden="false" customHeight="tru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customFormat="false" ht="15.7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customFormat="false" ht="15.75" hidden="false" customHeight="tru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customFormat="false" ht="15.7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customFormat="false" ht="15.75" hidden="false" customHeight="tru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customFormat="false" ht="15.7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customFormat="false" ht="15.75" hidden="false" customHeight="tru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customFormat="false" ht="15.7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customFormat="false" ht="15.75" hidden="false" customHeight="tru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customFormat="false" ht="15.7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customFormat="false" ht="15.75" hidden="false" customHeight="tru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customFormat="false" ht="15.7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customFormat="false" ht="15.75" hidden="false" customHeight="tru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customFormat="false" ht="15.7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customFormat="false" ht="15.75" hidden="false" customHeight="tru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customFormat="false" ht="15.7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customFormat="false" ht="15.75" hidden="false" customHeight="tru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customFormat="false" ht="15.7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customFormat="false" ht="15.75" hidden="false" customHeight="tru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customFormat="false" ht="15.7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customFormat="false" ht="15.75" hidden="false" customHeight="tru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customFormat="false" ht="15.7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customFormat="false" ht="15.75" hidden="false" customHeight="tru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customFormat="false" ht="15.7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customFormat="false" ht="15.75" hidden="false" customHeight="tru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customFormat="false" ht="15.7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customFormat="false" ht="15.75" hidden="false" customHeight="tru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customFormat="false" ht="15.7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customFormat="false" ht="15.75" hidden="false" customHeight="tru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customFormat="false" ht="15.7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customFormat="false" ht="15.75" hidden="false" customHeight="tru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customFormat="false" ht="15.7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customFormat="false" ht="15.75" hidden="false" customHeight="tru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customFormat="false" ht="15.7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customFormat="false" ht="15.75" hidden="false" customHeight="tru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customFormat="false" ht="15.7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customFormat="false" ht="15.75" hidden="false" customHeight="tru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customFormat="false" ht="15.7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customFormat="false" ht="15.75" hidden="false" customHeight="tru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customFormat="false" ht="15.7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customFormat="false" ht="15.75" hidden="false" customHeight="tru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customFormat="false" ht="15.7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customFormat="false" ht="15.75" hidden="false" customHeight="tru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customFormat="false" ht="15.7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customFormat="false" ht="15.75" hidden="false" customHeight="tru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customFormat="false" ht="15.7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customFormat="false" ht="15.75" hidden="false" customHeight="tru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customFormat="false" ht="15.7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customFormat="false" ht="15.75" hidden="false" customHeight="tru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customFormat="false" ht="15.7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customFormat="false" ht="15.75" hidden="false" customHeight="tru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customFormat="false" ht="15.7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customFormat="false" ht="15.75" hidden="false" customHeight="tru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customFormat="false" ht="15.7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customFormat="false" ht="15.75" hidden="false" customHeight="tru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customFormat="false" ht="15.7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customFormat="false" ht="15.75" hidden="false" customHeight="tru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customFormat="false" ht="15.7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customFormat="false" ht="15.75" hidden="false" customHeight="tru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customFormat="false" ht="15.7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customFormat="false" ht="15.75" hidden="false" customHeight="tru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customFormat="false" ht="15.7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customFormat="false" ht="15.75" hidden="false" customHeight="tru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customFormat="false" ht="15.7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customFormat="false" ht="15.75" hidden="false" customHeight="tru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customFormat="false" ht="15.7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customFormat="false" ht="15.75" hidden="false" customHeight="tru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customFormat="false" ht="15.7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customFormat="false" ht="15.75" hidden="false" customHeight="tru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customFormat="false" ht="15.7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customFormat="false" ht="15.75" hidden="false" customHeight="tru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customFormat="false" ht="15.7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customFormat="false" ht="15.75" hidden="false" customHeight="tru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customFormat="false" ht="15.7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customFormat="false" ht="15.75" hidden="false" customHeight="tru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customFormat="false" ht="15.7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customFormat="false" ht="15.75" hidden="false" customHeight="tru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customFormat="false" ht="15.7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customFormat="false" ht="15.75" hidden="false" customHeight="tru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customFormat="false" ht="15.7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customFormat="false" ht="15.75" hidden="false" customHeight="tru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customFormat="false" ht="15.7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customFormat="false" ht="15.75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customFormat="false" ht="15.7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customFormat="false" ht="15.75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customFormat="false" ht="15.7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customFormat="false" ht="15.75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customFormat="false" ht="15.7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customFormat="false" ht="15.75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customFormat="false" ht="15.7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customFormat="false" ht="15.75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customFormat="false" ht="15.7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customFormat="false" ht="15.75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customFormat="false" ht="15.7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customFormat="false" ht="15.75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customFormat="false" ht="15.7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customFormat="false" ht="15.75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customFormat="false" ht="15.7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customFormat="false" ht="15.75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customFormat="false" ht="15.7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customFormat="false" ht="15.75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customFormat="false" ht="15.7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customFormat="false" ht="15.75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customFormat="false" ht="15.7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customFormat="false" ht="15.75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customFormat="false" ht="15.7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customFormat="false" ht="15.75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customFormat="false" ht="15.7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customFormat="false" ht="15.75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customFormat="false" ht="15.7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customFormat="false" ht="15.75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customFormat="false" ht="15.7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customFormat="false" ht="15.75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customFormat="false" ht="15.7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customFormat="false" ht="15.75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customFormat="false" ht="15.7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customFormat="false" ht="15.75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customFormat="false" ht="15.7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customFormat="false" ht="15.75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customFormat="false" ht="15.7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customFormat="false" ht="15.75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customFormat="false" ht="15.7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customFormat="false" ht="15.75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customFormat="false" ht="15.7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customFormat="false" ht="15.75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customFormat="false" ht="15.7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customFormat="false" ht="15.75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customFormat="false" ht="15.7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customFormat="false" ht="15.75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customFormat="false" ht="15.7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customFormat="false" ht="15.75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customFormat="false" ht="15.7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customFormat="false" ht="15.75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customFormat="false" ht="15.7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customFormat="false" ht="15.75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customFormat="false" ht="15.7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customFormat="false" ht="15.75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customFormat="false" ht="15.7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customFormat="false" ht="15.75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customFormat="false" ht="15.7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customFormat="false" ht="15.75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customFormat="false" ht="15.7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customFormat="false" ht="15.75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customFormat="false" ht="15.7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customFormat="false" ht="15.75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customFormat="false" ht="15.7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customFormat="false" ht="15.75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customFormat="false" ht="15.7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customFormat="false" ht="15.75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customFormat="false" ht="15.7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customFormat="false" ht="15.75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customFormat="false" ht="15.7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customFormat="false" ht="15.75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customFormat="false" ht="15.7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customFormat="false" ht="15.75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customFormat="false" ht="15.7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customFormat="false" ht="15.75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customFormat="false" ht="15.7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customFormat="false" ht="15.75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customFormat="false" ht="15.7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customFormat="false" ht="15.75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customFormat="false" ht="15.7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customFormat="false" ht="15.75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customFormat="false" ht="15.7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customFormat="false" ht="15.75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customFormat="false" ht="15.7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customFormat="false" ht="15.75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customFormat="false" ht="15.7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customFormat="false" ht="15.75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customFormat="false" ht="15.7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customFormat="false" ht="15.75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customFormat="false" ht="15.7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customFormat="false" ht="15.75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customFormat="false" ht="15.7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customFormat="false" ht="15.75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customFormat="false" ht="15.7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customFormat="false" ht="15.75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customFormat="false" ht="15.7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customFormat="false" ht="15.75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customFormat="false" ht="15.7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customFormat="false" ht="15.75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customFormat="false" ht="15.7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customFormat="false" ht="15.75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customFormat="false" ht="15.7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customFormat="false" ht="15.75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customFormat="false" ht="15.7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customFormat="false" ht="15.75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customFormat="false" ht="15.7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customFormat="false" ht="15.75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customFormat="false" ht="15.7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customFormat="false" ht="15.75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customFormat="false" ht="15.7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customFormat="false" ht="15.75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customFormat="false" ht="15.7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customFormat="false" ht="15.75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customFormat="false" ht="15.7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customFormat="false" ht="15.75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customFormat="false" ht="15.7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customFormat="false" ht="15.75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customFormat="false" ht="15.7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customFormat="false" ht="15.75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customFormat="false" ht="15.7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customFormat="false" ht="15.75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customFormat="false" ht="15.7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customFormat="false" ht="15.75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customFormat="false" ht="15.7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customFormat="false" ht="15.75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customFormat="false" ht="15.7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customFormat="false" ht="15.75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customFormat="false" ht="15.7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customFormat="false" ht="15.75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customFormat="false" ht="15.7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customFormat="false" ht="15.75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customFormat="false" ht="15.7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customFormat="false" ht="15.75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customFormat="false" ht="15.7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customFormat="false" ht="15.75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customFormat="false" ht="15.7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customFormat="false" ht="15.75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customFormat="false" ht="15.7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customFormat="false" ht="15.75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customFormat="false" ht="15.7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customFormat="false" ht="15.75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customFormat="false" ht="15.7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customFormat="false" ht="15.75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customFormat="false" ht="15.7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customFormat="false" ht="15.75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customFormat="false" ht="15.7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customFormat="false" ht="15.75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customFormat="false" ht="15.7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customFormat="false" ht="15.75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customFormat="false" ht="15.7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customFormat="false" ht="15.75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customFormat="false" ht="15.7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customFormat="false" ht="15.75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customFormat="false" ht="15.7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customFormat="false" ht="15.75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customFormat="false" ht="15.7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customFormat="false" ht="15.75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customFormat="false" ht="15.7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customFormat="false" ht="15.75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customFormat="false" ht="15.7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customFormat="false" ht="15.75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customFormat="false" ht="15.7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customFormat="false" ht="15.75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customFormat="false" ht="15.7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customFormat="false" ht="15.75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customFormat="false" ht="15.7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customFormat="false" ht="15.75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customFormat="false" ht="15.7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customFormat="false" ht="15.75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customFormat="false" ht="15.7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customFormat="false" ht="15.75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customFormat="false" ht="15.7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customFormat="false" ht="15.75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customFormat="false" ht="15.7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customFormat="false" ht="15.75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customFormat="false" ht="15.7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customFormat="false" ht="15.75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customFormat="false" ht="15.7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customFormat="false" ht="15.75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customFormat="false" ht="15.7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customFormat="false" ht="15.75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customFormat="false" ht="15.7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customFormat="false" ht="15.75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customFormat="false" ht="15.7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customFormat="false" ht="15.75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customFormat="false" ht="15.7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customFormat="false" ht="15.75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customFormat="false" ht="15.7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customFormat="false" ht="15.75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customFormat="false" ht="15.7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customFormat="false" ht="15.75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customFormat="false" ht="15.7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customFormat="false" ht="15.75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customFormat="false" ht="15.7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customFormat="false" ht="15.75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customFormat="false" ht="15.7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customFormat="false" ht="15.75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customFormat="false" ht="15.7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customFormat="false" ht="15.75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customFormat="false" ht="15.7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customFormat="false" ht="15.75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customFormat="false" ht="15.7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customFormat="false" ht="15.75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customFormat="false" ht="15.7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customFormat="false" ht="15.75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customFormat="false" ht="15.7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customFormat="false" ht="15.75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customFormat="false" ht="15.7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customFormat="false" ht="15.75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customFormat="false" ht="15.7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customFormat="false" ht="15.75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customFormat="false" ht="15.7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customFormat="false" ht="15.75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customFormat="false" ht="15.7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customFormat="false" ht="15.75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customFormat="false" ht="15.7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customFormat="false" ht="15.75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customFormat="false" ht="15.7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customFormat="false" ht="15.75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customFormat="false" ht="15.7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customFormat="false" ht="15.75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customFormat="false" ht="15.7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customFormat="false" ht="15.75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customFormat="false" ht="15.7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customFormat="false" ht="15.75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customFormat="false" ht="15.7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customFormat="false" ht="15.75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customFormat="false" ht="15.7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customFormat="false" ht="15.75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customFormat="false" ht="15.7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customFormat="false" ht="15.75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customFormat="false" ht="15.7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customFormat="false" ht="15.75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customFormat="false" ht="15.7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customFormat="false" ht="15.75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customFormat="false" ht="15.7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customFormat="false" ht="15.75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customFormat="false" ht="15.7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customFormat="false" ht="15.75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customFormat="false" ht="15.7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customFormat="false" ht="15.75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customFormat="false" ht="15.7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customFormat="false" ht="15.75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customFormat="false" ht="15.7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customFormat="false" ht="15.75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customFormat="false" ht="15.7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customFormat="false" ht="15.75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customFormat="false" ht="15.7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customFormat="false" ht="15.75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customFormat="false" ht="15.7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customFormat="false" ht="15.75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customFormat="false" ht="15.7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customFormat="false" ht="15.75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customFormat="false" ht="15.7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customFormat="false" ht="15.75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customFormat="false" ht="15.7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customFormat="false" ht="15.75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customFormat="false" ht="15.7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customFormat="false" ht="15.75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customFormat="false" ht="15.7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customFormat="false" ht="15.75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customFormat="false" ht="15.7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customFormat="false" ht="15.75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customFormat="false" ht="15.7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customFormat="false" ht="15.75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customFormat="false" ht="15.7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customFormat="false" ht="15.75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customFormat="false" ht="15.7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customFormat="false" ht="15.75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customFormat="false" ht="15.7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customFormat="false" ht="15.75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customFormat="false" ht="15.7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customFormat="false" ht="15.75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customFormat="false" ht="15.7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customFormat="false" ht="15.75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customFormat="false" ht="15.7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customFormat="false" ht="15.75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customFormat="false" ht="15.7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customFormat="false" ht="15.75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customFormat="false" ht="15.7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customFormat="false" ht="15.75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customFormat="false" ht="15.7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customFormat="false" ht="15.75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customFormat="false" ht="15.7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customFormat="false" ht="15.75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customFormat="false" ht="15.7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customFormat="false" ht="15.75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customFormat="false" ht="15.7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customFormat="false" ht="15.75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customFormat="false" ht="15.7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customFormat="false" ht="15.75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customFormat="false" ht="15.7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customFormat="false" ht="15.75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customFormat="false" ht="15.7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customFormat="false" ht="15.75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customFormat="false" ht="15.7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customFormat="false" ht="15.75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customFormat="false" ht="15.7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customFormat="false" ht="15.75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customFormat="false" ht="15.7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customFormat="false" ht="15.75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customFormat="false" ht="15.7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customFormat="false" ht="15.75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customFormat="false" ht="15.7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customFormat="false" ht="15.75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customFormat="false" ht="15.7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customFormat="false" ht="15.75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customFormat="false" ht="15.7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customFormat="false" ht="15.75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customFormat="false" ht="15.7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customFormat="false" ht="15.75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customFormat="false" ht="15.7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customFormat="false" ht="15.75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customFormat="false" ht="15.7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customFormat="false" ht="15.75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customFormat="false" ht="15.7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customFormat="false" ht="15.75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customFormat="false" ht="15.7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customFormat="false" ht="15.75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customFormat="false" ht="15.7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customFormat="false" ht="15.75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customFormat="false" ht="15.7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customFormat="false" ht="15.75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customFormat="false" ht="15.7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customFormat="false" ht="15.75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customFormat="false" ht="15.7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customFormat="false" ht="15.75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customFormat="false" ht="15.7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customFormat="false" ht="15.75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customFormat="false" ht="15.7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customFormat="false" ht="15.75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customFormat="false" ht="15.7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customFormat="false" ht="15.75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customFormat="false" ht="15.7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customFormat="false" ht="15.75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customFormat="false" ht="15.7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customFormat="false" ht="15.75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customFormat="false" ht="15.7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customFormat="false" ht="15.75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customFormat="false" ht="15.7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customFormat="false" ht="15.75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customFormat="false" ht="15.7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customFormat="false" ht="15.75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customFormat="false" ht="15.7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customFormat="false" ht="15.75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customFormat="false" ht="15.7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customFormat="false" ht="15.75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customFormat="false" ht="15.7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customFormat="false" ht="15.75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customFormat="false" ht="15.7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customFormat="false" ht="15.75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customFormat="false" ht="15.7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customFormat="false" ht="15.75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customFormat="false" ht="15.7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customFormat="false" ht="15.75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customFormat="false" ht="15.7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customFormat="false" ht="15.75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customFormat="false" ht="15.7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customFormat="false" ht="15.75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customFormat="false" ht="15.7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customFormat="false" ht="15.75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customFormat="false" ht="15.7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customFormat="false" ht="15.75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customFormat="false" ht="15.7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customFormat="false" ht="15.75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customFormat="false" ht="15.7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customFormat="false" ht="15.75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customFormat="false" ht="15.7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customFormat="false" ht="15.75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customFormat="false" ht="15.7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customFormat="false" ht="15.75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customFormat="false" ht="15.7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customFormat="false" ht="15.75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customFormat="false" ht="15.7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customFormat="false" ht="15.75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customFormat="false" ht="15.7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customFormat="false" ht="15.75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customFormat="false" ht="15.7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customFormat="false" ht="15.75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customFormat="false" ht="15.7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customFormat="false" ht="15.75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customFormat="false" ht="15.7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customFormat="false" ht="15.75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customFormat="false" ht="15.7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customFormat="false" ht="15.75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customFormat="false" ht="15.7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customFormat="false" ht="15.75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customFormat="false" ht="15.7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customFormat="false" ht="15.75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customFormat="false" ht="15.7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customFormat="false" ht="15.75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customFormat="false" ht="15.7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customFormat="false" ht="15.75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customFormat="false" ht="15.7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customFormat="false" ht="15.75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customFormat="false" ht="15.7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customFormat="false" ht="15.75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customFormat="false" ht="15.7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customFormat="false" ht="15.75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customFormat="false" ht="15.7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customFormat="false" ht="15.75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customFormat="false" ht="15.7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customFormat="false" ht="15.75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customFormat="false" ht="15.7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customFormat="false" ht="15.75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customFormat="false" ht="15.7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customFormat="false" ht="15.75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customFormat="false" ht="15.7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customFormat="false" ht="15.75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customFormat="false" ht="15.7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customFormat="false" ht="15.75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customFormat="false" ht="15.7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customFormat="false" ht="15.75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customFormat="false" ht="15.7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customFormat="false" ht="15.75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customFormat="false" ht="15.7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customFormat="false" ht="15.75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customFormat="false" ht="15.7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customFormat="false" ht="15.75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customFormat="false" ht="15.7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customFormat="false" ht="15.75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customFormat="false" ht="15.7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customFormat="false" ht="15.75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customFormat="false" ht="15.7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customFormat="false" ht="15.75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customFormat="false" ht="15.7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customFormat="false" ht="15.75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customFormat="false" ht="15.7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customFormat="false" ht="15.75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customFormat="false" ht="15.7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customFormat="false" ht="15.75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customFormat="false" ht="15.7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customFormat="false" ht="15.75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customFormat="false" ht="15.7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customFormat="false" ht="15.75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customFormat="false" ht="15.7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customFormat="false" ht="15.75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customFormat="false" ht="15.7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customFormat="false" ht="15.75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customFormat="false" ht="15.7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customFormat="false" ht="15.75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customFormat="false" ht="15.7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customFormat="false" ht="15.75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customFormat="false" ht="15.7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customFormat="false" ht="15.75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customFormat="false" ht="15.7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customFormat="false" ht="15.75" hidden="false" customHeight="tru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customFormat="false" ht="15.75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customFormat="false" ht="15.75" hidden="false" customHeight="tru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customFormat="false" ht="15.75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customFormat="false" ht="15.75" hidden="false" customHeight="tru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customFormat="false" ht="15.75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customFormat="false" ht="15.75" hidden="false" customHeight="tru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customFormat="false" ht="15.75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customFormat="false" ht="15.75" hidden="false" customHeight="tru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customFormat="false" ht="15.75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customFormat="false" ht="15.75" hidden="false" customHeight="tru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customFormat="false" ht="15.75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customFormat="false" ht="15.75" hidden="false" customHeight="tru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customFormat="false" ht="15.75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customFormat="false" ht="15.75" hidden="false" customHeight="tru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customFormat="false" ht="15.75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customFormat="false" ht="15.75" hidden="false" customHeight="tru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customFormat="false" ht="15.75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customFormat="false" ht="15.75" hidden="false" customHeight="tru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customFormat="false" ht="15.75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customFormat="false" ht="15.75" hidden="false" customHeight="tru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customFormat="false" ht="15.75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customFormat="false" ht="15.75" hidden="false" customHeight="tru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customFormat="false" ht="15.75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customFormat="false" ht="15.75" hidden="false" customHeight="tru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customFormat="false" ht="15.75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customFormat="false" ht="15.75" hidden="false" customHeight="tru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customFormat="false" ht="15.75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customFormat="false" ht="15.75" hidden="false" customHeight="tru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customFormat="false" ht="15.75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customFormat="false" ht="15.75" hidden="false" customHeight="tru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customFormat="false" ht="15.75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customFormat="false" ht="15.75" hidden="false" customHeight="tru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customFormat="false" ht="15.75" hidden="false" customHeight="tru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customFormat="false" ht="15.75" hidden="false" customHeight="tru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customFormat="false" ht="15.75" hidden="false" customHeight="tru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customFormat="false" ht="15.75" hidden="false" customHeight="tru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customFormat="false" ht="15.75" hidden="false" customHeight="tru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customFormat="false" ht="15.75" hidden="false" customHeight="tru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customFormat="false" ht="15.75" hidden="false" customHeight="tru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customFormat="false" ht="15.75" hidden="false" customHeight="tru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customFormat="false" ht="15.75" hidden="false" customHeight="tru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customFormat="false" ht="15.75" hidden="false" customHeight="tru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customFormat="false" ht="15.75" hidden="false" customHeight="tru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customFormat="false" ht="15.75" hidden="false" customHeight="tru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customFormat="false" ht="15.75" hidden="false" customHeight="tru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customFormat="false" ht="15.75" hidden="false" customHeight="tru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customFormat="false" ht="15.75" hidden="false" customHeight="tru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customFormat="false" ht="15.75" hidden="false" customHeight="tru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customFormat="false" ht="15.75" hidden="false" customHeight="true" outlineLevel="0" collapsed="false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customFormat="false" ht="15.75" hidden="false" customHeight="true" outlineLevel="0" collapsed="false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</sheetData>
  <conditionalFormatting sqref="D2:D15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50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:F150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:G150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150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I150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:J150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3.13"/>
    <col collapsed="false" customWidth="true" hidden="false" outlineLevel="0" max="2" min="2" style="0" width="20.25"/>
    <col collapsed="false" customWidth="true" hidden="false" outlineLevel="0" max="3" min="3" style="0" width="16.63"/>
    <col collapsed="false" customWidth="true" hidden="false" outlineLevel="0" max="4" min="4" style="0" width="7.75"/>
    <col collapsed="false" customWidth="true" hidden="false" outlineLevel="0" max="5" min="5" style="0" width="7.38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9.38"/>
    <col collapsed="false" customWidth="true" hidden="false" outlineLevel="0" max="9" min="9" style="0" width="9.75"/>
    <col collapsed="false" customWidth="true" hidden="false" outlineLevel="0" max="10" min="10" style="0" width="7.5"/>
    <col collapsed="false" customWidth="true" hidden="false" outlineLevel="0" max="11" min="11" style="0" width="9.75"/>
    <col collapsed="false" customWidth="true" hidden="false" outlineLevel="0" max="12" min="12" style="0" width="18"/>
    <col collapsed="false" customWidth="true" hidden="false" outlineLevel="0" max="14" min="13" style="0" width="47.88"/>
  </cols>
  <sheetData>
    <row r="1" customFormat="false" ht="15.75" hidden="false" customHeight="true" outlineLevel="0" collapsed="false">
      <c r="A1" s="42" t="s">
        <v>383</v>
      </c>
      <c r="B1" s="42" t="s">
        <v>3</v>
      </c>
      <c r="C1" s="42" t="s">
        <v>4</v>
      </c>
      <c r="D1" s="43" t="s">
        <v>384</v>
      </c>
      <c r="E1" s="43" t="s">
        <v>385</v>
      </c>
      <c r="F1" s="43" t="s">
        <v>386</v>
      </c>
      <c r="G1" s="43" t="s">
        <v>387</v>
      </c>
      <c r="H1" s="43" t="s">
        <v>388</v>
      </c>
      <c r="I1" s="43" t="s">
        <v>389</v>
      </c>
      <c r="J1" s="43" t="s">
        <v>390</v>
      </c>
      <c r="K1" s="43" t="s">
        <v>391</v>
      </c>
      <c r="L1" s="43" t="s">
        <v>392</v>
      </c>
      <c r="M1" s="43" t="s">
        <v>393</v>
      </c>
      <c r="N1" s="43" t="s">
        <v>394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customFormat="false" ht="15.75" hidden="false" customHeight="true" outlineLevel="0" collapsed="false">
      <c r="A2" s="45" t="s">
        <v>188</v>
      </c>
      <c r="B2" s="46" t="str">
        <f aca="false" t="array" ref="B2:B2">IF(A2="","",IFERROR(INDEX('CLM &amp; IM Mapping'!$B$2:$B$270,MATCH(TRIM(A2),'CLM &amp; IM Mapping'!$A$2:$A$270,0)),"Not Mapped"))</f>
        <v>Majid Kakatikar</v>
      </c>
      <c r="C2" s="46" t="str">
        <f aca="false" t="array" ref="C2:C2">IF(A2="","",IFERROR(INDEX('CLM &amp; IM Mapping'!$C$2:$C$270,MATCH(TRIM(A2),'CLM &amp; IM Mapping'!$A$2:$A$270,0)),"Not Mapped"))</f>
        <v>Kishor K</v>
      </c>
      <c r="D2" s="45" t="n">
        <v>0</v>
      </c>
      <c r="E2" s="45" t="n">
        <v>0</v>
      </c>
      <c r="F2" s="45" t="n">
        <v>0</v>
      </c>
      <c r="G2" s="45" t="n">
        <v>0</v>
      </c>
      <c r="H2" s="45" t="n">
        <v>0</v>
      </c>
      <c r="I2" s="45" t="n">
        <v>0</v>
      </c>
      <c r="J2" s="45" t="n">
        <v>0</v>
      </c>
      <c r="K2" s="45" t="n">
        <v>0</v>
      </c>
      <c r="L2" s="47"/>
      <c r="M2" s="46"/>
      <c r="N2" s="46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customFormat="false" ht="15.75" hidden="false" customHeight="true" outlineLevel="0" collapsed="false">
      <c r="A3" s="45" t="s">
        <v>124</v>
      </c>
      <c r="B3" s="46" t="str">
        <f aca="false" t="array" ref="B3:B3">IF(A3="","",IFERROR(INDEX('CLM &amp; IM Mapping'!$B$2:$B$270,MATCH(TRIM(A3),'CLM &amp; IM Mapping'!$A$2:$A$270,0)),"Not Mapped"))</f>
        <v>Majid Kakatikar</v>
      </c>
      <c r="C3" s="46" t="str">
        <f aca="false" t="array" ref="C3:C3">IF(A3="","",IFERROR(INDEX('CLM &amp; IM Mapping'!$C$2:$C$270,MATCH(TRIM(A3),'CLM &amp; IM Mapping'!$A$2:$A$270,0)),"Not Mapped"))</f>
        <v>Kishor K</v>
      </c>
      <c r="D3" s="45" t="n">
        <v>0</v>
      </c>
      <c r="E3" s="45" t="n">
        <v>0</v>
      </c>
      <c r="F3" s="45" t="n">
        <v>0</v>
      </c>
      <c r="G3" s="45" t="n">
        <v>0</v>
      </c>
      <c r="H3" s="45" t="n">
        <v>0</v>
      </c>
      <c r="I3" s="45" t="n">
        <v>0</v>
      </c>
      <c r="J3" s="45" t="n">
        <v>0</v>
      </c>
      <c r="K3" s="45" t="n">
        <v>0</v>
      </c>
      <c r="L3" s="47"/>
      <c r="M3" s="46"/>
      <c r="N3" s="46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customFormat="false" ht="15.75" hidden="false" customHeight="true" outlineLevel="0" collapsed="false">
      <c r="A4" s="46" t="s">
        <v>172</v>
      </c>
      <c r="B4" s="46" t="str">
        <f aca="false" t="array" ref="B4:B4">IF(A4="","",IFERROR(INDEX('CLM &amp; IM Mapping'!$B$2:$B$270,MATCH(TRIM(A4),'CLM &amp; IM Mapping'!$A$2:$A$270,0)),"Not Mapped"))</f>
        <v>Arun Raj</v>
      </c>
      <c r="C4" s="46" t="str">
        <f aca="false" t="array" ref="C4:C4">IF(A4="","",IFERROR(INDEX('CLM &amp; IM Mapping'!$C$2:$C$270,MATCH(TRIM(A4),'CLM &amp; IM Mapping'!$A$2:$A$270,0)),"Not Mapped"))</f>
        <v>Simon Manoharan</v>
      </c>
      <c r="D4" s="45" t="n">
        <v>337</v>
      </c>
      <c r="E4" s="45" t="n">
        <v>0</v>
      </c>
      <c r="F4" s="45" t="n">
        <v>0</v>
      </c>
      <c r="G4" s="45" t="n">
        <v>337</v>
      </c>
      <c r="H4" s="45" t="n">
        <v>0</v>
      </c>
      <c r="I4" s="45" t="n">
        <v>0</v>
      </c>
      <c r="J4" s="45" t="n">
        <v>0</v>
      </c>
      <c r="K4" s="45" t="n">
        <v>0</v>
      </c>
      <c r="L4" s="47"/>
      <c r="M4" s="46"/>
      <c r="N4" s="46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customFormat="false" ht="15.75" hidden="false" customHeight="true" outlineLevel="0" collapsed="false">
      <c r="A5" s="45" t="s">
        <v>176</v>
      </c>
      <c r="B5" s="46" t="str">
        <f aca="false" t="array" ref="B5:B5">IF(A5="","",IFERROR(INDEX('CLM &amp; IM Mapping'!$B$2:$B$270,MATCH(TRIM(A5),'CLM &amp; IM Mapping'!$A$2:$A$270,0)),"Not Mapped"))</f>
        <v>Arun Raj</v>
      </c>
      <c r="C5" s="46" t="str">
        <f aca="false" t="array" ref="C5:C5">IF(A5="","",IFERROR(INDEX('CLM &amp; IM Mapping'!$C$2:$C$270,MATCH(TRIM(A5),'CLM &amp; IM Mapping'!$A$2:$A$270,0)),"Not Mapped"))</f>
        <v>Simon Manoharan</v>
      </c>
      <c r="D5" s="45" t="n">
        <v>1549</v>
      </c>
      <c r="E5" s="45" t="n">
        <v>0</v>
      </c>
      <c r="F5" s="45" t="n">
        <v>0</v>
      </c>
      <c r="G5" s="45" t="n">
        <v>0</v>
      </c>
      <c r="H5" s="45" t="n">
        <v>0</v>
      </c>
      <c r="I5" s="45" t="n">
        <v>1262</v>
      </c>
      <c r="J5" s="45" t="n">
        <v>287</v>
      </c>
      <c r="K5" s="45" t="n">
        <v>1549</v>
      </c>
      <c r="L5" s="47"/>
      <c r="M5" s="46"/>
      <c r="N5" s="46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 customFormat="false" ht="15.75" hidden="false" customHeight="true" outlineLevel="0" collapsed="false">
      <c r="A6" s="45" t="s">
        <v>138</v>
      </c>
      <c r="B6" s="46" t="str">
        <f aca="false" t="array" ref="B6:B6">IF(A6="","",IFERROR(INDEX('CLM &amp; IM Mapping'!$B$2:$B$270,MATCH(TRIM(A6),'CLM &amp; IM Mapping'!$A$2:$A$270,0)),"Not Mapped"))</f>
        <v>Ashwath S</v>
      </c>
      <c r="C6" s="46" t="str">
        <f aca="false" t="array" ref="C6:C6">IF(A6="","",IFERROR(INDEX('CLM &amp; IM Mapping'!$C$2:$C$270,MATCH(TRIM(A6),'CLM &amp; IM Mapping'!$A$2:$A$270,0)),"Not Mapped"))</f>
        <v>Kantha Kumar</v>
      </c>
      <c r="D6" s="45" t="n">
        <v>0</v>
      </c>
      <c r="E6" s="45" t="n">
        <v>0</v>
      </c>
      <c r="F6" s="45" t="n">
        <v>0</v>
      </c>
      <c r="G6" s="45" t="n">
        <v>0</v>
      </c>
      <c r="H6" s="45" t="n">
        <v>0</v>
      </c>
      <c r="I6" s="45" t="n">
        <v>0</v>
      </c>
      <c r="J6" s="45" t="n">
        <v>0</v>
      </c>
      <c r="K6" s="45" t="n">
        <v>0</v>
      </c>
      <c r="L6" s="47"/>
      <c r="M6" s="46"/>
      <c r="N6" s="46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 customFormat="false" ht="15.75" hidden="false" customHeight="true" outlineLevel="0" collapsed="false">
      <c r="A7" s="46" t="s">
        <v>223</v>
      </c>
      <c r="B7" s="46" t="str">
        <f aca="false" t="array" ref="B7:B7">IF(A7="","",IFERROR(INDEX('CLM &amp; IM Mapping'!$B$2:$B$270,MATCH(TRIM(A7),'CLM &amp; IM Mapping'!$A$2:$A$270,0)),"Not Mapped"))</f>
        <v>Ravishankar gowda</v>
      </c>
      <c r="C7" s="46" t="str">
        <f aca="false" t="array" ref="C7:C7">IF(A7="","",IFERROR(INDEX('CLM &amp; IM Mapping'!$C$2:$C$270,MATCH(TRIM(A7),'CLM &amp; IM Mapping'!$A$2:$A$270,0)),"Not Mapped"))</f>
        <v>Kishor K</v>
      </c>
      <c r="D7" s="45" t="n">
        <v>329</v>
      </c>
      <c r="E7" s="45" t="n">
        <v>0</v>
      </c>
      <c r="F7" s="45" t="n">
        <v>329</v>
      </c>
      <c r="G7" s="45" t="n">
        <v>0</v>
      </c>
      <c r="H7" s="45" t="n">
        <v>0</v>
      </c>
      <c r="I7" s="45" t="n">
        <v>0</v>
      </c>
      <c r="J7" s="45" t="n">
        <v>0</v>
      </c>
      <c r="K7" s="45" t="n">
        <v>0</v>
      </c>
      <c r="L7" s="47"/>
      <c r="M7" s="46"/>
      <c r="N7" s="46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customFormat="false" ht="15.75" hidden="false" customHeight="true" outlineLevel="0" collapsed="false">
      <c r="A8" s="45" t="s">
        <v>148</v>
      </c>
      <c r="B8" s="46" t="str">
        <f aca="false" t="array" ref="B8:B8">IF(A8="","",IFERROR(INDEX('CLM &amp; IM Mapping'!$B$2:$B$270,MATCH(TRIM(A8),'CLM &amp; IM Mapping'!$A$2:$A$270,0)),"Not Mapped"))</f>
        <v>Narasimhamurthy R</v>
      </c>
      <c r="C8" s="46" t="str">
        <f aca="false" t="array" ref="C8:C8">IF(A8="","",IFERROR(INDEX('CLM &amp; IM Mapping'!$C$2:$C$270,MATCH(TRIM(A8),'CLM &amp; IM Mapping'!$A$2:$A$270,0)),"Not Mapped"))</f>
        <v>Kishor K</v>
      </c>
      <c r="D8" s="45" t="n">
        <v>6957</v>
      </c>
      <c r="E8" s="45" t="n">
        <v>6171</v>
      </c>
      <c r="F8" s="45" t="n">
        <v>10</v>
      </c>
      <c r="G8" s="45" t="n">
        <v>3</v>
      </c>
      <c r="H8" s="45" t="n">
        <v>773</v>
      </c>
      <c r="I8" s="45" t="n">
        <v>0</v>
      </c>
      <c r="J8" s="45" t="n">
        <v>0</v>
      </c>
      <c r="K8" s="45" t="n">
        <v>776</v>
      </c>
      <c r="L8" s="47"/>
      <c r="M8" s="46"/>
      <c r="N8" s="46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customFormat="false" ht="15.75" hidden="false" customHeight="true" outlineLevel="0" collapsed="false">
      <c r="A9" s="45" t="s">
        <v>298</v>
      </c>
      <c r="B9" s="46" t="str">
        <f aca="false" t="array" ref="B9:B9">IF(A9="","",IFERROR(INDEX('CLM &amp; IM Mapping'!$B$2:$B$270,MATCH(TRIM(A9),'CLM &amp; IM Mapping'!$A$2:$A$270,0)),"Not Mapped"))</f>
        <v>Saddam Hussain</v>
      </c>
      <c r="C9" s="46" t="str">
        <f aca="false" t="array" ref="C9:C9">IF(A9="","",IFERROR(INDEX('CLM &amp; IM Mapping'!$C$2:$C$270,MATCH(TRIM(A9),'CLM &amp; IM Mapping'!$A$2:$A$270,0)),"Not Mapped"))</f>
        <v>Un Mapped</v>
      </c>
      <c r="D9" s="45" t="n">
        <v>0</v>
      </c>
      <c r="E9" s="45" t="n">
        <v>0</v>
      </c>
      <c r="F9" s="45" t="n">
        <v>0</v>
      </c>
      <c r="G9" s="45" t="n">
        <v>0</v>
      </c>
      <c r="H9" s="45" t="n">
        <v>0</v>
      </c>
      <c r="I9" s="45" t="n">
        <v>0</v>
      </c>
      <c r="J9" s="45" t="n">
        <v>0</v>
      </c>
      <c r="K9" s="45" t="n">
        <v>0</v>
      </c>
      <c r="L9" s="47"/>
      <c r="M9" s="46"/>
      <c r="N9" s="46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customFormat="false" ht="15.75" hidden="false" customHeight="true" outlineLevel="0" collapsed="false">
      <c r="A10" s="45" t="s">
        <v>193</v>
      </c>
      <c r="B10" s="46" t="str">
        <f aca="false" t="array" ref="B10:B10">IF(A10="","",IFERROR(INDEX('CLM &amp; IM Mapping'!$B$2:$B$270,MATCH(TRIM(A10),'CLM &amp; IM Mapping'!$A$2:$A$270,0)),"Not Mapped"))</f>
        <v>Richard Harris</v>
      </c>
      <c r="C10" s="46" t="str">
        <f aca="false" t="array" ref="C10:C10">IF(A10="","",IFERROR(INDEX('CLM &amp; IM Mapping'!$C$2:$C$270,MATCH(TRIM(A10),'CLM &amp; IM Mapping'!$A$2:$A$270,0)),"Not Mapped"))</f>
        <v>Kantha Kumar</v>
      </c>
      <c r="D10" s="45" t="n">
        <v>0</v>
      </c>
      <c r="E10" s="45" t="n">
        <v>0</v>
      </c>
      <c r="F10" s="45" t="n">
        <v>0</v>
      </c>
      <c r="G10" s="45" t="n">
        <v>0</v>
      </c>
      <c r="H10" s="45" t="n">
        <v>0</v>
      </c>
      <c r="I10" s="45" t="n">
        <v>0</v>
      </c>
      <c r="J10" s="45" t="n">
        <v>0</v>
      </c>
      <c r="K10" s="45" t="n">
        <v>0</v>
      </c>
      <c r="L10" s="47"/>
      <c r="M10" s="46"/>
      <c r="N10" s="46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customFormat="false" ht="15.75" hidden="false" customHeight="true" outlineLevel="0" collapsed="false">
      <c r="A11" s="45" t="s">
        <v>89</v>
      </c>
      <c r="B11" s="46" t="str">
        <f aca="false" t="array" ref="B11:B11">IF(A11="","",IFERROR(INDEX('CLM &amp; IM Mapping'!$B$2:$B$270,MATCH(TRIM(A11),'CLM &amp; IM Mapping'!$A$2:$A$270,0)),"Not Mapped"))</f>
        <v>Girish N</v>
      </c>
      <c r="C11" s="46" t="str">
        <f aca="false" t="array" ref="C11:C11">IF(A11="","",IFERROR(INDEX('CLM &amp; IM Mapping'!$C$2:$C$270,MATCH(TRIM(A11),'CLM &amp; IM Mapping'!$A$2:$A$270,0)),"Not Mapped"))</f>
        <v>Un Mapped</v>
      </c>
      <c r="D11" s="45" t="n">
        <v>3429</v>
      </c>
      <c r="E11" s="45" t="n">
        <v>996</v>
      </c>
      <c r="F11" s="45" t="n">
        <v>2035</v>
      </c>
      <c r="G11" s="45" t="n">
        <v>246</v>
      </c>
      <c r="H11" s="45" t="n">
        <v>0</v>
      </c>
      <c r="I11" s="45" t="n">
        <v>152</v>
      </c>
      <c r="J11" s="45" t="n">
        <v>0</v>
      </c>
      <c r="K11" s="45" t="n">
        <v>398</v>
      </c>
      <c r="L11" s="47"/>
      <c r="M11" s="46"/>
      <c r="N11" s="46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customFormat="false" ht="15.75" hidden="false" customHeight="true" outlineLevel="0" collapsed="false">
      <c r="A12" s="45" t="s">
        <v>240</v>
      </c>
      <c r="B12" s="46" t="str">
        <f aca="false" t="array" ref="B12:B12">IF(A12="","",IFERROR(INDEX('CLM &amp; IM Mapping'!$B$2:$B$270,MATCH(TRIM(A12),'CLM &amp; IM Mapping'!$A$2:$A$270,0)),"Not Mapped"))</f>
        <v>Narasimhamurthy R</v>
      </c>
      <c r="C12" s="46" t="str">
        <f aca="false" t="array" ref="C12:C12">IF(A12="","",IFERROR(INDEX('CLM &amp; IM Mapping'!$C$2:$C$270,MATCH(TRIM(A12),'CLM &amp; IM Mapping'!$A$2:$A$270,0)),"Not Mapped"))</f>
        <v>Kishor K</v>
      </c>
      <c r="D12" s="45" t="n">
        <v>6070</v>
      </c>
      <c r="E12" s="45" t="n">
        <v>6070</v>
      </c>
      <c r="F12" s="45" t="n">
        <v>0</v>
      </c>
      <c r="G12" s="45" t="n">
        <v>0</v>
      </c>
      <c r="H12" s="45" t="n">
        <v>0</v>
      </c>
      <c r="I12" s="45" t="n">
        <v>0</v>
      </c>
      <c r="J12" s="45" t="n">
        <v>0</v>
      </c>
      <c r="K12" s="45" t="n">
        <v>0</v>
      </c>
      <c r="L12" s="47"/>
      <c r="M12" s="46"/>
      <c r="N12" s="46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customFormat="false" ht="15.75" hidden="false" customHeight="true" outlineLevel="0" collapsed="false">
      <c r="A13" s="45" t="s">
        <v>288</v>
      </c>
      <c r="B13" s="46" t="str">
        <f aca="false" t="array" ref="B13:B13">IF(A13="","",IFERROR(INDEX('CLM &amp; IM Mapping'!$B$2:$B$270,MATCH(TRIM(A13),'CLM &amp; IM Mapping'!$A$2:$A$270,0)),"Not Mapped"))</f>
        <v>Sundaresh S</v>
      </c>
      <c r="C13" s="46" t="str">
        <f aca="false" t="array" ref="C13:C13">IF(A13="","",IFERROR(INDEX('CLM &amp; IM Mapping'!$C$2:$C$270,MATCH(TRIM(A13),'CLM &amp; IM Mapping'!$A$2:$A$270,0)),"Not Mapped"))</f>
        <v>Un Mapped</v>
      </c>
      <c r="D13" s="45" t="n">
        <v>317</v>
      </c>
      <c r="E13" s="45" t="n">
        <v>191</v>
      </c>
      <c r="F13" s="45" t="n">
        <v>0</v>
      </c>
      <c r="G13" s="45" t="n">
        <v>126</v>
      </c>
      <c r="H13" s="45" t="n">
        <v>0</v>
      </c>
      <c r="I13" s="45" t="n">
        <v>0</v>
      </c>
      <c r="J13" s="45" t="n">
        <v>0</v>
      </c>
      <c r="K13" s="45" t="n">
        <v>126</v>
      </c>
      <c r="L13" s="47"/>
      <c r="M13" s="46"/>
      <c r="N13" s="46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customFormat="false" ht="15.75" hidden="false" customHeight="true" outlineLevel="0" collapsed="false">
      <c r="A14" s="45" t="s">
        <v>267</v>
      </c>
      <c r="B14" s="46" t="str">
        <f aca="false" t="array" ref="B14:B14">IF(A14="","",IFERROR(INDEX('CLM &amp; IM Mapping'!$B$2:$B$270,MATCH(TRIM(A14),'CLM &amp; IM Mapping'!$A$2:$A$270,0)),"Not Mapped"))</f>
        <v>Raghavendra Vernekar</v>
      </c>
      <c r="C14" s="46" t="str">
        <f aca="false" t="array" ref="C14:C14">IF(A14="","",IFERROR(INDEX('CLM &amp; IM Mapping'!$C$2:$C$270,MATCH(TRIM(A14),'CLM &amp; IM Mapping'!$A$2:$A$270,0)),"Not Mapped"))</f>
        <v>Prakash BS</v>
      </c>
      <c r="D14" s="45" t="n">
        <v>1681</v>
      </c>
      <c r="E14" s="45" t="n">
        <v>1467</v>
      </c>
      <c r="F14" s="45" t="n">
        <v>2</v>
      </c>
      <c r="G14" s="45" t="n">
        <v>24</v>
      </c>
      <c r="H14" s="45" t="n">
        <v>83</v>
      </c>
      <c r="I14" s="45" t="n">
        <v>1</v>
      </c>
      <c r="J14" s="45" t="n">
        <v>104</v>
      </c>
      <c r="K14" s="45" t="n">
        <v>212</v>
      </c>
      <c r="L14" s="47"/>
      <c r="M14" s="46"/>
      <c r="N14" s="46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customFormat="false" ht="15.75" hidden="false" customHeight="true" outlineLevel="0" collapsed="false">
      <c r="A15" s="45" t="s">
        <v>196</v>
      </c>
      <c r="B15" s="46" t="str">
        <f aca="false" t="array" ref="B15:B15">IF(A15="","",IFERROR(INDEX('CLM &amp; IM Mapping'!$B$2:$B$270,MATCH(TRIM(A15),'CLM &amp; IM Mapping'!$A$2:$A$270,0)),"Not Mapped"))</f>
        <v>Saddam Hussain</v>
      </c>
      <c r="C15" s="46" t="str">
        <f aca="false" t="array" ref="C15:C15">IF(A15="","",IFERROR(INDEX('CLM &amp; IM Mapping'!$C$2:$C$270,MATCH(TRIM(A15),'CLM &amp; IM Mapping'!$A$2:$A$270,0)),"Not Mapped"))</f>
        <v>Un Mapped</v>
      </c>
      <c r="D15" s="45" t="n">
        <v>374</v>
      </c>
      <c r="E15" s="45" t="n">
        <v>4</v>
      </c>
      <c r="F15" s="45" t="n">
        <v>370</v>
      </c>
      <c r="G15" s="45" t="n">
        <v>0</v>
      </c>
      <c r="H15" s="45" t="n">
        <v>0</v>
      </c>
      <c r="I15" s="45" t="n">
        <v>0</v>
      </c>
      <c r="J15" s="45" t="n">
        <v>0</v>
      </c>
      <c r="K15" s="45" t="n">
        <v>0</v>
      </c>
      <c r="L15" s="47"/>
      <c r="M15" s="46"/>
      <c r="N15" s="46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customFormat="false" ht="15.75" hidden="false" customHeight="true" outlineLevel="0" collapsed="false">
      <c r="A16" s="45" t="s">
        <v>276</v>
      </c>
      <c r="B16" s="46" t="str">
        <f aca="false" t="array" ref="B16:B16">IF(A16="","",IFERROR(INDEX('CLM &amp; IM Mapping'!$B$2:$B$270,MATCH(TRIM(A16),'CLM &amp; IM Mapping'!$A$2:$A$270,0)),"Not Mapped"))</f>
        <v>Narasimhamurthy R</v>
      </c>
      <c r="C16" s="46" t="str">
        <f aca="false" t="array" ref="C16:C16">IF(A16="","",IFERROR(INDEX('CLM &amp; IM Mapping'!$C$2:$C$270,MATCH(TRIM(A16),'CLM &amp; IM Mapping'!$A$2:$A$270,0)),"Not Mapped"))</f>
        <v>Kishor K</v>
      </c>
      <c r="D16" s="45" t="n">
        <v>0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5" t="n">
        <v>0</v>
      </c>
      <c r="K16" s="45" t="n">
        <v>0</v>
      </c>
      <c r="L16" s="47"/>
      <c r="M16" s="46"/>
      <c r="N16" s="46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customFormat="false" ht="15.75" hidden="false" customHeight="true" outlineLevel="0" collapsed="false">
      <c r="A17" s="45" t="s">
        <v>31</v>
      </c>
      <c r="B17" s="46" t="str">
        <f aca="false" t="array" ref="B17:B17">IF(A17="","",IFERROR(INDEX('CLM &amp; IM Mapping'!$B$2:$B$270,MATCH(TRIM(A17),'CLM &amp; IM Mapping'!$A$2:$A$270,0)),"Not Mapped"))</f>
        <v>Rizwan Ahmed</v>
      </c>
      <c r="C17" s="46" t="str">
        <f aca="false" t="array" ref="C17:C17">IF(A17="","",IFERROR(INDEX('CLM &amp; IM Mapping'!$C$2:$C$270,MATCH(TRIM(A17),'CLM &amp; IM Mapping'!$A$2:$A$270,0)),"Not Mapped"))</f>
        <v>Un Mapped</v>
      </c>
      <c r="D17" s="45" t="n">
        <v>1937</v>
      </c>
      <c r="E17" s="45" t="n">
        <v>0</v>
      </c>
      <c r="F17" s="45" t="n">
        <v>1936</v>
      </c>
      <c r="G17" s="45" t="n">
        <v>0</v>
      </c>
      <c r="H17" s="45" t="n">
        <v>0</v>
      </c>
      <c r="I17" s="45" t="n">
        <v>0</v>
      </c>
      <c r="J17" s="45" t="n">
        <v>1</v>
      </c>
      <c r="K17" s="45" t="n">
        <v>1</v>
      </c>
      <c r="L17" s="47"/>
      <c r="M17" s="46"/>
      <c r="N17" s="46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customFormat="false" ht="15.75" hidden="false" customHeight="true" outlineLevel="0" collapsed="false">
      <c r="A18" s="45" t="s">
        <v>228</v>
      </c>
      <c r="B18" s="46" t="str">
        <f aca="false" t="array" ref="B18:B18">IF(A18="","",IFERROR(INDEX('CLM &amp; IM Mapping'!$B$2:$B$270,MATCH(TRIM(A18),'CLM &amp; IM Mapping'!$A$2:$A$270,0)),"Not Mapped"))</f>
        <v>Silambarasan E</v>
      </c>
      <c r="C18" s="46" t="str">
        <f aca="false" t="array" ref="C18:C18">IF(A18="","",IFERROR(INDEX('CLM &amp; IM Mapping'!$C$2:$C$270,MATCH(TRIM(A18),'CLM &amp; IM Mapping'!$A$2:$A$270,0)),"Not Mapped"))</f>
        <v>Arivind S</v>
      </c>
      <c r="D18" s="45" t="n">
        <v>7560</v>
      </c>
      <c r="E18" s="45" t="n">
        <v>6957</v>
      </c>
      <c r="F18" s="45" t="n">
        <v>0</v>
      </c>
      <c r="G18" s="45" t="n">
        <v>0</v>
      </c>
      <c r="H18" s="45" t="n">
        <v>584</v>
      </c>
      <c r="I18" s="45" t="n">
        <v>0</v>
      </c>
      <c r="J18" s="45" t="n">
        <v>19</v>
      </c>
      <c r="K18" s="45" t="n">
        <v>603</v>
      </c>
      <c r="L18" s="47"/>
      <c r="M18" s="46"/>
      <c r="N18" s="46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customFormat="false" ht="15.75" hidden="false" customHeight="true" outlineLevel="0" collapsed="false">
      <c r="A19" s="46" t="s">
        <v>117</v>
      </c>
      <c r="B19" s="46" t="str">
        <f aca="false" t="array" ref="B19:B19">IF(A19="","",IFERROR(INDEX('CLM &amp; IM Mapping'!$B$2:$B$270,MATCH(TRIM(A19),'CLM &amp; IM Mapping'!$A$2:$A$270,0)),"Not Mapped"))</f>
        <v>Arun Raj</v>
      </c>
      <c r="C19" s="46" t="str">
        <f aca="false" t="array" ref="C19:C19">IF(A19="","",IFERROR(INDEX('CLM &amp; IM Mapping'!$C$2:$C$270,MATCH(TRIM(A19),'CLM &amp; IM Mapping'!$A$2:$A$270,0)),"Not Mapped"))</f>
        <v>Simon Manoharan</v>
      </c>
      <c r="D19" s="45" t="n">
        <v>15</v>
      </c>
      <c r="E19" s="45" t="n">
        <v>0</v>
      </c>
      <c r="F19" s="45" t="n">
        <v>0</v>
      </c>
      <c r="G19" s="45" t="n">
        <v>0</v>
      </c>
      <c r="H19" s="45" t="n">
        <v>15</v>
      </c>
      <c r="I19" s="45" t="n">
        <v>0</v>
      </c>
      <c r="J19" s="45" t="n">
        <v>0</v>
      </c>
      <c r="K19" s="45" t="n">
        <v>15</v>
      </c>
      <c r="L19" s="47"/>
      <c r="M19" s="46"/>
      <c r="N19" s="46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customFormat="false" ht="15.75" hidden="false" customHeight="true" outlineLevel="0" collapsed="false">
      <c r="A20" s="45" t="s">
        <v>194</v>
      </c>
      <c r="B20" s="46" t="str">
        <f aca="false" t="array" ref="B20:B20">IF(A20="","",IFERROR(INDEX('CLM &amp; IM Mapping'!$B$2:$B$270,MATCH(TRIM(A20),'CLM &amp; IM Mapping'!$A$2:$A$270,0)),"Not Mapped"))</f>
        <v>Balaji G</v>
      </c>
      <c r="C20" s="46" t="str">
        <f aca="false" t="array" ref="C20:C20">IF(A20="","",IFERROR(INDEX('CLM &amp; IM Mapping'!$C$2:$C$270,MATCH(TRIM(A20),'CLM &amp; IM Mapping'!$A$2:$A$270,0)),"Not Mapped"))</f>
        <v>Mohammed Akbar</v>
      </c>
      <c r="D20" s="45" t="n">
        <v>0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5" t="n">
        <v>0</v>
      </c>
      <c r="K20" s="45" t="n">
        <v>0</v>
      </c>
      <c r="L20" s="47"/>
      <c r="M20" s="46"/>
      <c r="N20" s="46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customFormat="false" ht="15.75" hidden="false" customHeight="true" outlineLevel="0" collapsed="false">
      <c r="A21" s="45" t="s">
        <v>133</v>
      </c>
      <c r="B21" s="46" t="str">
        <f aca="false" t="array" ref="B21:B21">IF(A21="","",IFERROR(INDEX('CLM &amp; IM Mapping'!$B$2:$B$270,MATCH(TRIM(A21),'CLM &amp; IM Mapping'!$A$2:$A$270,0)),"Not Mapped"))</f>
        <v>Balaji G</v>
      </c>
      <c r="C21" s="46" t="str">
        <f aca="false" t="array" ref="C21:C21">IF(A21="","",IFERROR(INDEX('CLM &amp; IM Mapping'!$C$2:$C$270,MATCH(TRIM(A21),'CLM &amp; IM Mapping'!$A$2:$A$270,0)),"Not Mapped"))</f>
        <v>Mohammed Akbar</v>
      </c>
      <c r="D21" s="45" t="n">
        <v>371</v>
      </c>
      <c r="E21" s="45" t="n">
        <v>9</v>
      </c>
      <c r="F21" s="45" t="n">
        <v>0</v>
      </c>
      <c r="G21" s="45" t="n">
        <v>362</v>
      </c>
      <c r="H21" s="45" t="n">
        <v>0</v>
      </c>
      <c r="I21" s="45" t="n">
        <v>0</v>
      </c>
      <c r="J21" s="45" t="n">
        <v>0</v>
      </c>
      <c r="K21" s="45" t="n">
        <v>362</v>
      </c>
      <c r="L21" s="47"/>
      <c r="M21" s="46"/>
      <c r="N21" s="46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customFormat="false" ht="15.75" hidden="false" customHeight="true" outlineLevel="0" collapsed="false">
      <c r="A22" s="45" t="s">
        <v>61</v>
      </c>
      <c r="B22" s="46" t="str">
        <f aca="false" t="array" ref="B22:B22">IF(A22="","",IFERROR(INDEX('CLM &amp; IM Mapping'!$B$2:$B$270,MATCH(TRIM(A22),'CLM &amp; IM Mapping'!$A$2:$A$270,0)),"Not Mapped"))</f>
        <v>Balaji G</v>
      </c>
      <c r="C22" s="46" t="str">
        <f aca="false" t="array" ref="C22:C22">IF(A22="","",IFERROR(INDEX('CLM &amp; IM Mapping'!$C$2:$C$270,MATCH(TRIM(A22),'CLM &amp; IM Mapping'!$A$2:$A$270,0)),"Not Mapped"))</f>
        <v>Mohammed Akbar</v>
      </c>
      <c r="D22" s="45" t="n">
        <v>0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5" t="n">
        <v>0</v>
      </c>
      <c r="K22" s="45" t="n">
        <v>0</v>
      </c>
      <c r="L22" s="47"/>
      <c r="M22" s="46"/>
      <c r="N22" s="46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customFormat="false" ht="15.75" hidden="false" customHeight="true" outlineLevel="0" collapsed="false">
      <c r="A23" s="45" t="s">
        <v>232</v>
      </c>
      <c r="B23" s="46" t="str">
        <f aca="false" t="array" ref="B23:B23">IF(A23="","",IFERROR(INDEX('CLM &amp; IM Mapping'!$B$2:$B$270,MATCH(TRIM(A23),'CLM &amp; IM Mapping'!$A$2:$A$270,0)),"Not Mapped"))</f>
        <v>Silambarasan E</v>
      </c>
      <c r="C23" s="46" t="str">
        <f aca="false" t="array" ref="C23:C23">IF(A23="","",IFERROR(INDEX('CLM &amp; IM Mapping'!$C$2:$C$270,MATCH(TRIM(A23),'CLM &amp; IM Mapping'!$A$2:$A$270,0)),"Not Mapped"))</f>
        <v>Arivind S</v>
      </c>
      <c r="D23" s="45" t="n">
        <v>914</v>
      </c>
      <c r="E23" s="45" t="n">
        <v>0</v>
      </c>
      <c r="F23" s="45" t="n">
        <v>0</v>
      </c>
      <c r="G23" s="45" t="n">
        <v>914</v>
      </c>
      <c r="H23" s="45" t="n">
        <v>0</v>
      </c>
      <c r="I23" s="45" t="n">
        <v>0</v>
      </c>
      <c r="J23" s="45" t="n">
        <v>0</v>
      </c>
      <c r="K23" s="45" t="n">
        <v>914</v>
      </c>
      <c r="L23" s="47"/>
      <c r="M23" s="46"/>
      <c r="N23" s="46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customFormat="false" ht="15.75" hidden="false" customHeight="true" outlineLevel="0" collapsed="false">
      <c r="A24" s="45" t="s">
        <v>283</v>
      </c>
      <c r="B24" s="46" t="str">
        <f aca="false" t="array" ref="B24:B24">IF(A24="","",IFERROR(INDEX('CLM &amp; IM Mapping'!$B$2:$B$270,MATCH(TRIM(A24),'CLM &amp; IM Mapping'!$A$2:$A$270,0)),"Not Mapped"))</f>
        <v>Ravishankar gowda</v>
      </c>
      <c r="C24" s="46" t="str">
        <f aca="false" t="array" ref="C24:C24">IF(A24="","",IFERROR(INDEX('CLM &amp; IM Mapping'!$C$2:$C$270,MATCH(TRIM(A24),'CLM &amp; IM Mapping'!$A$2:$A$270,0)),"Not Mapped"))</f>
        <v>Kishor K</v>
      </c>
      <c r="D24" s="45" t="n">
        <v>7312</v>
      </c>
      <c r="E24" s="45" t="n">
        <v>7312</v>
      </c>
      <c r="F24" s="45" t="n">
        <v>0</v>
      </c>
      <c r="G24" s="45" t="n">
        <v>0</v>
      </c>
      <c r="H24" s="45" t="n">
        <v>0</v>
      </c>
      <c r="I24" s="45" t="n">
        <v>0</v>
      </c>
      <c r="J24" s="45" t="n">
        <v>0</v>
      </c>
      <c r="K24" s="45" t="n">
        <v>0</v>
      </c>
      <c r="L24" s="47"/>
      <c r="M24" s="46"/>
      <c r="N24" s="46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customFormat="false" ht="15.75" hidden="false" customHeight="true" outlineLevel="0" collapsed="false">
      <c r="A25" s="45" t="s">
        <v>80</v>
      </c>
      <c r="B25" s="46" t="str">
        <f aca="false" t="array" ref="B25:B25">IF(A25="","",IFERROR(INDEX('CLM &amp; IM Mapping'!$B$2:$B$270,MATCH(TRIM(A25),'CLM &amp; IM Mapping'!$A$2:$A$270,0)),"Not Mapped"))</f>
        <v>Akshay P</v>
      </c>
      <c r="C25" s="46" t="str">
        <f aca="false" t="array" ref="C25:C25">IF(A25="","",IFERROR(INDEX('CLM &amp; IM Mapping'!$C$2:$C$270,MATCH(TRIM(A25),'CLM &amp; IM Mapping'!$A$2:$A$270,0)),"Not Mapped"))</f>
        <v>Srittam Dhal</v>
      </c>
      <c r="D25" s="45" t="n">
        <v>4262</v>
      </c>
      <c r="E25" s="45" t="n">
        <v>985</v>
      </c>
      <c r="F25" s="45" t="n">
        <v>0</v>
      </c>
      <c r="G25" s="45" t="n">
        <v>3277</v>
      </c>
      <c r="H25" s="45" t="n">
        <v>0</v>
      </c>
      <c r="I25" s="45" t="n">
        <v>0</v>
      </c>
      <c r="J25" s="45" t="n">
        <v>0</v>
      </c>
      <c r="K25" s="45" t="n">
        <v>3277</v>
      </c>
      <c r="L25" s="47"/>
      <c r="M25" s="46"/>
      <c r="N25" s="46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customFormat="false" ht="15.75" hidden="false" customHeight="true" outlineLevel="0" collapsed="false">
      <c r="A26" s="45" t="s">
        <v>251</v>
      </c>
      <c r="B26" s="46" t="str">
        <f aca="false" t="array" ref="B26:B26">IF(A26="","",IFERROR(INDEX('CLM &amp; IM Mapping'!$B$2:$B$270,MATCH(TRIM(A26),'CLM &amp; IM Mapping'!$A$2:$A$270,0)),"Not Mapped"))</f>
        <v>Vijay M</v>
      </c>
      <c r="C26" s="46" t="str">
        <f aca="false" t="array" ref="C26:C26">IF(A26="","",IFERROR(INDEX('CLM &amp; IM Mapping'!$C$2:$C$270,MATCH(TRIM(A26),'CLM &amp; IM Mapping'!$A$2:$A$270,0)),"Not Mapped"))</f>
        <v>Kantha Kumar</v>
      </c>
      <c r="D26" s="45" t="n">
        <v>7267</v>
      </c>
      <c r="E26" s="45" t="n">
        <v>0</v>
      </c>
      <c r="F26" s="45" t="n">
        <v>6000</v>
      </c>
      <c r="G26" s="45" t="n">
        <v>0</v>
      </c>
      <c r="H26" s="45" t="n">
        <v>519</v>
      </c>
      <c r="I26" s="45" t="n">
        <v>715</v>
      </c>
      <c r="J26" s="45" t="n">
        <v>33</v>
      </c>
      <c r="K26" s="45" t="n">
        <v>1267</v>
      </c>
      <c r="L26" s="47"/>
      <c r="M26" s="46"/>
      <c r="N26" s="46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customFormat="false" ht="15.75" hidden="false" customHeight="true" outlineLevel="0" collapsed="false">
      <c r="A27" s="45" t="s">
        <v>49</v>
      </c>
      <c r="B27" s="46" t="str">
        <f aca="false" t="array" ref="B27:B27">IF(A27="","",IFERROR(INDEX('CLM &amp; IM Mapping'!$B$2:$B$270,MATCH(TRIM(A27),'CLM &amp; IM Mapping'!$A$2:$A$270,0)),"Not Mapped"))</f>
        <v>Balaji G</v>
      </c>
      <c r="C27" s="46" t="str">
        <f aca="false" t="array" ref="C27:C27">IF(A27="","",IFERROR(INDEX('CLM &amp; IM Mapping'!$C$2:$C$270,MATCH(TRIM(A27),'CLM &amp; IM Mapping'!$A$2:$A$270,0)),"Not Mapped"))</f>
        <v>Mohammed Akbar</v>
      </c>
      <c r="D27" s="45" t="n">
        <v>1600</v>
      </c>
      <c r="E27" s="45" t="n">
        <v>742</v>
      </c>
      <c r="F27" s="45" t="n">
        <v>680</v>
      </c>
      <c r="G27" s="45" t="n">
        <v>178</v>
      </c>
      <c r="H27" s="45" t="n">
        <v>0</v>
      </c>
      <c r="I27" s="45" t="n">
        <v>0</v>
      </c>
      <c r="J27" s="45" t="n">
        <v>0</v>
      </c>
      <c r="K27" s="45" t="n">
        <v>178</v>
      </c>
      <c r="L27" s="47"/>
      <c r="M27" s="46"/>
      <c r="N27" s="46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customFormat="false" ht="15.75" hidden="false" customHeight="true" outlineLevel="0" collapsed="false">
      <c r="A28" s="45" t="s">
        <v>253</v>
      </c>
      <c r="B28" s="46" t="str">
        <f aca="false" t="array" ref="B28:B28">IF(A28="","",IFERROR(INDEX('CLM &amp; IM Mapping'!$B$2:$B$270,MATCH(TRIM(A28),'CLM &amp; IM Mapping'!$A$2:$A$270,0)),"Not Mapped"))</f>
        <v>Ashwath S</v>
      </c>
      <c r="C28" s="46" t="str">
        <f aca="false" t="array" ref="C28:C28">IF(A28="","",IFERROR(INDEX('CLM &amp; IM Mapping'!$C$2:$C$270,MATCH(TRIM(A28),'CLM &amp; IM Mapping'!$A$2:$A$270,0)),"Not Mapped"))</f>
        <v>Kantha Kumar</v>
      </c>
      <c r="D28" s="45" t="n">
        <v>73</v>
      </c>
      <c r="E28" s="45" t="n">
        <v>66</v>
      </c>
      <c r="F28" s="45" t="n">
        <v>7</v>
      </c>
      <c r="G28" s="45" t="n">
        <v>0</v>
      </c>
      <c r="H28" s="45" t="n">
        <v>0</v>
      </c>
      <c r="I28" s="45" t="n">
        <v>0</v>
      </c>
      <c r="J28" s="45" t="n">
        <v>0</v>
      </c>
      <c r="K28" s="45" t="n">
        <v>0</v>
      </c>
      <c r="L28" s="47"/>
      <c r="M28" s="46"/>
      <c r="N28" s="46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customFormat="false" ht="15.75" hidden="false" customHeight="true" outlineLevel="0" collapsed="false">
      <c r="A29" s="45" t="s">
        <v>247</v>
      </c>
      <c r="B29" s="46" t="str">
        <f aca="false" t="array" ref="B29:B29">IF(A29="","",IFERROR(INDEX('CLM &amp; IM Mapping'!$B$2:$B$270,MATCH(TRIM(A29),'CLM &amp; IM Mapping'!$A$2:$A$270,0)),"Not Mapped"))</f>
        <v>Balaji G</v>
      </c>
      <c r="C29" s="46" t="str">
        <f aca="false" t="array" ref="C29:C29">IF(A29="","",IFERROR(INDEX('CLM &amp; IM Mapping'!$C$2:$C$270,MATCH(TRIM(A29),'CLM &amp; IM Mapping'!$A$2:$A$270,0)),"Not Mapped"))</f>
        <v>Mohammed Akbar</v>
      </c>
      <c r="D29" s="45" t="n">
        <v>0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5" t="n">
        <v>0</v>
      </c>
      <c r="K29" s="45" t="n">
        <v>0</v>
      </c>
      <c r="L29" s="47"/>
      <c r="M29" s="46"/>
      <c r="N29" s="46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customFormat="false" ht="15.75" hidden="false" customHeight="true" outlineLevel="0" collapsed="false">
      <c r="A30" s="45" t="s">
        <v>66</v>
      </c>
      <c r="B30" s="46" t="str">
        <f aca="false" t="array" ref="B30:B30">IF(A30="","",IFERROR(INDEX('CLM &amp; IM Mapping'!$B$2:$B$270,MATCH(TRIM(A30),'CLM &amp; IM Mapping'!$A$2:$A$270,0)),"Not Mapped"))</f>
        <v>Raghavendra Vernekar</v>
      </c>
      <c r="C30" s="46" t="str">
        <f aca="false" t="array" ref="C30:C30">IF(A30="","",IFERROR(INDEX('CLM &amp; IM Mapping'!$C$2:$C$270,MATCH(TRIM(A30),'CLM &amp; IM Mapping'!$A$2:$A$270,0)),"Not Mapped"))</f>
        <v>Prakash BS</v>
      </c>
      <c r="D30" s="45" t="n">
        <v>3712</v>
      </c>
      <c r="E30" s="45" t="n">
        <v>3700</v>
      </c>
      <c r="F30" s="45" t="n">
        <v>0</v>
      </c>
      <c r="G30" s="45" t="n">
        <v>0</v>
      </c>
      <c r="H30" s="45" t="n">
        <v>10</v>
      </c>
      <c r="I30" s="45" t="n">
        <v>2</v>
      </c>
      <c r="J30" s="45" t="n">
        <v>0</v>
      </c>
      <c r="K30" s="45" t="n">
        <v>12</v>
      </c>
      <c r="L30" s="47"/>
      <c r="M30" s="46"/>
      <c r="N30" s="46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customFormat="false" ht="15.75" hidden="false" customHeight="true" outlineLevel="0" collapsed="false">
      <c r="A31" s="45" t="s">
        <v>90</v>
      </c>
      <c r="B31" s="46" t="str">
        <f aca="false" t="array" ref="B31:B31">IF(A31="","",IFERROR(INDEX('CLM &amp; IM Mapping'!$B$2:$B$270,MATCH(TRIM(A31),'CLM &amp; IM Mapping'!$A$2:$A$270,0)),"Not Mapped"))</f>
        <v>Adhavan Subramani</v>
      </c>
      <c r="C31" s="46" t="str">
        <f aca="false" t="array" ref="C31:C31">IF(A31="","",IFERROR(INDEX('CLM &amp; IM Mapping'!$C$2:$C$270,MATCH(TRIM(A31),'CLM &amp; IM Mapping'!$A$2:$A$270,0)),"Not Mapped"))</f>
        <v>Mohammed Akbar</v>
      </c>
      <c r="D31" s="45" t="n">
        <v>0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5" t="n">
        <v>0</v>
      </c>
      <c r="K31" s="45" t="n">
        <v>0</v>
      </c>
      <c r="L31" s="47"/>
      <c r="M31" s="46"/>
      <c r="N31" s="46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customFormat="false" ht="15.75" hidden="false" customHeight="true" outlineLevel="0" collapsed="false">
      <c r="A32" s="45" t="s">
        <v>137</v>
      </c>
      <c r="B32" s="46" t="str">
        <f aca="false" t="array" ref="B32:B32">IF(A32="","",IFERROR(INDEX('CLM &amp; IM Mapping'!$B$2:$B$270,MATCH(TRIM(A32),'CLM &amp; IM Mapping'!$A$2:$A$270,0)),"Not Mapped"))</f>
        <v>Akshay P</v>
      </c>
      <c r="C32" s="46" t="str">
        <f aca="false" t="array" ref="C32:C32">IF(A32="","",IFERROR(INDEX('CLM &amp; IM Mapping'!$C$2:$C$270,MATCH(TRIM(A32),'CLM &amp; IM Mapping'!$A$2:$A$270,0)),"Not Mapped"))</f>
        <v>Srittam Dhal</v>
      </c>
      <c r="D32" s="45" t="n">
        <v>155</v>
      </c>
      <c r="E32" s="45" t="n">
        <v>0</v>
      </c>
      <c r="F32" s="45" t="n">
        <v>127</v>
      </c>
      <c r="G32" s="45" t="n">
        <v>0</v>
      </c>
      <c r="H32" s="45" t="n">
        <v>0</v>
      </c>
      <c r="I32" s="45" t="n">
        <v>0</v>
      </c>
      <c r="J32" s="45" t="n">
        <v>28</v>
      </c>
      <c r="K32" s="45" t="n">
        <v>28</v>
      </c>
      <c r="L32" s="47"/>
      <c r="M32" s="46"/>
      <c r="N32" s="46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customFormat="false" ht="15.75" hidden="false" customHeight="true" outlineLevel="0" collapsed="false">
      <c r="A33" s="45" t="s">
        <v>167</v>
      </c>
      <c r="B33" s="46" t="str">
        <f aca="false" t="array" ref="B33:B33">IF(A33="","",IFERROR(INDEX('CLM &amp; IM Mapping'!$B$2:$B$270,MATCH(TRIM(A33),'CLM &amp; IM Mapping'!$A$2:$A$270,0)),"Not Mapped"))</f>
        <v>Ravishankar gowda</v>
      </c>
      <c r="C33" s="46" t="str">
        <f aca="false" t="array" ref="C33:C33">IF(A33="","",IFERROR(INDEX('CLM &amp; IM Mapping'!$C$2:$C$270,MATCH(TRIM(A33),'CLM &amp; IM Mapping'!$A$2:$A$270,0)),"Not Mapped"))</f>
        <v>Kishor K</v>
      </c>
      <c r="D33" s="45" t="n">
        <v>5</v>
      </c>
      <c r="E33" s="45" t="n">
        <v>5</v>
      </c>
      <c r="F33" s="45" t="n">
        <v>0</v>
      </c>
      <c r="G33" s="45" t="n">
        <v>0</v>
      </c>
      <c r="H33" s="45" t="n">
        <v>0</v>
      </c>
      <c r="I33" s="45" t="n">
        <v>0</v>
      </c>
      <c r="J33" s="45" t="n">
        <v>0</v>
      </c>
      <c r="K33" s="45" t="n">
        <v>0</v>
      </c>
      <c r="L33" s="47"/>
      <c r="M33" s="46"/>
      <c r="N33" s="46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customFormat="false" ht="15.75" hidden="false" customHeight="true" outlineLevel="0" collapsed="false">
      <c r="A34" s="45" t="s">
        <v>278</v>
      </c>
      <c r="B34" s="46" t="str">
        <f aca="false" t="array" ref="B34:B34">IF(A34="","",IFERROR(INDEX('CLM &amp; IM Mapping'!$B$2:$B$270,MATCH(TRIM(A34),'CLM &amp; IM Mapping'!$A$2:$A$270,0)),"Not Mapped"))</f>
        <v>Ravishankar gowda</v>
      </c>
      <c r="C34" s="46" t="str">
        <f aca="false" t="array" ref="C34:C34">IF(A34="","",IFERROR(INDEX('CLM &amp; IM Mapping'!$C$2:$C$270,MATCH(TRIM(A34),'CLM &amp; IM Mapping'!$A$2:$A$270,0)),"Not Mapped"))</f>
        <v>Kishor K</v>
      </c>
      <c r="D34" s="45" t="n">
        <v>23</v>
      </c>
      <c r="E34" s="45" t="n">
        <v>0</v>
      </c>
      <c r="F34" s="45" t="n">
        <v>0</v>
      </c>
      <c r="G34" s="45" t="n">
        <v>23</v>
      </c>
      <c r="H34" s="45" t="n">
        <v>0</v>
      </c>
      <c r="I34" s="45" t="n">
        <v>0</v>
      </c>
      <c r="J34" s="45" t="n">
        <v>0</v>
      </c>
      <c r="K34" s="45" t="n">
        <v>23</v>
      </c>
      <c r="L34" s="47"/>
      <c r="M34" s="46"/>
      <c r="N34" s="4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customFormat="false" ht="15.75" hidden="false" customHeight="true" outlineLevel="0" collapsed="false">
      <c r="A35" s="45" t="s">
        <v>64</v>
      </c>
      <c r="B35" s="46" t="str">
        <f aca="false" t="array" ref="B35:B35">IF(A35="","",IFERROR(INDEX('CLM &amp; IM Mapping'!$B$2:$B$270,MATCH(TRIM(A35),'CLM &amp; IM Mapping'!$A$2:$A$270,0)),"Not Mapped"))</f>
        <v>Ashwath S</v>
      </c>
      <c r="C35" s="46" t="str">
        <f aca="false" t="array" ref="C35:C35">IF(A35="","",IFERROR(INDEX('CLM &amp; IM Mapping'!$C$2:$C$270,MATCH(TRIM(A35),'CLM &amp; IM Mapping'!$A$2:$A$270,0)),"Not Mapped"))</f>
        <v>Kantha Kumar</v>
      </c>
      <c r="D35" s="45" t="n">
        <v>301</v>
      </c>
      <c r="E35" s="45" t="n">
        <v>0</v>
      </c>
      <c r="F35" s="45" t="n">
        <v>253</v>
      </c>
      <c r="G35" s="45" t="n">
        <v>48</v>
      </c>
      <c r="H35" s="45" t="n">
        <v>0</v>
      </c>
      <c r="I35" s="45" t="n">
        <v>0</v>
      </c>
      <c r="J35" s="45" t="n">
        <v>0</v>
      </c>
      <c r="K35" s="45" t="n">
        <v>48</v>
      </c>
      <c r="L35" s="47"/>
      <c r="M35" s="46"/>
      <c r="N35" s="4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customFormat="false" ht="15.75" hidden="false" customHeight="true" outlineLevel="0" collapsed="false">
      <c r="A36" s="45" t="s">
        <v>151</v>
      </c>
      <c r="B36" s="46" t="str">
        <f aca="false" t="array" ref="B36:B36">IF(A36="","",IFERROR(INDEX('CLM &amp; IM Mapping'!$B$2:$B$270,MATCH(TRIM(A36),'CLM &amp; IM Mapping'!$A$2:$A$270,0)),"Not Mapped"))</f>
        <v>Manoj Kj</v>
      </c>
      <c r="C36" s="46" t="str">
        <f aca="false" t="array" ref="C36:C36">IF(A36="","",IFERROR(INDEX('CLM &amp; IM Mapping'!$C$2:$C$270,MATCH(TRIM(A36),'CLM &amp; IM Mapping'!$A$2:$A$270,0)),"Not Mapped"))</f>
        <v>Srittam Dhal</v>
      </c>
      <c r="D36" s="45" t="n">
        <v>0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5" t="n">
        <v>0</v>
      </c>
      <c r="K36" s="45" t="n">
        <v>0</v>
      </c>
      <c r="L36" s="47"/>
      <c r="M36" s="46"/>
      <c r="N36" s="4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customFormat="false" ht="15.75" hidden="false" customHeight="true" outlineLevel="0" collapsed="false">
      <c r="A37" s="45" t="s">
        <v>299</v>
      </c>
      <c r="B37" s="46" t="str">
        <f aca="false" t="array" ref="B37:B37">IF(A37="","",IFERROR(INDEX('CLM &amp; IM Mapping'!$B$2:$B$270,MATCH(TRIM(A37),'CLM &amp; IM Mapping'!$A$2:$A$270,0)),"Not Mapped"))</f>
        <v>Balaji G</v>
      </c>
      <c r="C37" s="46" t="str">
        <f aca="false" t="array" ref="C37:C37">IF(A37="","",IFERROR(INDEX('CLM &amp; IM Mapping'!$C$2:$C$270,MATCH(TRIM(A37),'CLM &amp; IM Mapping'!$A$2:$A$270,0)),"Not Mapped"))</f>
        <v>Mohammed Akbar</v>
      </c>
      <c r="D37" s="45" t="n">
        <v>692</v>
      </c>
      <c r="E37" s="45" t="n">
        <v>0</v>
      </c>
      <c r="F37" s="45" t="n">
        <v>589</v>
      </c>
      <c r="G37" s="45" t="n">
        <v>0</v>
      </c>
      <c r="H37" s="45" t="n">
        <v>103</v>
      </c>
      <c r="I37" s="45" t="n">
        <v>0</v>
      </c>
      <c r="J37" s="45" t="n">
        <v>0</v>
      </c>
      <c r="K37" s="45" t="n">
        <v>103</v>
      </c>
      <c r="L37" s="47"/>
      <c r="M37" s="46"/>
      <c r="N37" s="46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customFormat="false" ht="15.75" hidden="false" customHeight="true" outlineLevel="0" collapsed="false">
      <c r="A38" s="45" t="s">
        <v>150</v>
      </c>
      <c r="B38" s="46" t="str">
        <f aca="false" t="array" ref="B38:B38">IF(A38="","",IFERROR(INDEX('CLM &amp; IM Mapping'!$B$2:$B$270,MATCH(TRIM(A38),'CLM &amp; IM Mapping'!$A$2:$A$270,0)),"Not Mapped"))</f>
        <v>Manjunatha V</v>
      </c>
      <c r="C38" s="46" t="str">
        <f aca="false" t="array" ref="C38:C38">IF(A38="","",IFERROR(INDEX('CLM &amp; IM Mapping'!$C$2:$C$270,MATCH(TRIM(A38),'CLM &amp; IM Mapping'!$A$2:$A$270,0)),"Not Mapped"))</f>
        <v>Un Mapped</v>
      </c>
      <c r="D38" s="45" t="n">
        <v>7054</v>
      </c>
      <c r="E38" s="45" t="n">
        <v>573</v>
      </c>
      <c r="F38" s="45" t="n">
        <v>6048</v>
      </c>
      <c r="G38" s="45" t="n">
        <v>0</v>
      </c>
      <c r="H38" s="45" t="n">
        <v>367</v>
      </c>
      <c r="I38" s="45" t="n">
        <v>0</v>
      </c>
      <c r="J38" s="45" t="n">
        <v>66</v>
      </c>
      <c r="K38" s="45" t="n">
        <v>433</v>
      </c>
      <c r="L38" s="47"/>
      <c r="M38" s="46"/>
      <c r="N38" s="46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customFormat="false" ht="15.75" hidden="false" customHeight="true" outlineLevel="0" collapsed="false">
      <c r="A39" s="45" t="s">
        <v>102</v>
      </c>
      <c r="B39" s="46" t="str">
        <f aca="false" t="array" ref="B39:B39">IF(A39="","",IFERROR(INDEX('CLM &amp; IM Mapping'!$B$2:$B$270,MATCH(TRIM(A39),'CLM &amp; IM Mapping'!$A$2:$A$270,0)),"Not Mapped"))</f>
        <v>Ashwath S</v>
      </c>
      <c r="C39" s="46" t="str">
        <f aca="false" t="array" ref="C39:C39">IF(A39="","",IFERROR(INDEX('CLM &amp; IM Mapping'!$C$2:$C$270,MATCH(TRIM(A39),'CLM &amp; IM Mapping'!$A$2:$A$270,0)),"Not Mapped"))</f>
        <v>Kantha Kumar</v>
      </c>
      <c r="D39" s="45" t="n">
        <v>1900</v>
      </c>
      <c r="E39" s="45" t="n">
        <v>0</v>
      </c>
      <c r="F39" s="45" t="n">
        <v>0</v>
      </c>
      <c r="G39" s="45" t="n">
        <v>1900</v>
      </c>
      <c r="H39" s="45" t="n">
        <v>0</v>
      </c>
      <c r="I39" s="45" t="n">
        <v>0</v>
      </c>
      <c r="J39" s="45" t="n">
        <v>0</v>
      </c>
      <c r="K39" s="45" t="n">
        <v>1900</v>
      </c>
      <c r="L39" s="47"/>
      <c r="M39" s="46"/>
      <c r="N39" s="46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customFormat="false" ht="15.75" hidden="false" customHeight="true" outlineLevel="0" collapsed="false">
      <c r="A40" s="45" t="s">
        <v>101</v>
      </c>
      <c r="B40" s="46" t="str">
        <f aca="false" t="array" ref="B40:B40">IF(A40="","",IFERROR(INDEX('CLM &amp; IM Mapping'!$B$2:$B$270,MATCH(TRIM(A40),'CLM &amp; IM Mapping'!$A$2:$A$270,0)),"Not Mapped"))</f>
        <v>Silambarasan E</v>
      </c>
      <c r="C40" s="46" t="str">
        <f aca="false" t="array" ref="C40:C40">IF(A40="","",IFERROR(INDEX('CLM &amp; IM Mapping'!$C$2:$C$270,MATCH(TRIM(A40),'CLM &amp; IM Mapping'!$A$2:$A$270,0)),"Not Mapped"))</f>
        <v>Arivind S</v>
      </c>
      <c r="D40" s="45" t="n">
        <v>0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5" t="n">
        <v>0</v>
      </c>
      <c r="K40" s="45" t="n">
        <v>0</v>
      </c>
      <c r="L40" s="47"/>
      <c r="M40" s="46"/>
      <c r="N40" s="46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customFormat="false" ht="15.75" hidden="false" customHeight="true" outlineLevel="0" collapsed="false">
      <c r="A41" s="45" t="s">
        <v>281</v>
      </c>
      <c r="B41" s="46" t="str">
        <f aca="false" t="array" ref="B41:B41">IF(A41="","",IFERROR(INDEX('CLM &amp; IM Mapping'!$B$2:$B$270,MATCH(TRIM(A41),'CLM &amp; IM Mapping'!$A$2:$A$270,0)),"Not Mapped"))</f>
        <v>Basil Scariya</v>
      </c>
      <c r="C41" s="46" t="str">
        <f aca="false" t="array" ref="C41:C41">IF(A41="","",IFERROR(INDEX('CLM &amp; IM Mapping'!$C$2:$C$270,MATCH(TRIM(A41),'CLM &amp; IM Mapping'!$A$2:$A$270,0)),"Not Mapped"))</f>
        <v>Prakash BS</v>
      </c>
      <c r="D41" s="45" t="n">
        <v>265</v>
      </c>
      <c r="E41" s="45" t="n">
        <v>0</v>
      </c>
      <c r="F41" s="45" t="n">
        <v>0</v>
      </c>
      <c r="G41" s="45" t="n">
        <v>265</v>
      </c>
      <c r="H41" s="45" t="n">
        <v>0</v>
      </c>
      <c r="I41" s="45" t="n">
        <v>0</v>
      </c>
      <c r="J41" s="45" t="n">
        <v>0</v>
      </c>
      <c r="K41" s="45" t="n">
        <v>265</v>
      </c>
      <c r="L41" s="47"/>
      <c r="M41" s="46"/>
      <c r="N41" s="46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customFormat="false" ht="15.75" hidden="false" customHeight="true" outlineLevel="0" collapsed="false">
      <c r="A42" s="45" t="s">
        <v>136</v>
      </c>
      <c r="B42" s="46" t="str">
        <f aca="false" t="array" ref="B42:B42">IF(A42="","",IFERROR(INDEX('CLM &amp; IM Mapping'!$B$2:$B$270,MATCH(TRIM(A42),'CLM &amp; IM Mapping'!$A$2:$A$270,0)),"Not Mapped"))</f>
        <v>Arun Raj</v>
      </c>
      <c r="C42" s="46" t="str">
        <f aca="false" t="array" ref="C42:C42">IF(A42="","",IFERROR(INDEX('CLM &amp; IM Mapping'!$C$2:$C$270,MATCH(TRIM(A42),'CLM &amp; IM Mapping'!$A$2:$A$270,0)),"Not Mapped"))</f>
        <v>Simon Manoharan</v>
      </c>
      <c r="D42" s="45" t="n">
        <v>2248</v>
      </c>
      <c r="E42" s="45" t="n">
        <v>0</v>
      </c>
      <c r="F42" s="45" t="n">
        <v>7</v>
      </c>
      <c r="G42" s="45" t="n">
        <v>2176</v>
      </c>
      <c r="H42" s="45" t="n">
        <v>64</v>
      </c>
      <c r="I42" s="45" t="n">
        <v>0</v>
      </c>
      <c r="J42" s="45" t="n">
        <v>1</v>
      </c>
      <c r="K42" s="45" t="n">
        <v>65</v>
      </c>
      <c r="L42" s="47"/>
      <c r="M42" s="46"/>
      <c r="N42" s="46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customFormat="false" ht="15.75" hidden="false" customHeight="true" outlineLevel="0" collapsed="false">
      <c r="A43" s="45" t="s">
        <v>163</v>
      </c>
      <c r="B43" s="46" t="str">
        <f aca="false" t="array" ref="B43:B43">IF(A43="","",IFERROR(INDEX('CLM &amp; IM Mapping'!$B$2:$B$270,MATCH(TRIM(A43),'CLM &amp; IM Mapping'!$A$2:$A$270,0)),"Not Mapped"))</f>
        <v>Basil Scariya</v>
      </c>
      <c r="C43" s="46" t="str">
        <f aca="false" t="array" ref="C43:C43">IF(A43="","",IFERROR(INDEX('CLM &amp; IM Mapping'!$C$2:$C$270,MATCH(TRIM(A43),'CLM &amp; IM Mapping'!$A$2:$A$270,0)),"Not Mapped"))</f>
        <v>Prakash BS</v>
      </c>
      <c r="D43" s="45" t="n">
        <v>0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5" t="n">
        <v>0</v>
      </c>
      <c r="K43" s="45" t="n">
        <v>0</v>
      </c>
      <c r="L43" s="47"/>
      <c r="M43" s="46"/>
      <c r="N43" s="46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customFormat="false" ht="15.75" hidden="false" customHeight="true" outlineLevel="0" collapsed="false">
      <c r="A44" s="45" t="s">
        <v>295</v>
      </c>
      <c r="B44" s="46" t="str">
        <f aca="false" t="array" ref="B44:B44">IF(A44="","",IFERROR(INDEX('CLM &amp; IM Mapping'!$B$2:$B$270,MATCH(TRIM(A44),'CLM &amp; IM Mapping'!$A$2:$A$270,0)),"Not Mapped"))</f>
        <v>Saddam Hussain</v>
      </c>
      <c r="C44" s="46" t="str">
        <f aca="false" t="array" ref="C44:C44">IF(A44="","",IFERROR(INDEX('CLM &amp; IM Mapping'!$C$2:$C$270,MATCH(TRIM(A44),'CLM &amp; IM Mapping'!$A$2:$A$270,0)),"Not Mapped"))</f>
        <v>Un Mapped</v>
      </c>
      <c r="D44" s="45" t="n">
        <v>1452</v>
      </c>
      <c r="E44" s="45" t="n">
        <v>0</v>
      </c>
      <c r="F44" s="45" t="n">
        <v>0</v>
      </c>
      <c r="G44" s="45" t="n">
        <v>1452</v>
      </c>
      <c r="H44" s="45" t="n">
        <v>0</v>
      </c>
      <c r="I44" s="45" t="n">
        <v>0</v>
      </c>
      <c r="J44" s="45" t="n">
        <v>0</v>
      </c>
      <c r="K44" s="45" t="n">
        <v>1452</v>
      </c>
      <c r="L44" s="47"/>
      <c r="M44" s="46"/>
      <c r="N44" s="46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customFormat="false" ht="15.75" hidden="false" customHeight="true" outlineLevel="0" collapsed="false">
      <c r="A45" s="45" t="s">
        <v>177</v>
      </c>
      <c r="B45" s="46" t="str">
        <f aca="false" t="array" ref="B45:B45">IF(A45="","",IFERROR(INDEX('CLM &amp; IM Mapping'!$B$2:$B$270,MATCH(TRIM(A45),'CLM &amp; IM Mapping'!$A$2:$A$270,0)),"Not Mapped"))</f>
        <v>Arun Raj</v>
      </c>
      <c r="C45" s="46" t="str">
        <f aca="false" t="array" ref="C45:C45">IF(A45="","",IFERROR(INDEX('CLM &amp; IM Mapping'!$C$2:$C$270,MATCH(TRIM(A45),'CLM &amp; IM Mapping'!$A$2:$A$270,0)),"Not Mapped"))</f>
        <v>Simon Manoharan</v>
      </c>
      <c r="D45" s="45" t="n">
        <v>0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5" t="n">
        <v>0</v>
      </c>
      <c r="K45" s="45" t="n">
        <v>0</v>
      </c>
      <c r="L45" s="47"/>
      <c r="M45" s="46"/>
      <c r="N45" s="46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customFormat="false" ht="15.75" hidden="false" customHeight="true" outlineLevel="0" collapsed="false">
      <c r="A46" s="45" t="s">
        <v>285</v>
      </c>
      <c r="B46" s="46" t="str">
        <f aca="false" t="array" ref="B46:B46">IF(A46="","",IFERROR(INDEX('CLM &amp; IM Mapping'!$B$2:$B$270,MATCH(TRIM(A46),'CLM &amp; IM Mapping'!$A$2:$A$270,0)),"Not Mapped"))</f>
        <v>Saddam Hussain</v>
      </c>
      <c r="C46" s="46" t="str">
        <f aca="false" t="array" ref="C46:C46">IF(A46="","",IFERROR(INDEX('CLM &amp; IM Mapping'!$C$2:$C$270,MATCH(TRIM(A46),'CLM &amp; IM Mapping'!$A$2:$A$270,0)),"Not Mapped"))</f>
        <v>Un Mapped</v>
      </c>
      <c r="D46" s="45" t="n">
        <v>3327</v>
      </c>
      <c r="E46" s="45" t="n">
        <v>688</v>
      </c>
      <c r="F46" s="45" t="n">
        <v>2634</v>
      </c>
      <c r="G46" s="45" t="n">
        <v>0</v>
      </c>
      <c r="H46" s="45" t="n">
        <v>0</v>
      </c>
      <c r="I46" s="45" t="n">
        <v>0</v>
      </c>
      <c r="J46" s="45" t="n">
        <v>5</v>
      </c>
      <c r="K46" s="45" t="n">
        <v>5</v>
      </c>
      <c r="L46" s="47"/>
      <c r="M46" s="46"/>
      <c r="N46" s="46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customFormat="false" ht="15.75" hidden="false" customHeight="true" outlineLevel="0" collapsed="false">
      <c r="A47" s="45" t="s">
        <v>183</v>
      </c>
      <c r="B47" s="46" t="str">
        <f aca="false" t="array" ref="B47:B47">IF(A47="","",IFERROR(INDEX('CLM &amp; IM Mapping'!$B$2:$B$270,MATCH(TRIM(A47),'CLM &amp; IM Mapping'!$A$2:$A$270,0)),"Not Mapped"))</f>
        <v>Akshay P</v>
      </c>
      <c r="C47" s="46" t="str">
        <f aca="false" t="array" ref="C47:C47">IF(A47="","",IFERROR(INDEX('CLM &amp; IM Mapping'!$C$2:$C$270,MATCH(TRIM(A47),'CLM &amp; IM Mapping'!$A$2:$A$270,0)),"Not Mapped"))</f>
        <v>Srittam Dhal</v>
      </c>
      <c r="D47" s="45" t="n">
        <v>0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5" t="n">
        <v>0</v>
      </c>
      <c r="K47" s="45" t="n">
        <v>0</v>
      </c>
      <c r="L47" s="47"/>
      <c r="M47" s="46"/>
      <c r="N47" s="46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 customFormat="false" ht="15.75" hidden="false" customHeight="true" outlineLevel="0" collapsed="false">
      <c r="A48" s="45" t="s">
        <v>265</v>
      </c>
      <c r="B48" s="46" t="str">
        <f aca="false" t="array" ref="B48:B48">IF(A48="","",IFERROR(INDEX('CLM &amp; IM Mapping'!$B$2:$B$270,MATCH(TRIM(A48),'CLM &amp; IM Mapping'!$A$2:$A$270,0)),"Not Mapped"))</f>
        <v>Akshay P</v>
      </c>
      <c r="C48" s="46" t="str">
        <f aca="false" t="array" ref="C48:C48">IF(A48="","",IFERROR(INDEX('CLM &amp; IM Mapping'!$C$2:$C$270,MATCH(TRIM(A48),'CLM &amp; IM Mapping'!$A$2:$A$270,0)),"Not Mapped"))</f>
        <v>Srittam Dhal</v>
      </c>
      <c r="D48" s="45" t="n">
        <v>0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5" t="n">
        <v>0</v>
      </c>
      <c r="K48" s="45" t="n">
        <v>0</v>
      </c>
      <c r="L48" s="47"/>
      <c r="M48" s="46"/>
      <c r="N48" s="46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 customFormat="false" ht="15.75" hidden="false" customHeight="true" outlineLevel="0" collapsed="false">
      <c r="A49" s="45" t="s">
        <v>143</v>
      </c>
      <c r="B49" s="46" t="str">
        <f aca="false" t="array" ref="B49:B49">IF(A49="","",IFERROR(INDEX('CLM &amp; IM Mapping'!$B$2:$B$270,MATCH(TRIM(A49),'CLM &amp; IM Mapping'!$A$2:$A$270,0)),"Not Mapped"))</f>
        <v>Ravishankar gowda</v>
      </c>
      <c r="C49" s="46" t="str">
        <f aca="false" t="array" ref="C49:C49">IF(A49="","",IFERROR(INDEX('CLM &amp; IM Mapping'!$C$2:$C$270,MATCH(TRIM(A49),'CLM &amp; IM Mapping'!$A$2:$A$270,0)),"Not Mapped"))</f>
        <v>Kishor K</v>
      </c>
      <c r="D49" s="45" t="n">
        <v>0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5" t="n">
        <v>0</v>
      </c>
      <c r="K49" s="45" t="n">
        <v>0</v>
      </c>
      <c r="L49" s="47"/>
      <c r="M49" s="46"/>
      <c r="N49" s="46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 customFormat="false" ht="15.75" hidden="false" customHeight="true" outlineLevel="0" collapsed="false">
      <c r="A50" s="45" t="s">
        <v>108</v>
      </c>
      <c r="B50" s="46" t="str">
        <f aca="false" t="array" ref="B50:B50">IF(A50="","",IFERROR(INDEX('CLM &amp; IM Mapping'!$B$2:$B$270,MATCH(TRIM(A50),'CLM &amp; IM Mapping'!$A$2:$A$270,0)),"Not Mapped"))</f>
        <v>Vijay M</v>
      </c>
      <c r="C50" s="46" t="str">
        <f aca="false" t="array" ref="C50:C50">IF(A50="","",IFERROR(INDEX('CLM &amp; IM Mapping'!$C$2:$C$270,MATCH(TRIM(A50),'CLM &amp; IM Mapping'!$A$2:$A$270,0)),"Not Mapped"))</f>
        <v>Kantha Kumar</v>
      </c>
      <c r="D50" s="45" t="n">
        <v>0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5" t="n">
        <v>0</v>
      </c>
      <c r="K50" s="45" t="n">
        <v>0</v>
      </c>
      <c r="L50" s="47"/>
      <c r="M50" s="46"/>
      <c r="N50" s="46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 customFormat="false" ht="15.75" hidden="false" customHeight="true" outlineLevel="0" collapsed="false">
      <c r="A51" s="45" t="s">
        <v>127</v>
      </c>
      <c r="B51" s="46" t="str">
        <f aca="false" t="array" ref="B51:B51">IF(A51="","",IFERROR(INDEX('CLM &amp; IM Mapping'!$B$2:$B$270,MATCH(TRIM(A51),'CLM &amp; IM Mapping'!$A$2:$A$270,0)),"Not Mapped"))</f>
        <v>Rizwan Ahmed</v>
      </c>
      <c r="C51" s="46" t="str">
        <f aca="false" t="array" ref="C51:C51">IF(A51="","",IFERROR(INDEX('CLM &amp; IM Mapping'!$C$2:$C$270,MATCH(TRIM(A51),'CLM &amp; IM Mapping'!$A$2:$A$270,0)),"Not Mapped"))</f>
        <v>Prakash BS</v>
      </c>
      <c r="D51" s="45" t="n">
        <v>3771</v>
      </c>
      <c r="E51" s="45" t="n">
        <v>0</v>
      </c>
      <c r="F51" s="45" t="n">
        <v>3546</v>
      </c>
      <c r="G51" s="45" t="n">
        <v>0</v>
      </c>
      <c r="H51" s="45" t="n">
        <v>97</v>
      </c>
      <c r="I51" s="45" t="n">
        <v>0</v>
      </c>
      <c r="J51" s="45" t="n">
        <v>128</v>
      </c>
      <c r="K51" s="45" t="n">
        <v>225</v>
      </c>
      <c r="L51" s="47"/>
      <c r="M51" s="46"/>
      <c r="N51" s="46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 customFormat="false" ht="15.75" hidden="false" customHeight="true" outlineLevel="0" collapsed="false">
      <c r="A52" s="45" t="s">
        <v>114</v>
      </c>
      <c r="B52" s="46" t="str">
        <f aca="false" t="array" ref="B52:B52">IF(A52="","",IFERROR(INDEX('CLM &amp; IM Mapping'!$B$2:$B$270,MATCH(TRIM(A52),'CLM &amp; IM Mapping'!$A$2:$A$270,0)),"Not Mapped"))</f>
        <v>Sundaresh S</v>
      </c>
      <c r="C52" s="46" t="str">
        <f aca="false" t="array" ref="C52:C52">IF(A52="","",IFERROR(INDEX('CLM &amp; IM Mapping'!$C$2:$C$270,MATCH(TRIM(A52),'CLM &amp; IM Mapping'!$A$2:$A$270,0)),"Not Mapped"))</f>
        <v>Un Mapped</v>
      </c>
      <c r="D52" s="45" t="n">
        <v>2736</v>
      </c>
      <c r="E52" s="45" t="n">
        <v>0</v>
      </c>
      <c r="F52" s="45" t="n">
        <v>2680</v>
      </c>
      <c r="G52" s="45" t="n">
        <v>0</v>
      </c>
      <c r="H52" s="45" t="n">
        <v>56</v>
      </c>
      <c r="I52" s="45" t="n">
        <v>0</v>
      </c>
      <c r="J52" s="45" t="n">
        <v>0</v>
      </c>
      <c r="K52" s="45" t="n">
        <v>56</v>
      </c>
      <c r="L52" s="47"/>
      <c r="M52" s="46"/>
      <c r="N52" s="46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 customFormat="false" ht="15.75" hidden="false" customHeight="true" outlineLevel="0" collapsed="false">
      <c r="A53" s="45" t="s">
        <v>121</v>
      </c>
      <c r="B53" s="46" t="str">
        <f aca="false" t="array" ref="B53:B53">IF(A53="","",IFERROR(INDEX('CLM &amp; IM Mapping'!$B$2:$B$270,MATCH(TRIM(A53),'CLM &amp; IM Mapping'!$A$2:$A$270,0)),"Not Mapped"))</f>
        <v>Raghavendra Vernekar</v>
      </c>
      <c r="C53" s="46" t="str">
        <f aca="false" t="array" ref="C53:C53">IF(A53="","",IFERROR(INDEX('CLM &amp; IM Mapping'!$C$2:$C$270,MATCH(TRIM(A53),'CLM &amp; IM Mapping'!$A$2:$A$270,0)),"Not Mapped"))</f>
        <v>Prakash BS</v>
      </c>
      <c r="D53" s="45" t="n">
        <v>6985</v>
      </c>
      <c r="E53" s="45" t="n">
        <v>1326</v>
      </c>
      <c r="F53" s="45" t="n">
        <v>3794</v>
      </c>
      <c r="G53" s="45" t="n">
        <v>0</v>
      </c>
      <c r="H53" s="45" t="n">
        <v>1865</v>
      </c>
      <c r="I53" s="45" t="n">
        <v>0</v>
      </c>
      <c r="J53" s="45" t="n">
        <v>0</v>
      </c>
      <c r="K53" s="45" t="n">
        <v>1865</v>
      </c>
      <c r="L53" s="47"/>
      <c r="M53" s="46"/>
      <c r="N53" s="46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 customFormat="false" ht="15.75" hidden="false" customHeight="true" outlineLevel="0" collapsed="false">
      <c r="A54" s="45" t="s">
        <v>142</v>
      </c>
      <c r="B54" s="46" t="str">
        <f aca="false" t="array" ref="B54:B54">IF(A54="","",IFERROR(INDEX('CLM &amp; IM Mapping'!$B$2:$B$270,MATCH(TRIM(A54),'CLM &amp; IM Mapping'!$A$2:$A$270,0)),"Not Mapped"))</f>
        <v>Balaji G</v>
      </c>
      <c r="C54" s="46" t="str">
        <f aca="false" t="array" ref="C54:C54">IF(A54="","",IFERROR(INDEX('CLM &amp; IM Mapping'!$C$2:$C$270,MATCH(TRIM(A54),'CLM &amp; IM Mapping'!$A$2:$A$270,0)),"Not Mapped"))</f>
        <v>Mohammed Akbar</v>
      </c>
      <c r="D54" s="45" t="n">
        <v>45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5" t="n">
        <v>45</v>
      </c>
      <c r="K54" s="45" t="n">
        <v>45</v>
      </c>
      <c r="L54" s="47"/>
      <c r="M54" s="46"/>
      <c r="N54" s="46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customFormat="false" ht="15.75" hidden="false" customHeight="true" outlineLevel="0" collapsed="false">
      <c r="A55" s="45" t="s">
        <v>271</v>
      </c>
      <c r="B55" s="46" t="str">
        <f aca="false" t="array" ref="B55:B55">IF(A55="","",IFERROR(INDEX('CLM &amp; IM Mapping'!$B$2:$B$270,MATCH(TRIM(A55),'CLM &amp; IM Mapping'!$A$2:$A$270,0)),"Not Mapped"))</f>
        <v>Manjunatha V</v>
      </c>
      <c r="C55" s="46" t="str">
        <f aca="false" t="array" ref="C55:C55">IF(A55="","",IFERROR(INDEX('CLM &amp; IM Mapping'!$C$2:$C$270,MATCH(TRIM(A55),'CLM &amp; IM Mapping'!$A$2:$A$270,0)),"Not Mapped"))</f>
        <v>Un Mapped</v>
      </c>
      <c r="D55" s="45" t="n">
        <v>1544</v>
      </c>
      <c r="E55" s="45" t="n">
        <v>0</v>
      </c>
      <c r="F55" s="45" t="n">
        <v>1544</v>
      </c>
      <c r="G55" s="45" t="n">
        <v>0</v>
      </c>
      <c r="H55" s="45" t="n">
        <v>0</v>
      </c>
      <c r="I55" s="45" t="n">
        <v>0</v>
      </c>
      <c r="J55" s="45" t="n">
        <v>0</v>
      </c>
      <c r="K55" s="45" t="n">
        <v>0</v>
      </c>
      <c r="L55" s="47"/>
      <c r="M55" s="46"/>
      <c r="N55" s="46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customFormat="false" ht="15.75" hidden="false" customHeight="true" outlineLevel="0" collapsed="false">
      <c r="A56" s="45" t="s">
        <v>48</v>
      </c>
      <c r="B56" s="46" t="str">
        <f aca="false" t="array" ref="B56:B56">IF(A56="","",IFERROR(INDEX('CLM &amp; IM Mapping'!$B$2:$B$270,MATCH(TRIM(A56),'CLM &amp; IM Mapping'!$A$2:$A$270,0)),"Not Mapped"))</f>
        <v>Raghavendra Vernekar</v>
      </c>
      <c r="C56" s="46" t="str">
        <f aca="false" t="array" ref="C56:C56">IF(A56="","",IFERROR(INDEX('CLM &amp; IM Mapping'!$C$2:$C$270,MATCH(TRIM(A56),'CLM &amp; IM Mapping'!$A$2:$A$270,0)),"Not Mapped"))</f>
        <v>Prakash BS</v>
      </c>
      <c r="D56" s="45" t="n">
        <v>8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7</v>
      </c>
      <c r="J56" s="45" t="n">
        <v>1</v>
      </c>
      <c r="K56" s="45" t="n">
        <v>8</v>
      </c>
      <c r="L56" s="47"/>
      <c r="M56" s="46"/>
      <c r="N56" s="46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 customFormat="false" ht="15.75" hidden="false" customHeight="true" outlineLevel="0" collapsed="false">
      <c r="A57" s="45" t="s">
        <v>154</v>
      </c>
      <c r="B57" s="46" t="str">
        <f aca="false" t="array" ref="B57:B57">IF(A57="","",IFERROR(INDEX('CLM &amp; IM Mapping'!$B$2:$B$270,MATCH(TRIM(A57),'CLM &amp; IM Mapping'!$A$2:$A$270,0)),"Not Mapped"))</f>
        <v>Akshay P</v>
      </c>
      <c r="C57" s="46" t="str">
        <f aca="false" t="array" ref="C57:C57">IF(A57="","",IFERROR(INDEX('CLM &amp; IM Mapping'!$C$2:$C$270,MATCH(TRIM(A57),'CLM &amp; IM Mapping'!$A$2:$A$270,0)),"Not Mapped"))</f>
        <v>Srittam Dhal</v>
      </c>
      <c r="D57" s="45" t="n">
        <v>1522</v>
      </c>
      <c r="E57" s="45" t="n">
        <v>2</v>
      </c>
      <c r="F57" s="45" t="n">
        <v>1520</v>
      </c>
      <c r="G57" s="45" t="n">
        <v>0</v>
      </c>
      <c r="H57" s="45" t="n">
        <v>0</v>
      </c>
      <c r="I57" s="45" t="n">
        <v>0</v>
      </c>
      <c r="J57" s="45" t="n">
        <v>0</v>
      </c>
      <c r="K57" s="45" t="n">
        <v>0</v>
      </c>
      <c r="L57" s="47"/>
      <c r="M57" s="46"/>
      <c r="N57" s="46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 customFormat="false" ht="15.75" hidden="false" customHeight="true" outlineLevel="0" collapsed="false">
      <c r="A58" s="45" t="s">
        <v>79</v>
      </c>
      <c r="B58" s="46" t="str">
        <f aca="false" t="array" ref="B58:B58">IF(A58="","",IFERROR(INDEX('CLM &amp; IM Mapping'!$B$2:$B$270,MATCH(TRIM(A58),'CLM &amp; IM Mapping'!$A$2:$A$270,0)),"Not Mapped"))</f>
        <v>Ashwath S</v>
      </c>
      <c r="C58" s="46" t="str">
        <f aca="false" t="array" ref="C58:C58">IF(A58="","",IFERROR(INDEX('CLM &amp; IM Mapping'!$C$2:$C$270,MATCH(TRIM(A58),'CLM &amp; IM Mapping'!$A$2:$A$270,0)),"Not Mapped"))</f>
        <v>Kantha Kumar</v>
      </c>
      <c r="D58" s="45" t="n">
        <v>207</v>
      </c>
      <c r="E58" s="45" t="n">
        <v>0</v>
      </c>
      <c r="F58" s="45" t="n">
        <v>206</v>
      </c>
      <c r="G58" s="45" t="n">
        <v>0</v>
      </c>
      <c r="H58" s="45" t="n">
        <v>1</v>
      </c>
      <c r="I58" s="45" t="n">
        <v>0</v>
      </c>
      <c r="J58" s="45" t="n">
        <v>0</v>
      </c>
      <c r="K58" s="45" t="n">
        <v>1</v>
      </c>
      <c r="L58" s="47"/>
      <c r="M58" s="46"/>
      <c r="N58" s="46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 customFormat="false" ht="15.75" hidden="false" customHeight="true" outlineLevel="0" collapsed="false">
      <c r="A59" s="45" t="s">
        <v>234</v>
      </c>
      <c r="B59" s="46" t="str">
        <f aca="false" t="array" ref="B59:B59">IF(A59="","",IFERROR(INDEX('CLM &amp; IM Mapping'!$B$2:$B$270,MATCH(TRIM(A59),'CLM &amp; IM Mapping'!$A$2:$A$270,0)),"Not Mapped"))</f>
        <v>Narasimhamurthy R</v>
      </c>
      <c r="C59" s="46" t="str">
        <f aca="false" t="array" ref="C59:C59">IF(A59="","",IFERROR(INDEX('CLM &amp; IM Mapping'!$C$2:$C$270,MATCH(TRIM(A59),'CLM &amp; IM Mapping'!$A$2:$A$270,0)),"Not Mapped"))</f>
        <v>Kishor K</v>
      </c>
      <c r="D59" s="45" t="n">
        <v>0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5" t="n">
        <v>0</v>
      </c>
      <c r="K59" s="45" t="n">
        <v>0</v>
      </c>
      <c r="L59" s="47"/>
      <c r="M59" s="46"/>
      <c r="N59" s="46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 customFormat="false" ht="15.75" hidden="false" customHeight="true" outlineLevel="0" collapsed="false">
      <c r="A60" s="45" t="s">
        <v>215</v>
      </c>
      <c r="B60" s="46" t="str">
        <f aca="false" t="array" ref="B60:B60">IF(A60="","",IFERROR(INDEX('CLM &amp; IM Mapping'!$B$2:$B$270,MATCH(TRIM(A60),'CLM &amp; IM Mapping'!$A$2:$A$270,0)),"Not Mapped"))</f>
        <v>Akshay P</v>
      </c>
      <c r="C60" s="46" t="str">
        <f aca="false" t="array" ref="C60:C60">IF(A60="","",IFERROR(INDEX('CLM &amp; IM Mapping'!$C$2:$C$270,MATCH(TRIM(A60),'CLM &amp; IM Mapping'!$A$2:$A$270,0)),"Not Mapped"))</f>
        <v>Srittam Dhal</v>
      </c>
      <c r="D60" s="45" t="n">
        <v>0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5" t="n">
        <v>0</v>
      </c>
      <c r="K60" s="45" t="n">
        <v>0</v>
      </c>
      <c r="L60" s="47"/>
      <c r="M60" s="46"/>
      <c r="N60" s="46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customFormat="false" ht="15.75" hidden="false" customHeight="true" outlineLevel="0" collapsed="false">
      <c r="A61" s="45" t="s">
        <v>241</v>
      </c>
      <c r="B61" s="46" t="str">
        <f aca="false" t="array" ref="B61:B61">IF(A61="","",IFERROR(INDEX('CLM &amp; IM Mapping'!$B$2:$B$270,MATCH(TRIM(A61),'CLM &amp; IM Mapping'!$A$2:$A$270,0)),"Not Mapped"))</f>
        <v>Sundaresh S</v>
      </c>
      <c r="C61" s="46" t="str">
        <f aca="false" t="array" ref="C61:C61">IF(A61="","",IFERROR(INDEX('CLM &amp; IM Mapping'!$C$2:$C$270,MATCH(TRIM(A61),'CLM &amp; IM Mapping'!$A$2:$A$270,0)),"Not Mapped"))</f>
        <v>Un Mapped</v>
      </c>
      <c r="D61" s="45" t="n">
        <v>520</v>
      </c>
      <c r="E61" s="45" t="n">
        <v>1</v>
      </c>
      <c r="F61" s="45" t="n">
        <v>519</v>
      </c>
      <c r="G61" s="45" t="n">
        <v>0</v>
      </c>
      <c r="H61" s="45" t="n">
        <v>0</v>
      </c>
      <c r="I61" s="45" t="n">
        <v>0</v>
      </c>
      <c r="J61" s="45" t="n">
        <v>0</v>
      </c>
      <c r="K61" s="45" t="n">
        <v>0</v>
      </c>
      <c r="L61" s="47"/>
      <c r="M61" s="46"/>
      <c r="N61" s="46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customFormat="false" ht="15.75" hidden="false" customHeight="true" outlineLevel="0" collapsed="false">
      <c r="A62" s="45" t="s">
        <v>286</v>
      </c>
      <c r="B62" s="46" t="str">
        <f aca="false" t="array" ref="B62:B62">IF(A62="","",IFERROR(INDEX('CLM &amp; IM Mapping'!$B$2:$B$270,MATCH(TRIM(A62),'CLM &amp; IM Mapping'!$A$2:$A$270,0)),"Not Mapped"))</f>
        <v>Manoj Kj</v>
      </c>
      <c r="C62" s="46" t="str">
        <f aca="false" t="array" ref="C62:C62">IF(A62="","",IFERROR(INDEX('CLM &amp; IM Mapping'!$C$2:$C$270,MATCH(TRIM(A62),'CLM &amp; IM Mapping'!$A$2:$A$270,0)),"Not Mapped"))</f>
        <v>Srittam Dhal</v>
      </c>
      <c r="D62" s="45" t="n">
        <v>0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5" t="n">
        <v>0</v>
      </c>
      <c r="K62" s="45" t="n">
        <v>0</v>
      </c>
      <c r="L62" s="47"/>
      <c r="M62" s="46"/>
      <c r="N62" s="46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customFormat="false" ht="15.75" hidden="false" customHeight="true" outlineLevel="0" collapsed="false">
      <c r="A63" s="45" t="s">
        <v>71</v>
      </c>
      <c r="B63" s="46" t="str">
        <f aca="false" t="array" ref="B63:B63">IF(A63="","",IFERROR(INDEX('CLM &amp; IM Mapping'!$B$2:$B$270,MATCH(TRIM(A63),'CLM &amp; IM Mapping'!$A$2:$A$270,0)),"Not Mapped"))</f>
        <v>Manjunatha V</v>
      </c>
      <c r="C63" s="46" t="str">
        <f aca="false" t="array" ref="C63:C63">IF(A63="","",IFERROR(INDEX('CLM &amp; IM Mapping'!$C$2:$C$270,MATCH(TRIM(A63),'CLM &amp; IM Mapping'!$A$2:$A$270,0)),"Not Mapped"))</f>
        <v>Un Mapped</v>
      </c>
      <c r="D63" s="45" t="n">
        <v>7293</v>
      </c>
      <c r="E63" s="45" t="n">
        <v>1789</v>
      </c>
      <c r="F63" s="45" t="n">
        <v>4353</v>
      </c>
      <c r="G63" s="45" t="n">
        <v>61</v>
      </c>
      <c r="H63" s="45" t="n">
        <v>809</v>
      </c>
      <c r="I63" s="45" t="n">
        <v>120</v>
      </c>
      <c r="J63" s="45" t="n">
        <v>161</v>
      </c>
      <c r="K63" s="45" t="n">
        <v>1151</v>
      </c>
      <c r="L63" s="47"/>
      <c r="M63" s="46"/>
      <c r="N63" s="46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customFormat="false" ht="15.75" hidden="false" customHeight="true" outlineLevel="0" collapsed="false">
      <c r="A64" s="45" t="s">
        <v>230</v>
      </c>
      <c r="B64" s="46" t="str">
        <f aca="false" t="array" ref="B64:B64">IF(A64="","",IFERROR(INDEX('CLM &amp; IM Mapping'!$B$2:$B$270,MATCH(TRIM(A64),'CLM &amp; IM Mapping'!$A$2:$A$270,0)),"Not Mapped"))</f>
        <v>Manjunatha V</v>
      </c>
      <c r="C64" s="46" t="str">
        <f aca="false" t="array" ref="C64:C64">IF(A64="","",IFERROR(INDEX('CLM &amp; IM Mapping'!$C$2:$C$270,MATCH(TRIM(A64),'CLM &amp; IM Mapping'!$A$2:$A$270,0)),"Not Mapped"))</f>
        <v>Un Mapped</v>
      </c>
      <c r="D64" s="45" t="n">
        <v>396</v>
      </c>
      <c r="E64" s="45" t="n">
        <v>17</v>
      </c>
      <c r="F64" s="45" t="n">
        <v>379</v>
      </c>
      <c r="G64" s="45" t="n">
        <v>0</v>
      </c>
      <c r="H64" s="45" t="n">
        <v>0</v>
      </c>
      <c r="I64" s="45" t="n">
        <v>0</v>
      </c>
      <c r="J64" s="45" t="n">
        <v>0</v>
      </c>
      <c r="K64" s="45" t="n">
        <v>0</v>
      </c>
      <c r="L64" s="47"/>
      <c r="M64" s="46"/>
      <c r="N64" s="46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customFormat="false" ht="15.75" hidden="false" customHeight="true" outlineLevel="0" collapsed="false">
      <c r="A65" s="45" t="s">
        <v>217</v>
      </c>
      <c r="B65" s="46" t="str">
        <f aca="false" t="array" ref="B65:B65">IF(A65="","",IFERROR(INDEX('CLM &amp; IM Mapping'!$B$2:$B$270,MATCH(TRIM(A65),'CLM &amp; IM Mapping'!$A$2:$A$270,0)),"Not Mapped"))</f>
        <v>Richard Harris</v>
      </c>
      <c r="C65" s="46" t="str">
        <f aca="false" t="array" ref="C65:C65">IF(A65="","",IFERROR(INDEX('CLM &amp; IM Mapping'!$C$2:$C$270,MATCH(TRIM(A65),'CLM &amp; IM Mapping'!$A$2:$A$270,0)),"Not Mapped"))</f>
        <v>Kantha Kumar</v>
      </c>
      <c r="D65" s="45" t="n">
        <v>3250</v>
      </c>
      <c r="E65" s="45" t="n">
        <v>2150</v>
      </c>
      <c r="F65" s="45" t="n">
        <v>15</v>
      </c>
      <c r="G65" s="45" t="n">
        <v>735</v>
      </c>
      <c r="H65" s="45" t="n">
        <v>350</v>
      </c>
      <c r="I65" s="45" t="n">
        <v>0</v>
      </c>
      <c r="J65" s="45" t="n">
        <v>0</v>
      </c>
      <c r="K65" s="45" t="n">
        <v>1085</v>
      </c>
      <c r="L65" s="47"/>
      <c r="M65" s="46"/>
      <c r="N65" s="46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customFormat="false" ht="15.75" hidden="false" customHeight="true" outlineLevel="0" collapsed="false">
      <c r="A66" s="45" t="s">
        <v>35</v>
      </c>
      <c r="B66" s="46" t="str">
        <f aca="false" t="array" ref="B66:B66">IF(A66="","",IFERROR(INDEX('CLM &amp; IM Mapping'!$B$2:$B$270,MATCH(TRIM(A66),'CLM &amp; IM Mapping'!$A$2:$A$270,0)),"Not Mapped"))</f>
        <v>Keshav G</v>
      </c>
      <c r="C66" s="46" t="str">
        <f aca="false" t="array" ref="C66:C66">IF(A66="","",IFERROR(INDEX('CLM &amp; IM Mapping'!$C$2:$C$270,MATCH(TRIM(A66),'CLM &amp; IM Mapping'!$A$2:$A$270,0)),"Not Mapped"))</f>
        <v>Un Mapped</v>
      </c>
      <c r="D66" s="45" t="n">
        <v>3868</v>
      </c>
      <c r="E66" s="45" t="n">
        <v>99</v>
      </c>
      <c r="F66" s="45" t="n">
        <v>3769</v>
      </c>
      <c r="G66" s="45" t="n">
        <v>0</v>
      </c>
      <c r="H66" s="45" t="n">
        <v>0</v>
      </c>
      <c r="I66" s="45" t="n">
        <v>0</v>
      </c>
      <c r="J66" s="45" t="n">
        <v>0</v>
      </c>
      <c r="K66" s="45" t="n">
        <v>0</v>
      </c>
      <c r="L66" s="47"/>
      <c r="M66" s="46"/>
      <c r="N66" s="46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customFormat="false" ht="15.75" hidden="false" customHeight="true" outlineLevel="0" collapsed="false">
      <c r="A67" s="45" t="s">
        <v>25</v>
      </c>
      <c r="B67" s="46" t="str">
        <f aca="false" t="array" ref="B67:B67">IF(A67="","",IFERROR(INDEX('CLM &amp; IM Mapping'!$B$2:$B$270,MATCH(TRIM(A67),'CLM &amp; IM Mapping'!$A$2:$A$270,0)),"Not Mapped"))</f>
        <v>Arun Raj</v>
      </c>
      <c r="C67" s="46" t="str">
        <f aca="false" t="array" ref="C67:C67">IF(A67="","",IFERROR(INDEX('CLM &amp; IM Mapping'!$C$2:$C$270,MATCH(TRIM(A67),'CLM &amp; IM Mapping'!$A$2:$A$270,0)),"Not Mapped"))</f>
        <v>Simon Manoharan</v>
      </c>
      <c r="D67" s="45" t="n">
        <v>8084</v>
      </c>
      <c r="E67" s="45" t="n">
        <v>0</v>
      </c>
      <c r="F67" s="45" t="n">
        <v>2472</v>
      </c>
      <c r="G67" s="45" t="n">
        <v>0</v>
      </c>
      <c r="H67" s="45" t="n">
        <v>0</v>
      </c>
      <c r="I67" s="45" t="n">
        <v>5612</v>
      </c>
      <c r="J67" s="45" t="n">
        <v>0</v>
      </c>
      <c r="K67" s="45" t="n">
        <v>5612</v>
      </c>
      <c r="L67" s="47"/>
      <c r="M67" s="46"/>
      <c r="N67" s="46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customFormat="false" ht="15.75" hidden="false" customHeight="true" outlineLevel="0" collapsed="false">
      <c r="A68" s="45" t="s">
        <v>315</v>
      </c>
      <c r="B68" s="46" t="str">
        <f aca="false" t="array" ref="B68:B68">IF(A68="","",IFERROR(INDEX('CLM &amp; IM Mapping'!$B$2:$B$270,MATCH(TRIM(A68),'CLM &amp; IM Mapping'!$A$2:$A$270,0)),"Not Mapped"))</f>
        <v>Basil Scariya</v>
      </c>
      <c r="C68" s="46" t="str">
        <f aca="false" t="array" ref="C68:C68">IF(A68="","",IFERROR(INDEX('CLM &amp; IM Mapping'!$C$2:$C$270,MATCH(TRIM(A68),'CLM &amp; IM Mapping'!$A$2:$A$270,0)),"Not Mapped"))</f>
        <v>Prakash BS</v>
      </c>
      <c r="D68" s="45" t="n">
        <v>0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5" t="n">
        <v>0</v>
      </c>
      <c r="K68" s="45" t="n">
        <v>0</v>
      </c>
      <c r="L68" s="47"/>
      <c r="M68" s="46"/>
      <c r="N68" s="46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customFormat="false" ht="15.75" hidden="false" customHeight="true" outlineLevel="0" collapsed="false">
      <c r="A69" s="45" t="s">
        <v>94</v>
      </c>
      <c r="B69" s="46" t="str">
        <f aca="false" t="array" ref="B69:B69">IF(A69="","",IFERROR(INDEX('CLM &amp; IM Mapping'!$B$2:$B$270,MATCH(TRIM(A69),'CLM &amp; IM Mapping'!$A$2:$A$270,0)),"Not Mapped"))</f>
        <v>Adhavan Subramani</v>
      </c>
      <c r="C69" s="46" t="str">
        <f aca="false" t="array" ref="C69:C69">IF(A69="","",IFERROR(INDEX('CLM &amp; IM Mapping'!$C$2:$C$270,MATCH(TRIM(A69),'CLM &amp; IM Mapping'!$A$2:$A$270,0)),"Not Mapped"))</f>
        <v>Mohammed Akbar</v>
      </c>
      <c r="D69" s="45" t="n">
        <v>1951</v>
      </c>
      <c r="E69" s="45" t="n">
        <v>11</v>
      </c>
      <c r="F69" s="45" t="n">
        <v>1659</v>
      </c>
      <c r="G69" s="45" t="n">
        <v>0</v>
      </c>
      <c r="H69" s="45" t="n">
        <v>66</v>
      </c>
      <c r="I69" s="45" t="n">
        <v>98</v>
      </c>
      <c r="J69" s="45" t="n">
        <v>117</v>
      </c>
      <c r="K69" s="45" t="n">
        <v>281</v>
      </c>
      <c r="L69" s="47"/>
      <c r="M69" s="46"/>
      <c r="N69" s="46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customFormat="false" ht="15.75" hidden="false" customHeight="true" outlineLevel="0" collapsed="false">
      <c r="A70" s="45" t="s">
        <v>248</v>
      </c>
      <c r="B70" s="46" t="str">
        <f aca="false" t="array" ref="B70:B70">IF(A70="","",IFERROR(INDEX('CLM &amp; IM Mapping'!$B$2:$B$270,MATCH(TRIM(A70),'CLM &amp; IM Mapping'!$A$2:$A$270,0)),"Not Mapped"))</f>
        <v>Rizwan Ahmed</v>
      </c>
      <c r="C70" s="46" t="str">
        <f aca="false" t="array" ref="C70:C70">IF(A70="","",IFERROR(INDEX('CLM &amp; IM Mapping'!$C$2:$C$270,MATCH(TRIM(A70),'CLM &amp; IM Mapping'!$A$2:$A$270,0)),"Not Mapped"))</f>
        <v>Un Mapped</v>
      </c>
      <c r="D70" s="45" t="n">
        <v>1715</v>
      </c>
      <c r="E70" s="45" t="n">
        <v>0</v>
      </c>
      <c r="F70" s="45" t="n">
        <v>0</v>
      </c>
      <c r="G70" s="45" t="n">
        <v>1695</v>
      </c>
      <c r="H70" s="45" t="n">
        <v>0</v>
      </c>
      <c r="I70" s="45" t="n">
        <v>20</v>
      </c>
      <c r="J70" s="45" t="n">
        <v>0</v>
      </c>
      <c r="K70" s="45" t="n">
        <v>1715</v>
      </c>
      <c r="L70" s="47"/>
      <c r="M70" s="46"/>
      <c r="N70" s="46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customFormat="false" ht="15.75" hidden="false" customHeight="true" outlineLevel="0" collapsed="false">
      <c r="A71" s="45" t="s">
        <v>51</v>
      </c>
      <c r="B71" s="46" t="str">
        <f aca="false" t="array" ref="B71:B71">IF(A71="","",IFERROR(INDEX('CLM &amp; IM Mapping'!$B$2:$B$270,MATCH(TRIM(A71),'CLM &amp; IM Mapping'!$A$2:$A$270,0)),"Not Mapped"))</f>
        <v>Raghavendra Vernekar</v>
      </c>
      <c r="C71" s="46" t="str">
        <f aca="false" t="array" ref="C71:C71">IF(A71="","",IFERROR(INDEX('CLM &amp; IM Mapping'!$C$2:$C$270,MATCH(TRIM(A71),'CLM &amp; IM Mapping'!$A$2:$A$270,0)),"Not Mapped"))</f>
        <v>Prakash BS</v>
      </c>
      <c r="D71" s="45" t="n">
        <v>5089</v>
      </c>
      <c r="E71" s="45" t="n">
        <v>224</v>
      </c>
      <c r="F71" s="45" t="n">
        <v>4840</v>
      </c>
      <c r="G71" s="45" t="n">
        <v>0</v>
      </c>
      <c r="H71" s="45" t="n">
        <v>25</v>
      </c>
      <c r="I71" s="45" t="n">
        <v>0</v>
      </c>
      <c r="J71" s="45" t="n">
        <v>0</v>
      </c>
      <c r="K71" s="45" t="n">
        <v>25</v>
      </c>
      <c r="L71" s="47"/>
      <c r="M71" s="46"/>
      <c r="N71" s="46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customFormat="false" ht="15.75" hidden="false" customHeight="true" outlineLevel="0" collapsed="false">
      <c r="A72" s="45" t="s">
        <v>156</v>
      </c>
      <c r="B72" s="46" t="str">
        <f aca="false" t="array" ref="B72:B72">IF(A72="","",IFERROR(INDEX('CLM &amp; IM Mapping'!$B$2:$B$270,MATCH(TRIM(A72),'CLM &amp; IM Mapping'!$A$2:$A$270,0)),"Not Mapped"))</f>
        <v>Ashwath S</v>
      </c>
      <c r="C72" s="46" t="str">
        <f aca="false" t="array" ref="C72:C72">IF(A72="","",IFERROR(INDEX('CLM &amp; IM Mapping'!$C$2:$C$270,MATCH(TRIM(A72),'CLM &amp; IM Mapping'!$A$2:$A$270,0)),"Not Mapped"))</f>
        <v>Kantha Kumar</v>
      </c>
      <c r="D72" s="45" t="n">
        <v>0</v>
      </c>
      <c r="E72" s="45" t="n">
        <v>0</v>
      </c>
      <c r="F72" s="45" t="n">
        <v>0</v>
      </c>
      <c r="G72" s="45" t="n">
        <v>0</v>
      </c>
      <c r="H72" s="45" t="n">
        <v>0</v>
      </c>
      <c r="I72" s="45" t="n">
        <v>0</v>
      </c>
      <c r="J72" s="45" t="n">
        <v>0</v>
      </c>
      <c r="K72" s="45" t="n">
        <v>0</v>
      </c>
      <c r="L72" s="47"/>
      <c r="M72" s="46"/>
      <c r="N72" s="46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customFormat="false" ht="15.75" hidden="false" customHeight="true" outlineLevel="0" collapsed="false">
      <c r="A73" s="45" t="s">
        <v>47</v>
      </c>
      <c r="B73" s="46" t="str">
        <f aca="false" t="array" ref="B73:B73">IF(A73="","",IFERROR(INDEX('CLM &amp; IM Mapping'!$B$2:$B$270,MATCH(TRIM(A73),'CLM &amp; IM Mapping'!$A$2:$A$270,0)),"Not Mapped"))</f>
        <v>Raghavendra Vernekar</v>
      </c>
      <c r="C73" s="46" t="str">
        <f aca="false" t="array" ref="C73:C73">IF(A73="","",IFERROR(INDEX('CLM &amp; IM Mapping'!$C$2:$C$270,MATCH(TRIM(A73),'CLM &amp; IM Mapping'!$A$2:$A$270,0)),"Not Mapped"))</f>
        <v>Prakash BS</v>
      </c>
      <c r="D73" s="45" t="n">
        <v>3424</v>
      </c>
      <c r="E73" s="45" t="n">
        <v>8</v>
      </c>
      <c r="F73" s="45" t="n">
        <v>3298</v>
      </c>
      <c r="G73" s="45" t="n">
        <v>0</v>
      </c>
      <c r="H73" s="45" t="n">
        <v>118</v>
      </c>
      <c r="I73" s="45" t="n">
        <v>0</v>
      </c>
      <c r="J73" s="45" t="n">
        <v>0</v>
      </c>
      <c r="K73" s="45" t="n">
        <v>118</v>
      </c>
      <c r="L73" s="47"/>
      <c r="M73" s="46"/>
      <c r="N73" s="46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customFormat="false" ht="15.75" hidden="false" customHeight="true" outlineLevel="0" collapsed="false">
      <c r="A74" s="45" t="s">
        <v>274</v>
      </c>
      <c r="B74" s="46" t="str">
        <f aca="false" t="array" ref="B74:B74">IF(A74="","",IFERROR(INDEX('CLM &amp; IM Mapping'!$B$2:$B$270,MATCH(TRIM(A74),'CLM &amp; IM Mapping'!$A$2:$A$270,0)),"Not Mapped"))</f>
        <v>Arun Raj</v>
      </c>
      <c r="C74" s="46" t="str">
        <f aca="false" t="array" ref="C74:C74">IF(A74="","",IFERROR(INDEX('CLM &amp; IM Mapping'!$C$2:$C$270,MATCH(TRIM(A74),'CLM &amp; IM Mapping'!$A$2:$A$270,0)),"Not Mapped"))</f>
        <v>Simon Manoharan</v>
      </c>
      <c r="D74" s="45" t="n">
        <v>350</v>
      </c>
      <c r="E74" s="45" t="n">
        <v>0</v>
      </c>
      <c r="F74" s="45" t="n">
        <v>0</v>
      </c>
      <c r="G74" s="45" t="n">
        <v>350</v>
      </c>
      <c r="H74" s="45" t="n">
        <v>0</v>
      </c>
      <c r="I74" s="45" t="n">
        <v>0</v>
      </c>
      <c r="J74" s="45" t="n">
        <v>0</v>
      </c>
      <c r="K74" s="45" t="n">
        <v>0</v>
      </c>
      <c r="L74" s="47"/>
      <c r="M74" s="46"/>
      <c r="N74" s="46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customFormat="false" ht="15.75" hidden="false" customHeight="true" outlineLevel="0" collapsed="false">
      <c r="A75" s="45" t="s">
        <v>287</v>
      </c>
      <c r="B75" s="46" t="str">
        <f aca="false" t="array" ref="B75:B75">IF(A75="","",IFERROR(INDEX('CLM &amp; IM Mapping'!$B$2:$B$270,MATCH(TRIM(A75),'CLM &amp; IM Mapping'!$A$2:$A$270,0)),"Not Mapped"))</f>
        <v>Balaji G</v>
      </c>
      <c r="C75" s="46" t="str">
        <f aca="false" t="array" ref="C75:C75">IF(A75="","",IFERROR(INDEX('CLM &amp; IM Mapping'!$C$2:$C$270,MATCH(TRIM(A75),'CLM &amp; IM Mapping'!$A$2:$A$270,0)),"Not Mapped"))</f>
        <v>Mohammed Akbar</v>
      </c>
      <c r="D75" s="45" t="n">
        <v>0</v>
      </c>
      <c r="E75" s="45" t="n">
        <v>0</v>
      </c>
      <c r="F75" s="45" t="n">
        <v>0</v>
      </c>
      <c r="G75" s="45" t="n">
        <v>0</v>
      </c>
      <c r="H75" s="45" t="n">
        <v>0</v>
      </c>
      <c r="I75" s="45" t="n">
        <v>0</v>
      </c>
      <c r="J75" s="45" t="n">
        <v>0</v>
      </c>
      <c r="K75" s="45" t="n">
        <v>0</v>
      </c>
      <c r="L75" s="47"/>
      <c r="M75" s="46"/>
      <c r="N75" s="46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customFormat="false" ht="15.75" hidden="false" customHeight="true" outlineLevel="0" collapsed="false">
      <c r="A76" s="45" t="s">
        <v>300</v>
      </c>
      <c r="B76" s="46" t="str">
        <f aca="false" t="array" ref="B76:B76">IF(A76="","",IFERROR(INDEX('CLM &amp; IM Mapping'!$B$2:$B$270,MATCH(TRIM(A76),'CLM &amp; IM Mapping'!$A$2:$A$270,0)),"Not Mapped"))</f>
        <v>Arun Raj</v>
      </c>
      <c r="C76" s="46" t="str">
        <f aca="false" t="array" ref="C76:C76">IF(A76="","",IFERROR(INDEX('CLM &amp; IM Mapping'!$C$2:$C$270,MATCH(TRIM(A76),'CLM &amp; IM Mapping'!$A$2:$A$270,0)),"Not Mapped"))</f>
        <v>Simon Manoharan</v>
      </c>
      <c r="D76" s="45" t="n">
        <v>0</v>
      </c>
      <c r="E76" s="45" t="n">
        <v>0</v>
      </c>
      <c r="F76" s="45" t="n">
        <v>0</v>
      </c>
      <c r="G76" s="45" t="n">
        <v>0</v>
      </c>
      <c r="H76" s="45" t="n">
        <v>0</v>
      </c>
      <c r="I76" s="45" t="n">
        <v>0</v>
      </c>
      <c r="J76" s="45" t="n">
        <v>0</v>
      </c>
      <c r="K76" s="45" t="n">
        <v>0</v>
      </c>
      <c r="L76" s="47"/>
      <c r="M76" s="46"/>
      <c r="N76" s="46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customFormat="false" ht="15.75" hidden="false" customHeight="true" outlineLevel="0" collapsed="false">
      <c r="A77" s="45" t="s">
        <v>97</v>
      </c>
      <c r="B77" s="46" t="str">
        <f aca="false" t="array" ref="B77:B77">IF(A77="","",IFERROR(INDEX('CLM &amp; IM Mapping'!$B$2:$B$270,MATCH(TRIM(A77),'CLM &amp; IM Mapping'!$A$2:$A$270,0)),"Not Mapped"))</f>
        <v>Akshay P</v>
      </c>
      <c r="C77" s="46" t="str">
        <f aca="false" t="array" ref="C77:C77">IF(A77="","",IFERROR(INDEX('CLM &amp; IM Mapping'!$C$2:$C$270,MATCH(TRIM(A77),'CLM &amp; IM Mapping'!$A$2:$A$270,0)),"Not Mapped"))</f>
        <v>Srittam Dhal</v>
      </c>
      <c r="D77" s="45" t="n">
        <v>6194</v>
      </c>
      <c r="E77" s="45" t="n">
        <v>0</v>
      </c>
      <c r="F77" s="45" t="n">
        <v>2195</v>
      </c>
      <c r="G77" s="45" t="n">
        <v>3796</v>
      </c>
      <c r="H77" s="45" t="n">
        <v>56</v>
      </c>
      <c r="I77" s="45" t="n">
        <v>114</v>
      </c>
      <c r="J77" s="45" t="n">
        <v>33</v>
      </c>
      <c r="K77" s="45" t="n">
        <v>3999</v>
      </c>
      <c r="L77" s="47"/>
      <c r="M77" s="46"/>
      <c r="N77" s="46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customFormat="false" ht="15.75" hidden="false" customHeight="true" outlineLevel="0" collapsed="false">
      <c r="A78" s="45" t="s">
        <v>78</v>
      </c>
      <c r="B78" s="46" t="str">
        <f aca="false" t="array" ref="B78:B78">IF(A78="","",IFERROR(INDEX('CLM &amp; IM Mapping'!$B$2:$B$270,MATCH(TRIM(A78),'CLM &amp; IM Mapping'!$A$2:$A$270,0)),"Not Mapped"))</f>
        <v>Vijay M</v>
      </c>
      <c r="C78" s="46" t="str">
        <f aca="false" t="array" ref="C78:C78">IF(A78="","",IFERROR(INDEX('CLM &amp; IM Mapping'!$C$2:$C$270,MATCH(TRIM(A78),'CLM &amp; IM Mapping'!$A$2:$A$270,0)),"Not Mapped"))</f>
        <v>Kantha Kumar</v>
      </c>
      <c r="D78" s="45" t="n">
        <v>4157</v>
      </c>
      <c r="E78" s="45" t="n">
        <v>0</v>
      </c>
      <c r="F78" s="45" t="n">
        <v>4157</v>
      </c>
      <c r="G78" s="45" t="n">
        <v>0</v>
      </c>
      <c r="H78" s="45" t="n">
        <v>0</v>
      </c>
      <c r="I78" s="45" t="n">
        <v>0</v>
      </c>
      <c r="J78" s="45" t="n">
        <v>0</v>
      </c>
      <c r="K78" s="45" t="n">
        <v>0</v>
      </c>
      <c r="L78" s="47"/>
      <c r="M78" s="46"/>
      <c r="N78" s="46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customFormat="false" ht="15.75" hidden="false" customHeight="true" outlineLevel="0" collapsed="false">
      <c r="A79" s="45" t="s">
        <v>41</v>
      </c>
      <c r="B79" s="46" t="str">
        <f aca="false" t="array" ref="B79:B79">IF(A79="","",IFERROR(INDEX('CLM &amp; IM Mapping'!$B$2:$B$270,MATCH(TRIM(A79),'CLM &amp; IM Mapping'!$A$2:$A$270,0)),"Not Mapped"))</f>
        <v>Narasimhamurthy R</v>
      </c>
      <c r="C79" s="46" t="str">
        <f aca="false" t="array" ref="C79:C79">IF(A79="","",IFERROR(INDEX('CLM &amp; IM Mapping'!$C$2:$C$270,MATCH(TRIM(A79),'CLM &amp; IM Mapping'!$A$2:$A$270,0)),"Not Mapped"))</f>
        <v>Kishor K</v>
      </c>
      <c r="D79" s="45" t="n">
        <v>18</v>
      </c>
      <c r="E79" s="45" t="n">
        <v>0</v>
      </c>
      <c r="F79" s="45" t="n">
        <v>0</v>
      </c>
      <c r="G79" s="45" t="n">
        <v>0</v>
      </c>
      <c r="H79" s="45" t="n">
        <v>0</v>
      </c>
      <c r="I79" s="45" t="n">
        <v>0</v>
      </c>
      <c r="J79" s="45" t="n">
        <v>18</v>
      </c>
      <c r="K79" s="45" t="n">
        <v>18</v>
      </c>
      <c r="L79" s="47"/>
      <c r="M79" s="46"/>
      <c r="N79" s="46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customFormat="false" ht="15.75" hidden="false" customHeight="true" outlineLevel="0" collapsed="false">
      <c r="A80" s="45" t="s">
        <v>74</v>
      </c>
      <c r="B80" s="46" t="str">
        <f aca="false" t="array" ref="B80:B80">IF(A80="","",IFERROR(INDEX('CLM &amp; IM Mapping'!$B$2:$B$270,MATCH(TRIM(A80),'CLM &amp; IM Mapping'!$A$2:$A$270,0)),"Not Mapped"))</f>
        <v>Manoj Kj</v>
      </c>
      <c r="C80" s="46" t="str">
        <f aca="false" t="array" ref="C80:C80">IF(A80="","",IFERROR(INDEX('CLM &amp; IM Mapping'!$C$2:$C$270,MATCH(TRIM(A80),'CLM &amp; IM Mapping'!$A$2:$A$270,0)),"Not Mapped"))</f>
        <v>Srittam Dhal</v>
      </c>
      <c r="D80" s="45" t="n">
        <v>0</v>
      </c>
      <c r="E80" s="45" t="n">
        <v>0</v>
      </c>
      <c r="F80" s="45" t="n">
        <v>0</v>
      </c>
      <c r="G80" s="45" t="n">
        <v>0</v>
      </c>
      <c r="H80" s="45" t="n">
        <v>0</v>
      </c>
      <c r="I80" s="45" t="n">
        <v>0</v>
      </c>
      <c r="J80" s="45" t="n">
        <v>0</v>
      </c>
      <c r="K80" s="45" t="n">
        <v>0</v>
      </c>
      <c r="L80" s="47"/>
      <c r="M80" s="46"/>
      <c r="N80" s="46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customFormat="false" ht="15.75" hidden="false" customHeight="true" outlineLevel="0" collapsed="false">
      <c r="A81" s="45" t="s">
        <v>93</v>
      </c>
      <c r="B81" s="46" t="str">
        <f aca="false" t="array" ref="B81:B81">IF(A81="","",IFERROR(INDEX('CLM &amp; IM Mapping'!$B$2:$B$270,MATCH(TRIM(A81),'CLM &amp; IM Mapping'!$A$2:$A$270,0)),"Not Mapped"))</f>
        <v>Manjunatha V</v>
      </c>
      <c r="C81" s="46" t="str">
        <f aca="false" t="array" ref="C81:C81">IF(A81="","",IFERROR(INDEX('CLM &amp; IM Mapping'!$C$2:$C$270,MATCH(TRIM(A81),'CLM &amp; IM Mapping'!$A$2:$A$270,0)),"Not Mapped"))</f>
        <v>Un Mapped</v>
      </c>
      <c r="D81" s="45" t="n">
        <v>2387</v>
      </c>
      <c r="E81" s="45" t="n">
        <v>0</v>
      </c>
      <c r="F81" s="45" t="n">
        <v>2387</v>
      </c>
      <c r="G81" s="45" t="n">
        <v>0</v>
      </c>
      <c r="H81" s="45" t="n">
        <v>0</v>
      </c>
      <c r="I81" s="45" t="n">
        <v>0</v>
      </c>
      <c r="J81" s="45" t="n">
        <v>0</v>
      </c>
      <c r="K81" s="45" t="n">
        <v>0</v>
      </c>
      <c r="L81" s="47"/>
      <c r="M81" s="46"/>
      <c r="N81" s="46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customFormat="false" ht="15.75" hidden="false" customHeight="true" outlineLevel="0" collapsed="false">
      <c r="A82" s="45" t="s">
        <v>296</v>
      </c>
      <c r="B82" s="46" t="str">
        <f aca="false" t="array" ref="B82:B82">IF(A82="","",IFERROR(INDEX('CLM &amp; IM Mapping'!$B$2:$B$270,MATCH(TRIM(A82),'CLM &amp; IM Mapping'!$A$2:$A$270,0)),"Not Mapped"))</f>
        <v>Sundaresh S</v>
      </c>
      <c r="C82" s="46" t="str">
        <f aca="false" t="array" ref="C82:C82">IF(A82="","",IFERROR(INDEX('CLM &amp; IM Mapping'!$C$2:$C$270,MATCH(TRIM(A82),'CLM &amp; IM Mapping'!$A$2:$A$270,0)),"Not Mapped"))</f>
        <v>Un Mapped</v>
      </c>
      <c r="D82" s="45" t="n">
        <v>876</v>
      </c>
      <c r="E82" s="45" t="n">
        <v>0</v>
      </c>
      <c r="F82" s="45" t="n">
        <v>348</v>
      </c>
      <c r="G82" s="45" t="n">
        <v>528</v>
      </c>
      <c r="H82" s="45" t="n">
        <v>0</v>
      </c>
      <c r="I82" s="45" t="n">
        <v>0</v>
      </c>
      <c r="J82" s="45" t="n">
        <v>0</v>
      </c>
      <c r="K82" s="45" t="n">
        <v>528</v>
      </c>
      <c r="L82" s="47"/>
      <c r="M82" s="46"/>
      <c r="N82" s="46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customFormat="false" ht="15.75" hidden="false" customHeight="true" outlineLevel="0" collapsed="false">
      <c r="A83" s="45" t="s">
        <v>103</v>
      </c>
      <c r="B83" s="46" t="str">
        <f aca="false" t="array" ref="B83:B83">IF(A83="","",IFERROR(INDEX('CLM &amp; IM Mapping'!$B$2:$B$270,MATCH(TRIM(A83),'CLM &amp; IM Mapping'!$A$2:$A$270,0)),"Not Mapped"))</f>
        <v>Arun Raj</v>
      </c>
      <c r="C83" s="46" t="str">
        <f aca="false" t="array" ref="C83:C83">IF(A83="","",IFERROR(INDEX('CLM &amp; IM Mapping'!$C$2:$C$270,MATCH(TRIM(A83),'CLM &amp; IM Mapping'!$A$2:$A$270,0)),"Not Mapped"))</f>
        <v>Simon Manoharan</v>
      </c>
      <c r="D83" s="45" t="n">
        <v>2413</v>
      </c>
      <c r="E83" s="45" t="n">
        <v>0</v>
      </c>
      <c r="F83" s="45" t="n">
        <v>0</v>
      </c>
      <c r="G83" s="45" t="n">
        <v>2157</v>
      </c>
      <c r="H83" s="45" t="n">
        <v>0</v>
      </c>
      <c r="I83" s="45" t="n">
        <v>240</v>
      </c>
      <c r="J83" s="45" t="n">
        <v>16</v>
      </c>
      <c r="K83" s="45" t="n">
        <v>256</v>
      </c>
      <c r="L83" s="47"/>
      <c r="M83" s="46"/>
      <c r="N83" s="46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customFormat="false" ht="15.75" hidden="false" customHeight="true" outlineLevel="0" collapsed="false">
      <c r="A84" s="45" t="s">
        <v>180</v>
      </c>
      <c r="B84" s="46" t="str">
        <f aca="false" t="array" ref="B84:B84">IF(A84="","",IFERROR(INDEX('CLM &amp; IM Mapping'!$B$2:$B$270,MATCH(TRIM(A84),'CLM &amp; IM Mapping'!$A$2:$A$270,0)),"Not Mapped"))</f>
        <v>Ashwath S</v>
      </c>
      <c r="C84" s="46" t="str">
        <f aca="false" t="array" ref="C84:C84">IF(A84="","",IFERROR(INDEX('CLM &amp; IM Mapping'!$C$2:$C$270,MATCH(TRIM(A84),'CLM &amp; IM Mapping'!$A$2:$A$270,0)),"Not Mapped"))</f>
        <v>Kantha Kumar</v>
      </c>
      <c r="D84" s="45" t="n">
        <v>0</v>
      </c>
      <c r="E84" s="45" t="n">
        <v>0</v>
      </c>
      <c r="F84" s="45" t="n">
        <v>0</v>
      </c>
      <c r="G84" s="45" t="n">
        <v>0</v>
      </c>
      <c r="H84" s="45" t="n">
        <v>0</v>
      </c>
      <c r="I84" s="45" t="n">
        <v>0</v>
      </c>
      <c r="J84" s="45" t="n">
        <v>0</v>
      </c>
      <c r="K84" s="45" t="n">
        <v>0</v>
      </c>
      <c r="L84" s="47"/>
      <c r="M84" s="46"/>
      <c r="N84" s="46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customFormat="false" ht="15.75" hidden="false" customHeight="true" outlineLevel="0" collapsed="false">
      <c r="A85" s="45" t="s">
        <v>204</v>
      </c>
      <c r="B85" s="46" t="str">
        <f aca="false" t="array" ref="B85:B85">IF(A85="","",IFERROR(INDEX('CLM &amp; IM Mapping'!$B$2:$B$270,MATCH(TRIM(A85),'CLM &amp; IM Mapping'!$A$2:$A$270,0)),"Not Mapped"))</f>
        <v>Ravishankar gowda</v>
      </c>
      <c r="C85" s="46" t="str">
        <f aca="false" t="array" ref="C85:C85">IF(A85="","",IFERROR(INDEX('CLM &amp; IM Mapping'!$C$2:$C$270,MATCH(TRIM(A85),'CLM &amp; IM Mapping'!$A$2:$A$270,0)),"Not Mapped"))</f>
        <v>Kishor K</v>
      </c>
      <c r="D85" s="45" t="n">
        <v>2432</v>
      </c>
      <c r="E85" s="45" t="n">
        <v>0</v>
      </c>
      <c r="F85" s="45" t="n">
        <v>0</v>
      </c>
      <c r="G85" s="45" t="n">
        <v>2384</v>
      </c>
      <c r="H85" s="45" t="n">
        <v>0</v>
      </c>
      <c r="I85" s="45" t="n">
        <v>0</v>
      </c>
      <c r="J85" s="45" t="n">
        <v>48</v>
      </c>
      <c r="K85" s="45" t="n">
        <v>2432</v>
      </c>
      <c r="L85" s="47"/>
      <c r="M85" s="46"/>
      <c r="N85" s="46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customFormat="false" ht="15.75" hidden="false" customHeight="true" outlineLevel="0" collapsed="false">
      <c r="A86" s="45" t="s">
        <v>198</v>
      </c>
      <c r="B86" s="46" t="str">
        <f aca="false" t="array" ref="B86:B86">IF(A86="","",IFERROR(INDEX('CLM &amp; IM Mapping'!$B$2:$B$270,MATCH(TRIM(A86),'CLM &amp; IM Mapping'!$A$2:$A$270,0)),"Not Mapped"))</f>
        <v>Arun Raj</v>
      </c>
      <c r="C86" s="46" t="str">
        <f aca="false" t="array" ref="C86:C86">IF(A86="","",IFERROR(INDEX('CLM &amp; IM Mapping'!$C$2:$C$270,MATCH(TRIM(A86),'CLM &amp; IM Mapping'!$A$2:$A$270,0)),"Not Mapped"))</f>
        <v>Simon Manoharan</v>
      </c>
      <c r="D86" s="45" t="n">
        <v>403</v>
      </c>
      <c r="E86" s="45" t="n">
        <v>403</v>
      </c>
      <c r="F86" s="45" t="n">
        <v>0</v>
      </c>
      <c r="G86" s="45" t="n">
        <v>0</v>
      </c>
      <c r="H86" s="45" t="n">
        <v>0</v>
      </c>
      <c r="I86" s="45" t="n">
        <v>0</v>
      </c>
      <c r="J86" s="45" t="n">
        <v>0</v>
      </c>
      <c r="K86" s="45" t="n">
        <v>0</v>
      </c>
      <c r="L86" s="47"/>
      <c r="M86" s="46"/>
      <c r="N86" s="46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 customFormat="false" ht="15.75" hidden="false" customHeight="true" outlineLevel="0" collapsed="false">
      <c r="A87" s="45" t="s">
        <v>190</v>
      </c>
      <c r="B87" s="46" t="str">
        <f aca="false" t="array" ref="B87:B87">IF(A87="","",IFERROR(INDEX('CLM &amp; IM Mapping'!$B$2:$B$270,MATCH(TRIM(A87),'CLM &amp; IM Mapping'!$A$2:$A$270,0)),"Not Mapped"))</f>
        <v>Sundaresh S</v>
      </c>
      <c r="C87" s="46" t="str">
        <f aca="false" t="array" ref="C87:C87">IF(A87="","",IFERROR(INDEX('CLM &amp; IM Mapping'!$C$2:$C$270,MATCH(TRIM(A87),'CLM &amp; IM Mapping'!$A$2:$A$270,0)),"Not Mapped"))</f>
        <v>Un Mapped</v>
      </c>
      <c r="D87" s="45" t="n">
        <v>858</v>
      </c>
      <c r="E87" s="45" t="n">
        <v>0</v>
      </c>
      <c r="F87" s="45" t="n">
        <v>858</v>
      </c>
      <c r="G87" s="45" t="n">
        <v>0</v>
      </c>
      <c r="H87" s="45" t="n">
        <v>0</v>
      </c>
      <c r="I87" s="45" t="n">
        <v>0</v>
      </c>
      <c r="J87" s="45" t="n">
        <v>0</v>
      </c>
      <c r="K87" s="45" t="n">
        <v>0</v>
      </c>
      <c r="L87" s="47"/>
      <c r="M87" s="46"/>
      <c r="N87" s="46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 customFormat="false" ht="15.75" hidden="false" customHeight="true" outlineLevel="0" collapsed="false">
      <c r="A88" s="45" t="s">
        <v>214</v>
      </c>
      <c r="B88" s="46" t="str">
        <f aca="false" t="array" ref="B88:B88">IF(A88="","",IFERROR(INDEX('CLM &amp; IM Mapping'!$B$2:$B$270,MATCH(TRIM(A88),'CLM &amp; IM Mapping'!$A$2:$A$270,0)),"Not Mapped"))</f>
        <v>Ravishankar gowda</v>
      </c>
      <c r="C88" s="46" t="str">
        <f aca="false" t="array" ref="C88:C88">IF(A88="","",IFERROR(INDEX('CLM &amp; IM Mapping'!$C$2:$C$270,MATCH(TRIM(A88),'CLM &amp; IM Mapping'!$A$2:$A$270,0)),"Not Mapped"))</f>
        <v>Kishor K</v>
      </c>
      <c r="D88" s="45" t="n">
        <v>3503</v>
      </c>
      <c r="E88" s="45" t="n">
        <v>292</v>
      </c>
      <c r="F88" s="45" t="n">
        <v>3198</v>
      </c>
      <c r="G88" s="45" t="n">
        <v>0</v>
      </c>
      <c r="H88" s="45" t="n">
        <v>0</v>
      </c>
      <c r="I88" s="45" t="n">
        <v>13</v>
      </c>
      <c r="J88" s="45" t="n">
        <v>0</v>
      </c>
      <c r="K88" s="45" t="n">
        <v>13</v>
      </c>
      <c r="L88" s="47"/>
      <c r="M88" s="46"/>
      <c r="N88" s="46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 customFormat="false" ht="15.75" hidden="false" customHeight="true" outlineLevel="0" collapsed="false">
      <c r="A89" s="45" t="s">
        <v>92</v>
      </c>
      <c r="B89" s="46" t="str">
        <f aca="false" t="array" ref="B89:B89">IF(A89="","",IFERROR(INDEX('CLM &amp; IM Mapping'!$B$2:$B$270,MATCH(TRIM(A89),'CLM &amp; IM Mapping'!$A$2:$A$270,0)),"Not Mapped"))</f>
        <v>Adhavan Subramani</v>
      </c>
      <c r="C89" s="46" t="str">
        <f aca="false" t="array" ref="C89:C89">IF(A89="","",IFERROR(INDEX('CLM &amp; IM Mapping'!$C$2:$C$270,MATCH(TRIM(A89),'CLM &amp; IM Mapping'!$A$2:$A$270,0)),"Not Mapped"))</f>
        <v>Mohammed Akbar</v>
      </c>
      <c r="D89" s="45" t="n">
        <v>2503</v>
      </c>
      <c r="E89" s="45" t="n">
        <v>0</v>
      </c>
      <c r="F89" s="45" t="n">
        <v>706</v>
      </c>
      <c r="G89" s="45" t="n">
        <v>1797</v>
      </c>
      <c r="H89" s="45" t="n">
        <v>0</v>
      </c>
      <c r="I89" s="45" t="n">
        <v>0</v>
      </c>
      <c r="J89" s="45" t="n">
        <v>0</v>
      </c>
      <c r="K89" s="45" t="n">
        <v>1797</v>
      </c>
      <c r="L89" s="47"/>
      <c r="M89" s="46"/>
      <c r="N89" s="46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 customFormat="false" ht="15.75" hidden="false" customHeight="true" outlineLevel="0" collapsed="false">
      <c r="A90" s="45" t="s">
        <v>169</v>
      </c>
      <c r="B90" s="46" t="str">
        <f aca="false" t="array" ref="B90:B90">IF(A90="","",IFERROR(INDEX('CLM &amp; IM Mapping'!$B$2:$B$270,MATCH(TRIM(A90),'CLM &amp; IM Mapping'!$A$2:$A$270,0)),"Not Mapped"))</f>
        <v>Arun Raj</v>
      </c>
      <c r="C90" s="46" t="str">
        <f aca="false" t="array" ref="C90:C90">IF(A90="","",IFERROR(INDEX('CLM &amp; IM Mapping'!$C$2:$C$270,MATCH(TRIM(A90),'CLM &amp; IM Mapping'!$A$2:$A$270,0)),"Not Mapped"))</f>
        <v>Simon Manoharan</v>
      </c>
      <c r="D90" s="45" t="n">
        <v>2182</v>
      </c>
      <c r="E90" s="45" t="n">
        <v>0</v>
      </c>
      <c r="F90" s="45" t="n">
        <v>0</v>
      </c>
      <c r="G90" s="45" t="n">
        <v>2179</v>
      </c>
      <c r="H90" s="45" t="n">
        <v>0</v>
      </c>
      <c r="I90" s="45" t="n">
        <v>3</v>
      </c>
      <c r="J90" s="45" t="n">
        <v>0</v>
      </c>
      <c r="K90" s="45" t="n">
        <v>3</v>
      </c>
      <c r="L90" s="47"/>
      <c r="M90" s="46"/>
      <c r="N90" s="46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 customFormat="false" ht="15.75" hidden="false" customHeight="true" outlineLevel="0" collapsed="false">
      <c r="A91" s="45" t="s">
        <v>252</v>
      </c>
      <c r="B91" s="46" t="str">
        <f aca="false" t="array" ref="B91:B91">IF(A91="","",IFERROR(INDEX('CLM &amp; IM Mapping'!$B$2:$B$270,MATCH(TRIM(A91),'CLM &amp; IM Mapping'!$A$2:$A$270,0)),"Not Mapped"))</f>
        <v>Arun Raj</v>
      </c>
      <c r="C91" s="46" t="str">
        <f aca="false" t="array" ref="C91:C91">IF(A91="","",IFERROR(INDEX('CLM &amp; IM Mapping'!$C$2:$C$270,MATCH(TRIM(A91),'CLM &amp; IM Mapping'!$A$2:$A$270,0)),"Not Mapped"))</f>
        <v>Simon Manoharan</v>
      </c>
      <c r="D91" s="45" t="n">
        <v>2015</v>
      </c>
      <c r="E91" s="45" t="n">
        <v>2015</v>
      </c>
      <c r="F91" s="45" t="n">
        <v>0</v>
      </c>
      <c r="G91" s="45" t="n">
        <v>0</v>
      </c>
      <c r="H91" s="45" t="n">
        <v>0</v>
      </c>
      <c r="I91" s="45" t="n">
        <v>0</v>
      </c>
      <c r="J91" s="45" t="n">
        <v>0</v>
      </c>
      <c r="K91" s="45" t="n">
        <v>0</v>
      </c>
      <c r="L91" s="47"/>
      <c r="M91" s="46"/>
      <c r="N91" s="46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 customFormat="false" ht="15.75" hidden="false" customHeight="true" outlineLevel="0" collapsed="false">
      <c r="A92" s="45" t="s">
        <v>44</v>
      </c>
      <c r="B92" s="46" t="str">
        <f aca="false" t="array" ref="B92:B92">IF(A92="","",IFERROR(INDEX('CLM &amp; IM Mapping'!$B$2:$B$270,MATCH(TRIM(A92),'CLM &amp; IM Mapping'!$A$2:$A$270,0)),"Not Mapped"))</f>
        <v>Silambarasan E</v>
      </c>
      <c r="C92" s="46" t="str">
        <f aca="false" t="array" ref="C92:C92">IF(A92="","",IFERROR(INDEX('CLM &amp; IM Mapping'!$C$2:$C$270,MATCH(TRIM(A92),'CLM &amp; IM Mapping'!$A$2:$A$270,0)),"Not Mapped"))</f>
        <v>Arivind S</v>
      </c>
      <c r="D92" s="45" t="n">
        <v>6312</v>
      </c>
      <c r="E92" s="45" t="n">
        <v>0</v>
      </c>
      <c r="F92" s="45" t="n">
        <v>0</v>
      </c>
      <c r="G92" s="45" t="n">
        <v>4620</v>
      </c>
      <c r="H92" s="45" t="n">
        <v>2</v>
      </c>
      <c r="I92" s="45" t="n">
        <v>1563</v>
      </c>
      <c r="J92" s="45" t="n">
        <v>127</v>
      </c>
      <c r="K92" s="45" t="n">
        <v>6312</v>
      </c>
      <c r="L92" s="47"/>
      <c r="M92" s="46"/>
      <c r="N92" s="46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 customFormat="false" ht="15.75" hidden="false" customHeight="true" outlineLevel="0" collapsed="false">
      <c r="A93" s="45" t="s">
        <v>87</v>
      </c>
      <c r="B93" s="46" t="str">
        <f aca="false" t="array" ref="B93:B93">IF(A93="","",IFERROR(INDEX('CLM &amp; IM Mapping'!$B$2:$B$270,MATCH(TRIM(A93),'CLM &amp; IM Mapping'!$A$2:$A$270,0)),"Not Mapped"))</f>
        <v>Silambarasan E</v>
      </c>
      <c r="C93" s="46" t="str">
        <f aca="false" t="array" ref="C93:C93">IF(A93="","",IFERROR(INDEX('CLM &amp; IM Mapping'!$C$2:$C$270,MATCH(TRIM(A93),'CLM &amp; IM Mapping'!$A$2:$A$270,0)),"Not Mapped"))</f>
        <v>Arivind S</v>
      </c>
      <c r="D93" s="45" t="n">
        <v>1277</v>
      </c>
      <c r="E93" s="45" t="n">
        <v>852</v>
      </c>
      <c r="F93" s="45" t="n">
        <v>0</v>
      </c>
      <c r="G93" s="45" t="n">
        <v>265</v>
      </c>
      <c r="H93" s="45" t="n">
        <v>0</v>
      </c>
      <c r="I93" s="45" t="n">
        <v>12</v>
      </c>
      <c r="J93" s="45" t="n">
        <v>148</v>
      </c>
      <c r="K93" s="45" t="n">
        <v>425</v>
      </c>
      <c r="L93" s="47"/>
      <c r="M93" s="46"/>
      <c r="N93" s="46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 customFormat="false" ht="15.75" hidden="false" customHeight="true" outlineLevel="0" collapsed="false">
      <c r="A94" s="46" t="s">
        <v>162</v>
      </c>
      <c r="B94" s="46" t="str">
        <f aca="false" t="array" ref="B94:B94">IF(A94="","",IFERROR(INDEX('CLM &amp; IM Mapping'!$B$2:$B$270,MATCH(TRIM(A94),'CLM &amp; IM Mapping'!$A$2:$A$270,0)),"Not Mapped"))</f>
        <v>Vijay M</v>
      </c>
      <c r="C94" s="46" t="str">
        <f aca="false" t="array" ref="C94:C94">IF(A94="","",IFERROR(INDEX('CLM &amp; IM Mapping'!$C$2:$C$270,MATCH(TRIM(A94),'CLM &amp; IM Mapping'!$A$2:$A$270,0)),"Not Mapped"))</f>
        <v>Kantha Kumar</v>
      </c>
      <c r="D94" s="45" t="n">
        <v>0</v>
      </c>
      <c r="E94" s="45" t="n">
        <v>0</v>
      </c>
      <c r="F94" s="45" t="n">
        <v>0</v>
      </c>
      <c r="G94" s="45" t="n">
        <v>0</v>
      </c>
      <c r="H94" s="45" t="n">
        <v>0</v>
      </c>
      <c r="I94" s="45" t="n">
        <v>0</v>
      </c>
      <c r="J94" s="45" t="n">
        <v>0</v>
      </c>
      <c r="K94" s="45" t="n">
        <v>0</v>
      </c>
      <c r="L94" s="47"/>
      <c r="M94" s="46"/>
      <c r="N94" s="46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 customFormat="false" ht="15.75" hidden="false" customHeight="true" outlineLevel="0" collapsed="false">
      <c r="A95" s="45" t="s">
        <v>118</v>
      </c>
      <c r="B95" s="46" t="str">
        <f aca="false" t="array" ref="B95:B95">IF(A95="","",IFERROR(INDEX('CLM &amp; IM Mapping'!$B$2:$B$270,MATCH(TRIM(A95),'CLM &amp; IM Mapping'!$A$2:$A$270,0)),"Not Mapped"))</f>
        <v>Akshay P</v>
      </c>
      <c r="C95" s="46" t="str">
        <f aca="false" t="array" ref="C95:C95">IF(A95="","",IFERROR(INDEX('CLM &amp; IM Mapping'!$C$2:$C$270,MATCH(TRIM(A95),'CLM &amp; IM Mapping'!$A$2:$A$270,0)),"Not Mapped"))</f>
        <v>Srittam Dhal</v>
      </c>
      <c r="D95" s="45" t="n">
        <v>26</v>
      </c>
      <c r="E95" s="45" t="n">
        <v>0</v>
      </c>
      <c r="F95" s="45" t="n">
        <v>17</v>
      </c>
      <c r="G95" s="45" t="n">
        <v>9</v>
      </c>
      <c r="H95" s="45" t="n">
        <v>0</v>
      </c>
      <c r="I95" s="45" t="n">
        <v>0</v>
      </c>
      <c r="J95" s="45" t="n">
        <v>0</v>
      </c>
      <c r="K95" s="45" t="n">
        <v>9</v>
      </c>
      <c r="L95" s="47"/>
      <c r="M95" s="46"/>
      <c r="N95" s="46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 customFormat="false" ht="15.75" hidden="false" customHeight="true" outlineLevel="0" collapsed="false">
      <c r="A96" s="45" t="s">
        <v>211</v>
      </c>
      <c r="B96" s="46" t="str">
        <f aca="false" t="array" ref="B96:B96">IF(A96="","",IFERROR(INDEX('CLM &amp; IM Mapping'!$B$2:$B$270,MATCH(TRIM(A96),'CLM &amp; IM Mapping'!$A$2:$A$270,0)),"Not Mapped"))</f>
        <v>Arun Raj</v>
      </c>
      <c r="C96" s="46" t="str">
        <f aca="false" t="array" ref="C96:C96">IF(A96="","",IFERROR(INDEX('CLM &amp; IM Mapping'!$C$2:$C$270,MATCH(TRIM(A96),'CLM &amp; IM Mapping'!$A$2:$A$270,0)),"Not Mapped"))</f>
        <v>Simon Manoharan</v>
      </c>
      <c r="D96" s="45" t="n">
        <v>1258</v>
      </c>
      <c r="E96" s="45" t="n">
        <v>0</v>
      </c>
      <c r="F96" s="45" t="n">
        <v>0</v>
      </c>
      <c r="G96" s="45" t="n">
        <v>1252</v>
      </c>
      <c r="H96" s="45" t="n">
        <v>0</v>
      </c>
      <c r="I96" s="45" t="n">
        <v>4</v>
      </c>
      <c r="J96" s="45" t="n">
        <v>2</v>
      </c>
      <c r="K96" s="45" t="n">
        <v>6</v>
      </c>
      <c r="L96" s="47"/>
      <c r="M96" s="46"/>
      <c r="N96" s="46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 customFormat="false" ht="15.75" hidden="false" customHeight="true" outlineLevel="0" collapsed="false">
      <c r="A97" s="45" t="s">
        <v>213</v>
      </c>
      <c r="B97" s="46" t="str">
        <f aca="false" t="array" ref="B97:B97">IF(A97="","",IFERROR(INDEX('CLM &amp; IM Mapping'!$B$2:$B$270,MATCH(TRIM(A97),'CLM &amp; IM Mapping'!$A$2:$A$270,0)),"Not Mapped"))</f>
        <v>Rizwan Ahmed</v>
      </c>
      <c r="C97" s="46" t="str">
        <f aca="false" t="array" ref="C97:C97">IF(A97="","",IFERROR(INDEX('CLM &amp; IM Mapping'!$C$2:$C$270,MATCH(TRIM(A97),'CLM &amp; IM Mapping'!$A$2:$A$270,0)),"Not Mapped"))</f>
        <v>Un Mapped</v>
      </c>
      <c r="D97" s="45" t="n">
        <v>0</v>
      </c>
      <c r="E97" s="45" t="n">
        <v>0</v>
      </c>
      <c r="F97" s="45" t="n">
        <v>0</v>
      </c>
      <c r="G97" s="45" t="n">
        <v>0</v>
      </c>
      <c r="H97" s="45" t="n">
        <v>0</v>
      </c>
      <c r="I97" s="45" t="n">
        <v>0</v>
      </c>
      <c r="J97" s="45" t="n">
        <v>0</v>
      </c>
      <c r="K97" s="45" t="n">
        <v>0</v>
      </c>
      <c r="L97" s="47"/>
      <c r="M97" s="46"/>
      <c r="N97" s="46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 customFormat="false" ht="15.75" hidden="false" customHeight="true" outlineLevel="0" collapsed="false">
      <c r="A98" s="45" t="s">
        <v>23</v>
      </c>
      <c r="B98" s="46" t="str">
        <f aca="false" t="array" ref="B98:B98">IF(A98="","",IFERROR(INDEX('CLM &amp; IM Mapping'!$B$2:$B$270,MATCH(TRIM(A98),'CLM &amp; IM Mapping'!$A$2:$A$270,0)),"Not Mapped"))</f>
        <v>Arun Raj</v>
      </c>
      <c r="C98" s="46" t="str">
        <f aca="false" t="array" ref="C98:C98">IF(A98="","",IFERROR(INDEX('CLM &amp; IM Mapping'!$C$2:$C$270,MATCH(TRIM(A98),'CLM &amp; IM Mapping'!$A$2:$A$270,0)),"Not Mapped"))</f>
        <v>Simon Manoharan</v>
      </c>
      <c r="D98" s="45" t="n">
        <v>4043</v>
      </c>
      <c r="E98" s="45" t="n">
        <v>0</v>
      </c>
      <c r="F98" s="45" t="n">
        <v>956</v>
      </c>
      <c r="G98" s="45" t="n">
        <v>2220</v>
      </c>
      <c r="H98" s="45" t="n">
        <v>0</v>
      </c>
      <c r="I98" s="45" t="n">
        <v>661</v>
      </c>
      <c r="J98" s="45" t="n">
        <v>206</v>
      </c>
      <c r="K98" s="45" t="n">
        <v>867</v>
      </c>
      <c r="L98" s="47"/>
      <c r="M98" s="46"/>
      <c r="N98" s="46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 customFormat="false" ht="15.75" hidden="false" customHeight="true" outlineLevel="0" collapsed="false">
      <c r="A99" s="45" t="s">
        <v>45</v>
      </c>
      <c r="B99" s="46" t="str">
        <f aca="false" t="array" ref="B99:B99">IF(A99="","",IFERROR(INDEX('CLM &amp; IM Mapping'!$B$2:$B$270,MATCH(TRIM(A99),'CLM &amp; IM Mapping'!$A$2:$A$270,0)),"Not Mapped"))</f>
        <v>Sundaresh S</v>
      </c>
      <c r="C99" s="46" t="str">
        <f aca="false" t="array" ref="C99:C99">IF(A99="","",IFERROR(INDEX('CLM &amp; IM Mapping'!$C$2:$C$270,MATCH(TRIM(A99),'CLM &amp; IM Mapping'!$A$2:$A$270,0)),"Not Mapped"))</f>
        <v>Un Mapped</v>
      </c>
      <c r="D99" s="45" t="n">
        <v>1863</v>
      </c>
      <c r="E99" s="45" t="n">
        <v>0</v>
      </c>
      <c r="F99" s="45" t="n">
        <v>0</v>
      </c>
      <c r="G99" s="45" t="n">
        <v>1821</v>
      </c>
      <c r="H99" s="45" t="n">
        <v>1</v>
      </c>
      <c r="I99" s="45" t="n">
        <v>0</v>
      </c>
      <c r="J99" s="45" t="n">
        <v>41</v>
      </c>
      <c r="K99" s="45" t="n">
        <v>1863</v>
      </c>
      <c r="L99" s="47"/>
      <c r="M99" s="46"/>
      <c r="N99" s="46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customFormat="false" ht="15.75" hidden="false" customHeight="true" outlineLevel="0" collapsed="false">
      <c r="A100" s="45" t="s">
        <v>91</v>
      </c>
      <c r="B100" s="46" t="str">
        <f aca="false" t="array" ref="B100:B100">IF(A100="","",IFERROR(INDEX('CLM &amp; IM Mapping'!$B$2:$B$270,MATCH(TRIM(A100),'CLM &amp; IM Mapping'!$A$2:$A$270,0)),"Not Mapped"))</f>
        <v>Girish N</v>
      </c>
      <c r="C100" s="46" t="str">
        <f aca="false" t="array" ref="C100:C100">IF(A100="","",IFERROR(INDEX('CLM &amp; IM Mapping'!$C$2:$C$270,MATCH(TRIM(A100),'CLM &amp; IM Mapping'!$A$2:$A$270,0)),"Not Mapped"))</f>
        <v>Un Mapped</v>
      </c>
      <c r="D100" s="45" t="n">
        <v>4539</v>
      </c>
      <c r="E100" s="45" t="n">
        <v>303</v>
      </c>
      <c r="F100" s="45" t="n">
        <v>4232</v>
      </c>
      <c r="G100" s="45" t="n">
        <v>0</v>
      </c>
      <c r="H100" s="45" t="n">
        <v>4</v>
      </c>
      <c r="I100" s="45" t="n">
        <v>0</v>
      </c>
      <c r="J100" s="45" t="n">
        <v>0</v>
      </c>
      <c r="K100" s="45" t="n">
        <v>4</v>
      </c>
      <c r="L100" s="47"/>
      <c r="M100" s="46"/>
      <c r="N100" s="46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 customFormat="false" ht="15.75" hidden="false" customHeight="true" outlineLevel="0" collapsed="false">
      <c r="A101" s="45" t="s">
        <v>107</v>
      </c>
      <c r="B101" s="46" t="str">
        <f aca="false" t="array" ref="B101:B101">IF(A101="","",IFERROR(INDEX('CLM &amp; IM Mapping'!$B$2:$B$270,MATCH(TRIM(A101),'CLM &amp; IM Mapping'!$A$2:$A$270,0)),"Not Mapped"))</f>
        <v>Manoj Kj</v>
      </c>
      <c r="C101" s="46" t="str">
        <f aca="false" t="array" ref="C101:C101">IF(A101="","",IFERROR(INDEX('CLM &amp; IM Mapping'!$C$2:$C$270,MATCH(TRIM(A101),'CLM &amp; IM Mapping'!$A$2:$A$270,0)),"Not Mapped"))</f>
        <v>Srittam Dhal</v>
      </c>
      <c r="D101" s="45" t="n">
        <v>0</v>
      </c>
      <c r="E101" s="45" t="n">
        <v>0</v>
      </c>
      <c r="F101" s="45" t="n">
        <v>0</v>
      </c>
      <c r="G101" s="45" t="n">
        <v>0</v>
      </c>
      <c r="H101" s="45" t="n">
        <v>0</v>
      </c>
      <c r="I101" s="45" t="n">
        <v>0</v>
      </c>
      <c r="J101" s="45" t="n">
        <v>0</v>
      </c>
      <c r="K101" s="45" t="n">
        <v>0</v>
      </c>
      <c r="L101" s="47"/>
      <c r="M101" s="46"/>
      <c r="N101" s="46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 customFormat="false" ht="15.75" hidden="false" customHeight="true" outlineLevel="0" collapsed="false">
      <c r="A102" s="45" t="s">
        <v>72</v>
      </c>
      <c r="B102" s="46" t="str">
        <f aca="false" t="array" ref="B102:B102">IF(A102="","",IFERROR(INDEX('CLM &amp; IM Mapping'!$B$2:$B$270,MATCH(TRIM(A102),'CLM &amp; IM Mapping'!$A$2:$A$270,0)),"Not Mapped"))</f>
        <v>Akshay P</v>
      </c>
      <c r="C102" s="46" t="str">
        <f aca="false" t="array" ref="C102:C102">IF(A102="","",IFERROR(INDEX('CLM &amp; IM Mapping'!$C$2:$C$270,MATCH(TRIM(A102),'CLM &amp; IM Mapping'!$A$2:$A$270,0)),"Not Mapped"))</f>
        <v>Srittam Dhal</v>
      </c>
      <c r="D102" s="45" t="n">
        <v>6844</v>
      </c>
      <c r="E102" s="45" t="n">
        <v>0</v>
      </c>
      <c r="F102" s="45" t="n">
        <v>5609</v>
      </c>
      <c r="G102" s="45" t="n">
        <v>0</v>
      </c>
      <c r="H102" s="45" t="n">
        <v>950</v>
      </c>
      <c r="I102" s="45" t="n">
        <v>79</v>
      </c>
      <c r="J102" s="45" t="n">
        <v>206</v>
      </c>
      <c r="K102" s="45" t="n">
        <v>1235</v>
      </c>
      <c r="L102" s="47"/>
      <c r="M102" s="46"/>
      <c r="N102" s="46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 customFormat="false" ht="15.75" hidden="false" customHeight="true" outlineLevel="0" collapsed="false">
      <c r="A103" s="45" t="s">
        <v>65</v>
      </c>
      <c r="B103" s="46" t="str">
        <f aca="false" t="array" ref="B103:B103">IF(A103="","",IFERROR(INDEX('CLM &amp; IM Mapping'!$B$2:$B$270,MATCH(TRIM(A103),'CLM &amp; IM Mapping'!$A$2:$A$270,0)),"Not Mapped"))</f>
        <v>Saddam Hussain</v>
      </c>
      <c r="C103" s="46" t="str">
        <f aca="false" t="array" ref="C103:C103">IF(A103="","",IFERROR(INDEX('CLM &amp; IM Mapping'!$C$2:$C$270,MATCH(TRIM(A103),'CLM &amp; IM Mapping'!$A$2:$A$270,0)),"Not Mapped"))</f>
        <v>Un Mapped</v>
      </c>
      <c r="D103" s="45" t="n">
        <v>677</v>
      </c>
      <c r="E103" s="45" t="n">
        <v>0</v>
      </c>
      <c r="F103" s="45" t="n">
        <v>677</v>
      </c>
      <c r="G103" s="45" t="n">
        <v>0</v>
      </c>
      <c r="H103" s="45" t="n">
        <v>0</v>
      </c>
      <c r="I103" s="45" t="n">
        <v>0</v>
      </c>
      <c r="J103" s="45" t="n">
        <v>0</v>
      </c>
      <c r="K103" s="45" t="n">
        <v>0</v>
      </c>
      <c r="L103" s="47"/>
      <c r="M103" s="46"/>
      <c r="N103" s="46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 customFormat="false" ht="15.75" hidden="false" customHeight="true" outlineLevel="0" collapsed="false">
      <c r="A104" s="45" t="s">
        <v>140</v>
      </c>
      <c r="B104" s="46" t="str">
        <f aca="false" t="array" ref="B104:B104">IF(A104="","",IFERROR(INDEX('CLM &amp; IM Mapping'!$B$2:$B$270,MATCH(TRIM(A104),'CLM &amp; IM Mapping'!$A$2:$A$270,0)),"Not Mapped"))</f>
        <v>Suhas N</v>
      </c>
      <c r="C104" s="46" t="str">
        <f aca="false" t="array" ref="C104:C104">IF(A104="","",IFERROR(INDEX('CLM &amp; IM Mapping'!$C$2:$C$270,MATCH(TRIM(A104),'CLM &amp; IM Mapping'!$A$2:$A$270,0)),"Not Mapped"))</f>
        <v>Aravind S</v>
      </c>
      <c r="D104" s="45" t="n">
        <v>2048</v>
      </c>
      <c r="E104" s="45" t="n">
        <v>0</v>
      </c>
      <c r="F104" s="45" t="n">
        <v>2048</v>
      </c>
      <c r="G104" s="45" t="n">
        <v>0</v>
      </c>
      <c r="H104" s="45" t="n">
        <v>0</v>
      </c>
      <c r="I104" s="45" t="n">
        <v>0</v>
      </c>
      <c r="J104" s="45" t="n">
        <v>0</v>
      </c>
      <c r="K104" s="45" t="n">
        <v>0</v>
      </c>
      <c r="L104" s="47"/>
      <c r="M104" s="46"/>
      <c r="N104" s="46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 customFormat="false" ht="15.75" hidden="false" customHeight="true" outlineLevel="0" collapsed="false">
      <c r="A105" s="45" t="s">
        <v>259</v>
      </c>
      <c r="B105" s="46" t="str">
        <f aca="false" t="array" ref="B105:B105">IF(A105="","",IFERROR(INDEX('CLM &amp; IM Mapping'!$B$2:$B$270,MATCH(TRIM(A105),'CLM &amp; IM Mapping'!$A$2:$A$270,0)),"Not Mapped"))</f>
        <v>Raghavendra Vernekar</v>
      </c>
      <c r="C105" s="46" t="str">
        <f aca="false" t="array" ref="C105:C105">IF(A105="","",IFERROR(INDEX('CLM &amp; IM Mapping'!$C$2:$C$270,MATCH(TRIM(A105),'CLM &amp; IM Mapping'!$A$2:$A$270,0)),"Not Mapped"))</f>
        <v>Prakash BS</v>
      </c>
      <c r="D105" s="45" t="n">
        <v>0</v>
      </c>
      <c r="E105" s="45" t="n">
        <v>0</v>
      </c>
      <c r="F105" s="45" t="n">
        <v>0</v>
      </c>
      <c r="G105" s="45" t="n">
        <v>0</v>
      </c>
      <c r="H105" s="45" t="n">
        <v>0</v>
      </c>
      <c r="I105" s="45" t="n">
        <v>0</v>
      </c>
      <c r="J105" s="45" t="n">
        <v>0</v>
      </c>
      <c r="K105" s="45" t="n">
        <v>0</v>
      </c>
      <c r="L105" s="47"/>
      <c r="M105" s="46"/>
      <c r="N105" s="46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 customFormat="false" ht="15.75" hidden="false" customHeight="true" outlineLevel="0" collapsed="false">
      <c r="A106" s="45" t="s">
        <v>269</v>
      </c>
      <c r="B106" s="46" t="str">
        <f aca="false" t="array" ref="B106:B106">IF(A106="","",IFERROR(INDEX('CLM &amp; IM Mapping'!$B$2:$B$270,MATCH(TRIM(A106),'CLM &amp; IM Mapping'!$A$2:$A$270,0)),"Not Mapped"))</f>
        <v>Sundaresh S</v>
      </c>
      <c r="C106" s="46" t="str">
        <f aca="false" t="array" ref="C106:C106">IF(A106="","",IFERROR(INDEX('CLM &amp; IM Mapping'!$C$2:$C$270,MATCH(TRIM(A106),'CLM &amp; IM Mapping'!$A$2:$A$270,0)),"Not Mapped"))</f>
        <v>Un Mapped</v>
      </c>
      <c r="D106" s="45" t="n">
        <v>2985</v>
      </c>
      <c r="E106" s="45" t="n">
        <v>0</v>
      </c>
      <c r="F106" s="45" t="n">
        <v>2786</v>
      </c>
      <c r="G106" s="45" t="n">
        <v>198</v>
      </c>
      <c r="H106" s="45" t="n">
        <v>0</v>
      </c>
      <c r="I106" s="45" t="n">
        <v>1</v>
      </c>
      <c r="J106" s="45" t="n">
        <v>0</v>
      </c>
      <c r="K106" s="45" t="n">
        <v>199</v>
      </c>
      <c r="L106" s="47"/>
      <c r="M106" s="46"/>
      <c r="N106" s="46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 customFormat="false" ht="15.75" hidden="false" customHeight="true" outlineLevel="0" collapsed="false">
      <c r="A107" s="45" t="s">
        <v>37</v>
      </c>
      <c r="B107" s="46" t="str">
        <f aca="false" t="array" ref="B107:B107">IF(A107="","",IFERROR(INDEX('CLM &amp; IM Mapping'!$B$2:$B$270,MATCH(TRIM(A107),'CLM &amp; IM Mapping'!$A$2:$A$270,0)),"Not Mapped"))</f>
        <v>Basil Scariya</v>
      </c>
      <c r="C107" s="46" t="str">
        <f aca="false" t="array" ref="C107:C107">IF(A107="","",IFERROR(INDEX('CLM &amp; IM Mapping'!$C$2:$C$270,MATCH(TRIM(A107),'CLM &amp; IM Mapping'!$A$2:$A$270,0)),"Not Mapped"))</f>
        <v>Prakash BS</v>
      </c>
      <c r="D107" s="45" t="n">
        <v>3644</v>
      </c>
      <c r="E107" s="45" t="n">
        <v>3644</v>
      </c>
      <c r="F107" s="45" t="n">
        <v>0</v>
      </c>
      <c r="G107" s="45" t="n">
        <v>0</v>
      </c>
      <c r="H107" s="45" t="n">
        <v>0</v>
      </c>
      <c r="I107" s="45" t="n">
        <v>0</v>
      </c>
      <c r="J107" s="45" t="n">
        <v>0</v>
      </c>
      <c r="K107" s="45" t="n">
        <v>0</v>
      </c>
      <c r="L107" s="47"/>
      <c r="M107" s="46"/>
      <c r="N107" s="46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 customFormat="false" ht="15.75" hidden="false" customHeight="true" outlineLevel="0" collapsed="false">
      <c r="A108" s="45" t="s">
        <v>54</v>
      </c>
      <c r="B108" s="46" t="str">
        <f aca="false" t="array" ref="B108:B108">IF(A108="","",IFERROR(INDEX('CLM &amp; IM Mapping'!$B$2:$B$270,MATCH(TRIM(A108),'CLM &amp; IM Mapping'!$A$2:$A$270,0)),"Not Mapped"))</f>
        <v>Suhas N</v>
      </c>
      <c r="C108" s="46" t="str">
        <f aca="false" t="array" ref="C108:C108">IF(A108="","",IFERROR(INDEX('CLM &amp; IM Mapping'!$C$2:$C$270,MATCH(TRIM(A108),'CLM &amp; IM Mapping'!$A$2:$A$270,0)),"Not Mapped"))</f>
        <v>Aravind S</v>
      </c>
      <c r="D108" s="45" t="n">
        <v>10771</v>
      </c>
      <c r="E108" s="45" t="n">
        <v>8221</v>
      </c>
      <c r="F108" s="45" t="n">
        <v>0</v>
      </c>
      <c r="G108" s="45" t="n">
        <v>496</v>
      </c>
      <c r="H108" s="45" t="n">
        <v>2016</v>
      </c>
      <c r="I108" s="45" t="n">
        <v>0</v>
      </c>
      <c r="J108" s="45" t="n">
        <v>38</v>
      </c>
      <c r="K108" s="45" t="n">
        <v>2550</v>
      </c>
      <c r="L108" s="47"/>
      <c r="M108" s="46"/>
      <c r="N108" s="46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 customFormat="false" ht="15.75" hidden="false" customHeight="true" outlineLevel="0" collapsed="false">
      <c r="A109" s="45" t="s">
        <v>161</v>
      </c>
      <c r="B109" s="46" t="str">
        <f aca="false" t="array" ref="B109:B109">IF(A109="","",IFERROR(INDEX('CLM &amp; IM Mapping'!$B$2:$B$270,MATCH(TRIM(A109),'CLM &amp; IM Mapping'!$A$2:$A$270,0)),"Not Mapped"))</f>
        <v>Ashwath S</v>
      </c>
      <c r="C109" s="46" t="str">
        <f aca="false" t="array" ref="C109:C109">IF(A109="","",IFERROR(INDEX('CLM &amp; IM Mapping'!$C$2:$C$270,MATCH(TRIM(A109),'CLM &amp; IM Mapping'!$A$2:$A$270,0)),"Not Mapped"))</f>
        <v>Kantha Kumar</v>
      </c>
      <c r="D109" s="45" t="n">
        <v>0</v>
      </c>
      <c r="E109" s="45" t="n">
        <v>0</v>
      </c>
      <c r="F109" s="45" t="n">
        <v>0</v>
      </c>
      <c r="G109" s="45" t="n">
        <v>0</v>
      </c>
      <c r="H109" s="45" t="n">
        <v>0</v>
      </c>
      <c r="I109" s="45" t="n">
        <v>0</v>
      </c>
      <c r="J109" s="45" t="n">
        <v>0</v>
      </c>
      <c r="K109" s="45" t="n">
        <v>0</v>
      </c>
      <c r="L109" s="47"/>
      <c r="M109" s="46"/>
      <c r="N109" s="46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 customFormat="false" ht="15.75" hidden="false" customHeight="true" outlineLevel="0" collapsed="false">
      <c r="A110" s="45" t="s">
        <v>95</v>
      </c>
      <c r="B110" s="46" t="str">
        <f aca="false" t="array" ref="B110:B110">IF(A110="","",IFERROR(INDEX('CLM &amp; IM Mapping'!$B$2:$B$270,MATCH(TRIM(A110),'CLM &amp; IM Mapping'!$A$2:$A$270,0)),"Not Mapped"))</f>
        <v>Suhas N</v>
      </c>
      <c r="C110" s="46" t="str">
        <f aca="false" t="array" ref="C110:C110">IF(A110="","",IFERROR(INDEX('CLM &amp; IM Mapping'!$C$2:$C$270,MATCH(TRIM(A110),'CLM &amp; IM Mapping'!$A$2:$A$270,0)),"Not Mapped"))</f>
        <v>Aravind S</v>
      </c>
      <c r="D110" s="45" t="n">
        <v>7885</v>
      </c>
      <c r="E110" s="45" t="n">
        <v>3469</v>
      </c>
      <c r="F110" s="45" t="n">
        <v>0</v>
      </c>
      <c r="G110" s="45" t="n">
        <v>0</v>
      </c>
      <c r="H110" s="45" t="n">
        <v>4399</v>
      </c>
      <c r="I110" s="45" t="n">
        <v>0</v>
      </c>
      <c r="J110" s="45" t="n">
        <v>17</v>
      </c>
      <c r="K110" s="45" t="n">
        <v>4416</v>
      </c>
      <c r="L110" s="47"/>
      <c r="M110" s="46"/>
      <c r="N110" s="46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 customFormat="false" ht="15.75" hidden="false" customHeight="true" outlineLevel="0" collapsed="false">
      <c r="A111" s="45" t="s">
        <v>266</v>
      </c>
      <c r="B111" s="46" t="str">
        <f aca="false" t="array" ref="B111:B111">IF(A111="","",IFERROR(INDEX('CLM &amp; IM Mapping'!$B$2:$B$270,MATCH(TRIM(A111),'CLM &amp; IM Mapping'!$A$2:$A$270,0)),"Not Mapped"))</f>
        <v>Sundaresh S</v>
      </c>
      <c r="C111" s="46" t="str">
        <f aca="false" t="array" ref="C111:C111">IF(A111="","",IFERROR(INDEX('CLM &amp; IM Mapping'!$C$2:$C$270,MATCH(TRIM(A111),'CLM &amp; IM Mapping'!$A$2:$A$270,0)),"Not Mapped"))</f>
        <v>Un Mapped</v>
      </c>
      <c r="D111" s="45" t="n">
        <v>1621</v>
      </c>
      <c r="E111" s="45" t="n">
        <v>14</v>
      </c>
      <c r="F111" s="45" t="n">
        <v>0</v>
      </c>
      <c r="G111" s="45" t="n">
        <v>1365</v>
      </c>
      <c r="H111" s="45" t="n">
        <v>0</v>
      </c>
      <c r="I111" s="45" t="n">
        <v>210</v>
      </c>
      <c r="J111" s="45" t="n">
        <v>32</v>
      </c>
      <c r="K111" s="45" t="n">
        <v>1607</v>
      </c>
      <c r="L111" s="47"/>
      <c r="M111" s="46"/>
      <c r="N111" s="46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 customFormat="false" ht="15.75" hidden="false" customHeight="true" outlineLevel="0" collapsed="false">
      <c r="A112" s="45" t="s">
        <v>297</v>
      </c>
      <c r="B112" s="46" t="str">
        <f aca="false" t="array" ref="B112:B112">IF(A112="","",IFERROR(INDEX('CLM &amp; IM Mapping'!$B$2:$B$270,MATCH(TRIM(A112),'CLM &amp; IM Mapping'!$A$2:$A$270,0)),"Not Mapped"))</f>
        <v>Suhas N</v>
      </c>
      <c r="C112" s="46" t="str">
        <f aca="false" t="array" ref="C112:C112">IF(A112="","",IFERROR(INDEX('CLM &amp; IM Mapping'!$C$2:$C$270,MATCH(TRIM(A112),'CLM &amp; IM Mapping'!$A$2:$A$270,0)),"Not Mapped"))</f>
        <v>Aravind S</v>
      </c>
      <c r="D112" s="45" t="n">
        <v>0</v>
      </c>
      <c r="E112" s="45" t="n">
        <v>0</v>
      </c>
      <c r="F112" s="45" t="n">
        <v>0</v>
      </c>
      <c r="G112" s="45" t="n">
        <v>0</v>
      </c>
      <c r="H112" s="45" t="n">
        <v>0</v>
      </c>
      <c r="I112" s="45" t="n">
        <v>0</v>
      </c>
      <c r="J112" s="45" t="n">
        <v>0</v>
      </c>
      <c r="K112" s="45" t="n">
        <v>0</v>
      </c>
      <c r="L112" s="47"/>
      <c r="M112" s="46"/>
      <c r="N112" s="46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 customFormat="false" ht="15.75" hidden="false" customHeight="true" outlineLevel="0" collapsed="false">
      <c r="A113" s="45" t="s">
        <v>60</v>
      </c>
      <c r="B113" s="46" t="str">
        <f aca="false" t="array" ref="B113:B113">IF(A113="","",IFERROR(INDEX('CLM &amp; IM Mapping'!$B$2:$B$270,MATCH(TRIM(A113),'CLM &amp; IM Mapping'!$A$2:$A$270,0)),"Not Mapped"))</f>
        <v>Adhavan Subramani</v>
      </c>
      <c r="C113" s="46" t="str">
        <f aca="false" t="array" ref="C113:C113">IF(A113="","",IFERROR(INDEX('CLM &amp; IM Mapping'!$C$2:$C$270,MATCH(TRIM(A113),'CLM &amp; IM Mapping'!$A$2:$A$270,0)),"Not Mapped"))</f>
        <v>Mohammed Akbar</v>
      </c>
      <c r="D113" s="45" t="n">
        <v>4607</v>
      </c>
      <c r="E113" s="45" t="n">
        <v>0</v>
      </c>
      <c r="F113" s="45" t="n">
        <v>4603</v>
      </c>
      <c r="G113" s="45" t="n">
        <v>0</v>
      </c>
      <c r="H113" s="45" t="n">
        <v>3</v>
      </c>
      <c r="I113" s="45" t="n">
        <v>1</v>
      </c>
      <c r="J113" s="45" t="n">
        <v>0</v>
      </c>
      <c r="K113" s="45" t="n">
        <v>4</v>
      </c>
      <c r="L113" s="47"/>
      <c r="M113" s="46"/>
      <c r="N113" s="46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 customFormat="false" ht="15.75" hidden="false" customHeight="true" outlineLevel="0" collapsed="false">
      <c r="A114" s="45" t="s">
        <v>275</v>
      </c>
      <c r="B114" s="46" t="str">
        <f aca="false" t="array" ref="B114:B114">IF(A114="","",IFERROR(INDEX('CLM &amp; IM Mapping'!$B$2:$B$270,MATCH(TRIM(A114),'CLM &amp; IM Mapping'!$A$2:$A$270,0)),"Not Mapped"))</f>
        <v>Keshav G</v>
      </c>
      <c r="C114" s="46" t="str">
        <f aca="false" t="array" ref="C114:C114">IF(A114="","",IFERROR(INDEX('CLM &amp; IM Mapping'!$C$2:$C$270,MATCH(TRIM(A114),'CLM &amp; IM Mapping'!$A$2:$A$270,0)),"Not Mapped"))</f>
        <v>Un Mapped</v>
      </c>
      <c r="D114" s="45" t="n">
        <v>0</v>
      </c>
      <c r="E114" s="45" t="n">
        <v>0</v>
      </c>
      <c r="F114" s="45" t="n">
        <v>0</v>
      </c>
      <c r="G114" s="45" t="n">
        <v>0</v>
      </c>
      <c r="H114" s="45" t="n">
        <v>0</v>
      </c>
      <c r="I114" s="45" t="n">
        <v>0</v>
      </c>
      <c r="J114" s="45" t="n">
        <v>0</v>
      </c>
      <c r="K114" s="45" t="n">
        <v>0</v>
      </c>
      <c r="L114" s="47"/>
      <c r="M114" s="46"/>
      <c r="N114" s="46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customFormat="false" ht="15.75" hidden="false" customHeight="true" outlineLevel="0" collapsed="false">
      <c r="A115" s="45" t="s">
        <v>116</v>
      </c>
      <c r="B115" s="46" t="str">
        <f aca="false" t="array" ref="B115:B115">IF(A115="","",IFERROR(INDEX('CLM &amp; IM Mapping'!$B$2:$B$270,MATCH(TRIM(A115),'CLM &amp; IM Mapping'!$A$2:$A$270,0)),"Not Mapped"))</f>
        <v>Adhavan Subramani</v>
      </c>
      <c r="C115" s="46" t="str">
        <f aca="false" t="array" ref="C115:C115">IF(A115="","",IFERROR(INDEX('CLM &amp; IM Mapping'!$C$2:$C$270,MATCH(TRIM(A115),'CLM &amp; IM Mapping'!$A$2:$A$270,0)),"Not Mapped"))</f>
        <v>Mohammed Akbar</v>
      </c>
      <c r="D115" s="45" t="n">
        <v>9165</v>
      </c>
      <c r="E115" s="45" t="n">
        <v>2359</v>
      </c>
      <c r="F115" s="45" t="n">
        <v>5236</v>
      </c>
      <c r="G115" s="45" t="n">
        <v>0</v>
      </c>
      <c r="H115" s="45" t="n">
        <v>1570</v>
      </c>
      <c r="I115" s="45" t="n">
        <v>0</v>
      </c>
      <c r="J115" s="45" t="n">
        <v>0</v>
      </c>
      <c r="K115" s="45" t="n">
        <v>1570</v>
      </c>
      <c r="L115" s="47"/>
      <c r="M115" s="46"/>
      <c r="N115" s="46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 customFormat="false" ht="15.75" hidden="false" customHeight="true" outlineLevel="0" collapsed="false">
      <c r="A116" s="45" t="s">
        <v>195</v>
      </c>
      <c r="B116" s="46" t="str">
        <f aca="false" t="array" ref="B116:B116">IF(A116="","",IFERROR(INDEX('CLM &amp; IM Mapping'!$B$2:$B$270,MATCH(TRIM(A116),'CLM &amp; IM Mapping'!$A$2:$A$270,0)),"Not Mapped"))</f>
        <v>Arun Raj</v>
      </c>
      <c r="C116" s="46" t="str">
        <f aca="false" t="array" ref="C116:C116">IF(A116="","",IFERROR(INDEX('CLM &amp; IM Mapping'!$C$2:$C$270,MATCH(TRIM(A116),'CLM &amp; IM Mapping'!$A$2:$A$270,0)),"Not Mapped"))</f>
        <v>Simon Manoharan</v>
      </c>
      <c r="D116" s="45" t="n">
        <v>320</v>
      </c>
      <c r="E116" s="45" t="n">
        <v>0</v>
      </c>
      <c r="F116" s="45" t="n">
        <v>0</v>
      </c>
      <c r="G116" s="45" t="n">
        <v>11</v>
      </c>
      <c r="H116" s="45" t="n">
        <v>0</v>
      </c>
      <c r="I116" s="45" t="n">
        <v>309</v>
      </c>
      <c r="J116" s="45" t="n">
        <v>0</v>
      </c>
      <c r="K116" s="45" t="n">
        <v>309</v>
      </c>
      <c r="L116" s="47"/>
      <c r="M116" s="46"/>
      <c r="N116" s="46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 customFormat="false" ht="15.75" hidden="false" customHeight="true" outlineLevel="0" collapsed="false">
      <c r="A117" s="48" t="s">
        <v>85</v>
      </c>
      <c r="B117" s="46" t="str">
        <f aca="false" t="array" ref="B117:B117">IF(A117="","",IFERROR(INDEX('CLM &amp; IM Mapping'!$B$2:$B$270,MATCH(TRIM(A117),'CLM &amp; IM Mapping'!$A$2:$A$270,0)),"Not Mapped"))</f>
        <v>Saddam Hussain</v>
      </c>
      <c r="C117" s="46" t="str">
        <f aca="false" t="array" ref="C117:C117">IF(A117="","",IFERROR(INDEX('CLM &amp; IM Mapping'!$C$2:$C$270,MATCH(TRIM(A117),'CLM &amp; IM Mapping'!$A$2:$A$270,0)),"Not Mapped"))</f>
        <v>Un Mapped</v>
      </c>
      <c r="D117" s="45" t="n">
        <v>4603</v>
      </c>
      <c r="E117" s="45" t="n">
        <v>449</v>
      </c>
      <c r="F117" s="45" t="n">
        <v>0</v>
      </c>
      <c r="G117" s="45" t="n">
        <v>4145</v>
      </c>
      <c r="H117" s="45" t="n">
        <v>0</v>
      </c>
      <c r="I117" s="45" t="n">
        <v>9</v>
      </c>
      <c r="J117" s="45" t="n">
        <v>0</v>
      </c>
      <c r="K117" s="45" t="n">
        <v>4154</v>
      </c>
      <c r="L117" s="47"/>
      <c r="M117" s="46"/>
      <c r="N117" s="46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 customFormat="false" ht="15.75" hidden="false" customHeight="true" outlineLevel="0" collapsed="false">
      <c r="A118" s="45" t="s">
        <v>249</v>
      </c>
      <c r="B118" s="46" t="str">
        <f aca="false" t="array" ref="B118:B118">IF(A118="","",IFERROR(INDEX('CLM &amp; IM Mapping'!$B$2:$B$270,MATCH(TRIM(A118),'CLM &amp; IM Mapping'!$A$2:$A$270,0)),"Not Mapped"))</f>
        <v>Saddam Hussain</v>
      </c>
      <c r="C118" s="46" t="str">
        <f aca="false" t="array" ref="C118:C118">IF(A118="","",IFERROR(INDEX('CLM &amp; IM Mapping'!$C$2:$C$270,MATCH(TRIM(A118),'CLM &amp; IM Mapping'!$A$2:$A$270,0)),"Not Mapped"))</f>
        <v>Un Mapped</v>
      </c>
      <c r="D118" s="45" t="n">
        <v>0</v>
      </c>
      <c r="E118" s="45" t="n">
        <v>0</v>
      </c>
      <c r="F118" s="45" t="n">
        <v>0</v>
      </c>
      <c r="G118" s="45" t="n">
        <v>0</v>
      </c>
      <c r="H118" s="45" t="n">
        <v>0</v>
      </c>
      <c r="I118" s="45" t="n">
        <v>0</v>
      </c>
      <c r="J118" s="45" t="n">
        <v>0</v>
      </c>
      <c r="K118" s="45" t="n">
        <v>0</v>
      </c>
      <c r="L118" s="47"/>
      <c r="M118" s="46"/>
      <c r="N118" s="46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 customFormat="false" ht="15.75" hidden="false" customHeight="true" outlineLevel="0" collapsed="false">
      <c r="A119" s="45" t="s">
        <v>210</v>
      </c>
      <c r="B119" s="46" t="str">
        <f aca="false" t="array" ref="B119:B119">IF(A119="","",IFERROR(INDEX('CLM &amp; IM Mapping'!$B$2:$B$270,MATCH(TRIM(A119),'CLM &amp; IM Mapping'!$A$2:$A$270,0)),"Not Mapped"))</f>
        <v>Narasimhamurthy R</v>
      </c>
      <c r="C119" s="46" t="str">
        <f aca="false" t="array" ref="C119:C119">IF(A119="","",IFERROR(INDEX('CLM &amp; IM Mapping'!$C$2:$C$270,MATCH(TRIM(A119),'CLM &amp; IM Mapping'!$A$2:$A$270,0)),"Not Mapped"))</f>
        <v>Kishor K</v>
      </c>
      <c r="D119" s="45" t="n">
        <v>2970</v>
      </c>
      <c r="E119" s="45" t="n">
        <v>10</v>
      </c>
      <c r="F119" s="45" t="n">
        <v>2960</v>
      </c>
      <c r="G119" s="45" t="n">
        <v>0</v>
      </c>
      <c r="H119" s="45" t="n">
        <v>0</v>
      </c>
      <c r="I119" s="45" t="n">
        <v>0</v>
      </c>
      <c r="J119" s="45" t="n">
        <v>0</v>
      </c>
      <c r="K119" s="45" t="n">
        <v>0</v>
      </c>
      <c r="L119" s="47"/>
      <c r="M119" s="46"/>
      <c r="N119" s="46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 customFormat="false" ht="15.75" hidden="false" customHeight="true" outlineLevel="0" collapsed="false">
      <c r="A120" s="45" t="s">
        <v>132</v>
      </c>
      <c r="B120" s="46" t="str">
        <f aca="false" t="array" ref="B120:B120">IF(A120="","",IFERROR(INDEX('CLM &amp; IM Mapping'!$B$2:$B$270,MATCH(TRIM(A120),'CLM &amp; IM Mapping'!$A$2:$A$270,0)),"Not Mapped"))</f>
        <v>Rizwan Ahmed</v>
      </c>
      <c r="C120" s="46" t="str">
        <f aca="false" t="array" ref="C120:C120">IF(A120="","",IFERROR(INDEX('CLM &amp; IM Mapping'!$C$2:$C$270,MATCH(TRIM(A120),'CLM &amp; IM Mapping'!$A$2:$A$270,0)),"Not Mapped"))</f>
        <v>Un Mapped</v>
      </c>
      <c r="D120" s="45" t="n">
        <v>2015</v>
      </c>
      <c r="E120" s="45" t="n">
        <v>0</v>
      </c>
      <c r="F120" s="45" t="n">
        <v>2015</v>
      </c>
      <c r="G120" s="45" t="n">
        <v>0</v>
      </c>
      <c r="H120" s="45" t="n">
        <v>0</v>
      </c>
      <c r="I120" s="45" t="n">
        <v>0</v>
      </c>
      <c r="J120" s="45" t="n">
        <v>0</v>
      </c>
      <c r="K120" s="45" t="n">
        <v>0</v>
      </c>
      <c r="L120" s="47"/>
      <c r="M120" s="46"/>
      <c r="N120" s="46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 customFormat="false" ht="15.75" hidden="false" customHeight="true" outlineLevel="0" collapsed="false">
      <c r="A121" s="45" t="s">
        <v>284</v>
      </c>
      <c r="B121" s="46" t="str">
        <f aca="false" t="array" ref="B121:B121">IF(A121="","",IFERROR(INDEX('CLM &amp; IM Mapping'!$B$2:$B$270,MATCH(TRIM(A121),'CLM &amp; IM Mapping'!$A$2:$A$270,0)),"Not Mapped"))</f>
        <v>Manjunatha V</v>
      </c>
      <c r="C121" s="46" t="str">
        <f aca="false" t="array" ref="C121:C121">IF(A121="","",IFERROR(INDEX('CLM &amp; IM Mapping'!$C$2:$C$270,MATCH(TRIM(A121),'CLM &amp; IM Mapping'!$A$2:$A$270,0)),"Not Mapped"))</f>
        <v>Un Mapped</v>
      </c>
      <c r="D121" s="45" t="n">
        <v>1430</v>
      </c>
      <c r="E121" s="45" t="n">
        <v>0</v>
      </c>
      <c r="F121" s="45" t="n">
        <v>1430</v>
      </c>
      <c r="G121" s="45" t="n">
        <v>0</v>
      </c>
      <c r="H121" s="45" t="n">
        <v>0</v>
      </c>
      <c r="I121" s="45" t="n">
        <v>0</v>
      </c>
      <c r="J121" s="45" t="n">
        <v>0</v>
      </c>
      <c r="K121" s="45" t="n">
        <v>0</v>
      </c>
      <c r="L121" s="47"/>
      <c r="M121" s="46"/>
      <c r="N121" s="46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 customFormat="false" ht="15.75" hidden="false" customHeight="true" outlineLevel="0" collapsed="false">
      <c r="A122" s="45" t="s">
        <v>290</v>
      </c>
      <c r="B122" s="46" t="str">
        <f aca="false" t="array" ref="B122:B122">IF(A122="","",IFERROR(INDEX('CLM &amp; IM Mapping'!$B$2:$B$270,MATCH(TRIM(A122),'CLM &amp; IM Mapping'!$A$2:$A$270,0)),"Not Mapped"))</f>
        <v>Basil Scariya</v>
      </c>
      <c r="C122" s="46" t="str">
        <f aca="false" t="array" ref="C122:C122">IF(A122="","",IFERROR(INDEX('CLM &amp; IM Mapping'!$C$2:$C$270,MATCH(TRIM(A122),'CLM &amp; IM Mapping'!$A$2:$A$270,0)),"Not Mapped"))</f>
        <v>Prakash BS</v>
      </c>
      <c r="D122" s="45" t="n">
        <v>2464</v>
      </c>
      <c r="E122" s="45" t="n">
        <v>1</v>
      </c>
      <c r="F122" s="45" t="n">
        <v>0</v>
      </c>
      <c r="G122" s="45" t="n">
        <v>2222</v>
      </c>
      <c r="H122" s="45" t="n">
        <v>24</v>
      </c>
      <c r="I122" s="45" t="n">
        <v>217</v>
      </c>
      <c r="J122" s="45" t="n">
        <v>0</v>
      </c>
      <c r="K122" s="45" t="n">
        <v>2463</v>
      </c>
      <c r="L122" s="47"/>
      <c r="M122" s="46"/>
      <c r="N122" s="46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 customFormat="false" ht="15.75" hidden="false" customHeight="true" outlineLevel="0" collapsed="false">
      <c r="A123" s="45" t="s">
        <v>147</v>
      </c>
      <c r="B123" s="46" t="str">
        <f aca="false" t="array" ref="B123:B123">IF(A123="","",IFERROR(INDEX('CLM &amp; IM Mapping'!$B$2:$B$270,MATCH(TRIM(A123),'CLM &amp; IM Mapping'!$A$2:$A$270,0)),"Not Mapped"))</f>
        <v>Manjunatha V</v>
      </c>
      <c r="C123" s="46" t="str">
        <f aca="false" t="array" ref="C123:C123">IF(A123="","",IFERROR(INDEX('CLM &amp; IM Mapping'!$C$2:$C$270,MATCH(TRIM(A123),'CLM &amp; IM Mapping'!$A$2:$A$270,0)),"Not Mapped"))</f>
        <v>Un Mapped</v>
      </c>
      <c r="D123" s="45" t="n">
        <v>2555</v>
      </c>
      <c r="E123" s="45" t="n">
        <v>693</v>
      </c>
      <c r="F123" s="45" t="n">
        <v>1693</v>
      </c>
      <c r="G123" s="45" t="n">
        <v>169</v>
      </c>
      <c r="H123" s="45" t="n">
        <v>0</v>
      </c>
      <c r="I123" s="45" t="n">
        <v>0</v>
      </c>
      <c r="J123" s="45" t="n">
        <v>0</v>
      </c>
      <c r="K123" s="45" t="n">
        <v>169</v>
      </c>
      <c r="L123" s="47"/>
      <c r="M123" s="46"/>
      <c r="N123" s="46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 customFormat="false" ht="15.75" hidden="false" customHeight="true" outlineLevel="0" collapsed="false">
      <c r="A124" s="45" t="s">
        <v>160</v>
      </c>
      <c r="B124" s="46" t="str">
        <f aca="false" t="array" ref="B124:B124">IF(A124="","",IFERROR(INDEX('CLM &amp; IM Mapping'!$B$2:$B$270,MATCH(TRIM(A124),'CLM &amp; IM Mapping'!$A$2:$A$270,0)),"Not Mapped"))</f>
        <v>Suhas N</v>
      </c>
      <c r="C124" s="46" t="str">
        <f aca="false" t="array" ref="C124:C124">IF(A124="","",IFERROR(INDEX('CLM &amp; IM Mapping'!$C$2:$C$270,MATCH(TRIM(A124),'CLM &amp; IM Mapping'!$A$2:$A$270,0)),"Not Mapped"))</f>
        <v>Aravind S</v>
      </c>
      <c r="D124" s="45" t="n">
        <v>634</v>
      </c>
      <c r="E124" s="45" t="n">
        <v>634</v>
      </c>
      <c r="F124" s="45" t="n">
        <v>0</v>
      </c>
      <c r="G124" s="45" t="n">
        <v>0</v>
      </c>
      <c r="H124" s="45" t="n">
        <v>0</v>
      </c>
      <c r="I124" s="45" t="n">
        <v>0</v>
      </c>
      <c r="J124" s="45" t="n">
        <v>0</v>
      </c>
      <c r="K124" s="45" t="n">
        <v>0</v>
      </c>
      <c r="L124" s="47"/>
      <c r="M124" s="46"/>
      <c r="N124" s="46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 customFormat="false" ht="15.75" hidden="false" customHeight="true" outlineLevel="0" collapsed="false">
      <c r="A125" s="45" t="s">
        <v>134</v>
      </c>
      <c r="B125" s="46" t="str">
        <f aca="false" t="array" ref="B125:B125">IF(A125="","",IFERROR(INDEX('CLM &amp; IM Mapping'!$B$2:$B$270,MATCH(TRIM(A125),'CLM &amp; IM Mapping'!$A$2:$A$270,0)),"Not Mapped"))</f>
        <v>Balaji G</v>
      </c>
      <c r="C125" s="46" t="str">
        <f aca="false" t="array" ref="C125:C125">IF(A125="","",IFERROR(INDEX('CLM &amp; IM Mapping'!$C$2:$C$270,MATCH(TRIM(A125),'CLM &amp; IM Mapping'!$A$2:$A$270,0)),"Not Mapped"))</f>
        <v>Mohammed Akbar</v>
      </c>
      <c r="D125" s="45" t="n">
        <v>3325</v>
      </c>
      <c r="E125" s="45" t="n">
        <v>0</v>
      </c>
      <c r="F125" s="45" t="n">
        <v>3324</v>
      </c>
      <c r="G125" s="45" t="n">
        <v>0</v>
      </c>
      <c r="H125" s="45" t="n">
        <v>0</v>
      </c>
      <c r="I125" s="45" t="n">
        <v>1</v>
      </c>
      <c r="J125" s="45" t="n">
        <v>0</v>
      </c>
      <c r="K125" s="45" t="n">
        <v>1</v>
      </c>
      <c r="L125" s="47"/>
      <c r="M125" s="46"/>
      <c r="N125" s="46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 customFormat="false" ht="15.75" hidden="false" customHeight="true" outlineLevel="0" collapsed="false">
      <c r="A126" s="45" t="s">
        <v>53</v>
      </c>
      <c r="B126" s="46" t="str">
        <f aca="false" t="array" ref="B126:B126">IF(A126="","",IFERROR(INDEX('CLM &amp; IM Mapping'!$B$2:$B$270,MATCH(TRIM(A126),'CLM &amp; IM Mapping'!$A$2:$A$270,0)),"Not Mapped"))</f>
        <v>Girish N</v>
      </c>
      <c r="C126" s="46" t="str">
        <f aca="false" t="array" ref="C126:C126">IF(A126="","",IFERROR(INDEX('CLM &amp; IM Mapping'!$C$2:$C$270,MATCH(TRIM(A126),'CLM &amp; IM Mapping'!$A$2:$A$270,0)),"Not Mapped"))</f>
        <v>Un Mapped</v>
      </c>
      <c r="D126" s="45" t="n">
        <v>1731</v>
      </c>
      <c r="E126" s="45" t="n">
        <v>0</v>
      </c>
      <c r="F126" s="45" t="n">
        <v>1731</v>
      </c>
      <c r="G126" s="45" t="n">
        <v>0</v>
      </c>
      <c r="H126" s="45" t="n">
        <v>0</v>
      </c>
      <c r="I126" s="45" t="n">
        <v>0</v>
      </c>
      <c r="J126" s="45" t="n">
        <v>0</v>
      </c>
      <c r="K126" s="45" t="n">
        <v>0</v>
      </c>
      <c r="L126" s="47"/>
      <c r="M126" s="46"/>
      <c r="N126" s="46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 customFormat="false" ht="15.75" hidden="false" customHeight="true" outlineLevel="0" collapsed="false">
      <c r="A127" s="45" t="s">
        <v>149</v>
      </c>
      <c r="B127" s="46" t="str">
        <f aca="false" t="array" ref="B127:B127">IF(A127="","",IFERROR(INDEX('CLM &amp; IM Mapping'!$B$2:$B$270,MATCH(TRIM(A127),'CLM &amp; IM Mapping'!$A$2:$A$270,0)),"Not Mapped"))</f>
        <v>Ashwath S</v>
      </c>
      <c r="C127" s="46" t="str">
        <f aca="false" t="array" ref="C127:C127">IF(A127="","",IFERROR(INDEX('CLM &amp; IM Mapping'!$C$2:$C$270,MATCH(TRIM(A127),'CLM &amp; IM Mapping'!$A$2:$A$270,0)),"Not Mapped"))</f>
        <v>Kantha Kumar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7"/>
      <c r="M127" s="46"/>
      <c r="N127" s="46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 customFormat="false" ht="15.75" hidden="false" customHeight="true" outlineLevel="0" collapsed="false">
      <c r="A128" s="45" t="s">
        <v>268</v>
      </c>
      <c r="B128" s="46" t="str">
        <f aca="false" t="array" ref="B128:B128">IF(A128="","",IFERROR(INDEX('CLM &amp; IM Mapping'!$B$2:$B$270,MATCH(TRIM(A128),'CLM &amp; IM Mapping'!$A$2:$A$270,0)),"Not Mapped"))</f>
        <v>Balaji G</v>
      </c>
      <c r="C128" s="46" t="str">
        <f aca="false" t="array" ref="C128:C128">IF(A128="","",IFERROR(INDEX('CLM &amp; IM Mapping'!$C$2:$C$270,MATCH(TRIM(A128),'CLM &amp; IM Mapping'!$A$2:$A$270,0)),"Not Mapped"))</f>
        <v>Mohammed Akbar</v>
      </c>
      <c r="D128" s="45" t="n">
        <v>1918</v>
      </c>
      <c r="E128" s="45" t="n">
        <v>21</v>
      </c>
      <c r="F128" s="45" t="n">
        <v>1897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7"/>
      <c r="M128" s="46"/>
      <c r="N128" s="46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customFormat="false" ht="15.75" hidden="false" customHeight="true" outlineLevel="0" collapsed="false">
      <c r="A129" s="45" t="s">
        <v>292</v>
      </c>
      <c r="B129" s="46" t="str">
        <f aca="false" t="array" ref="B129:B129">IF(A129="","",IFERROR(INDEX('CLM &amp; IM Mapping'!$B$2:$B$270,MATCH(TRIM(A129),'CLM &amp; IM Mapping'!$A$2:$A$270,0)),"Not Mapped"))</f>
        <v>Mohaideen DH</v>
      </c>
      <c r="C129" s="46" t="str">
        <f aca="false" t="array" ref="C129:C129">IF(A129="","",IFERROR(INDEX('CLM &amp; IM Mapping'!$C$2:$C$270,MATCH(TRIM(A129),'CLM &amp; IM Mapping'!$A$2:$A$270,0)),"Not Mapped"))</f>
        <v>Mohammed Akbar</v>
      </c>
      <c r="D129" s="45" t="n">
        <v>1053</v>
      </c>
      <c r="E129" s="45" t="n">
        <v>84</v>
      </c>
      <c r="F129" s="45" t="n">
        <v>342</v>
      </c>
      <c r="G129" s="45" t="n">
        <v>395</v>
      </c>
      <c r="H129" s="45" t="n">
        <v>207</v>
      </c>
      <c r="I129" s="45" t="n">
        <v>0</v>
      </c>
      <c r="J129" s="45" t="n">
        <v>25</v>
      </c>
      <c r="K129" s="45" t="n">
        <v>627</v>
      </c>
      <c r="L129" s="47"/>
      <c r="M129" s="46"/>
      <c r="N129" s="46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 customFormat="false" ht="15.75" hidden="false" customHeight="true" outlineLevel="0" collapsed="false">
      <c r="A130" s="45" t="s">
        <v>70</v>
      </c>
      <c r="B130" s="46" t="str">
        <f aca="false" t="array" ref="B130:B130">IF(A130="","",IFERROR(INDEX('CLM &amp; IM Mapping'!$B$2:$B$270,MATCH(TRIM(A130),'CLM &amp; IM Mapping'!$A$2:$A$270,0)),"Not Mapped"))</f>
        <v>Mohaideen DH</v>
      </c>
      <c r="C130" s="46" t="str">
        <f aca="false" t="array" ref="C130:C130">IF(A130="","",IFERROR(INDEX('CLM &amp; IM Mapping'!$C$2:$C$270,MATCH(TRIM(A130),'CLM &amp; IM Mapping'!$A$2:$A$270,0)),"Not Mapped"))</f>
        <v>Mohammed Akbar</v>
      </c>
      <c r="D130" s="45" t="n">
        <v>5117</v>
      </c>
      <c r="E130" s="45" t="n">
        <v>0</v>
      </c>
      <c r="F130" s="45" t="n">
        <v>2425</v>
      </c>
      <c r="G130" s="45" t="n">
        <v>2610</v>
      </c>
      <c r="H130" s="45" t="n">
        <v>0</v>
      </c>
      <c r="I130" s="45" t="n">
        <v>72</v>
      </c>
      <c r="J130" s="45" t="n">
        <v>10</v>
      </c>
      <c r="K130" s="45" t="n">
        <v>2692</v>
      </c>
      <c r="L130" s="47"/>
      <c r="M130" s="46"/>
      <c r="N130" s="46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 customFormat="false" ht="15.75" hidden="false" customHeight="true" outlineLevel="0" collapsed="false">
      <c r="A131" s="45" t="s">
        <v>218</v>
      </c>
      <c r="B131" s="46" t="str">
        <f aca="false" t="array" ref="B131:B131">IF(A131="","",IFERROR(INDEX('CLM &amp; IM Mapping'!$B$2:$B$270,MATCH(TRIM(A131),'CLM &amp; IM Mapping'!$A$2:$A$270,0)),"Not Mapped"))</f>
        <v>Arun Raj</v>
      </c>
      <c r="C131" s="46" t="str">
        <f aca="false" t="array" ref="C131:C131">IF(A131="","",IFERROR(INDEX('CLM &amp; IM Mapping'!$C$2:$C$270,MATCH(TRIM(A131),'CLM &amp; IM Mapping'!$A$2:$A$270,0)),"Not Mapped"))</f>
        <v>Simon Manoharan</v>
      </c>
      <c r="D131" s="45" t="n">
        <v>0</v>
      </c>
      <c r="E131" s="45" t="n">
        <v>0</v>
      </c>
      <c r="F131" s="45" t="n">
        <v>0</v>
      </c>
      <c r="G131" s="45" t="n">
        <v>0</v>
      </c>
      <c r="H131" s="45" t="n">
        <v>0</v>
      </c>
      <c r="I131" s="45" t="n">
        <v>0</v>
      </c>
      <c r="J131" s="45" t="n">
        <v>0</v>
      </c>
      <c r="K131" s="45" t="n">
        <v>0</v>
      </c>
      <c r="L131" s="47"/>
      <c r="M131" s="46"/>
      <c r="N131" s="46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 customFormat="false" ht="15.75" hidden="false" customHeight="true" outlineLevel="0" collapsed="false">
      <c r="A132" s="45" t="s">
        <v>254</v>
      </c>
      <c r="B132" s="46" t="str">
        <f aca="false" t="array" ref="B132:B132">IF(A132="","",IFERROR(INDEX('CLM &amp; IM Mapping'!$B$2:$B$270,MATCH(TRIM(A132),'CLM &amp; IM Mapping'!$A$2:$A$270,0)),"Not Mapped"))</f>
        <v>Suhas N</v>
      </c>
      <c r="C132" s="46" t="str">
        <f aca="false" t="array" ref="C132:C132">IF(A132="","",IFERROR(INDEX('CLM &amp; IM Mapping'!$C$2:$C$270,MATCH(TRIM(A132),'CLM &amp; IM Mapping'!$A$2:$A$270,0)),"Not Mapped"))</f>
        <v>Aravind S</v>
      </c>
      <c r="D132" s="45" t="n">
        <v>1581</v>
      </c>
      <c r="E132" s="45" t="n">
        <v>1581</v>
      </c>
      <c r="F132" s="45" t="n">
        <v>0</v>
      </c>
      <c r="G132" s="45" t="n">
        <v>0</v>
      </c>
      <c r="H132" s="45" t="n">
        <v>0</v>
      </c>
      <c r="I132" s="45" t="n">
        <v>0</v>
      </c>
      <c r="J132" s="45" t="n">
        <v>0</v>
      </c>
      <c r="K132" s="45" t="n">
        <v>0</v>
      </c>
      <c r="L132" s="47"/>
      <c r="M132" s="46"/>
      <c r="N132" s="46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 customFormat="false" ht="15.75" hidden="false" customHeight="true" outlineLevel="0" collapsed="false">
      <c r="A133" s="45" t="s">
        <v>282</v>
      </c>
      <c r="B133" s="46" t="str">
        <f aca="false" t="array" ref="B133:B133">IF(A133="","",IFERROR(INDEX('CLM &amp; IM Mapping'!$B$2:$B$270,MATCH(TRIM(A133),'CLM &amp; IM Mapping'!$A$2:$A$270,0)),"Not Mapped"))</f>
        <v>Raghavendra Vernekar</v>
      </c>
      <c r="C133" s="46" t="str">
        <f aca="false" t="array" ref="C133:C133">IF(A133="","",IFERROR(INDEX('CLM &amp; IM Mapping'!$C$2:$C$270,MATCH(TRIM(A133),'CLM &amp; IM Mapping'!$A$2:$A$270,0)),"Not Mapped"))</f>
        <v>Prakash BS</v>
      </c>
      <c r="D133" s="45" t="n">
        <v>7877</v>
      </c>
      <c r="E133" s="45" t="n">
        <v>7877</v>
      </c>
      <c r="F133" s="45" t="n">
        <v>0</v>
      </c>
      <c r="G133" s="45" t="n">
        <v>0</v>
      </c>
      <c r="H133" s="45" t="n">
        <v>0</v>
      </c>
      <c r="I133" s="45" t="n">
        <v>0</v>
      </c>
      <c r="J133" s="45" t="n">
        <v>0</v>
      </c>
      <c r="K133" s="45" t="n">
        <v>0</v>
      </c>
      <c r="L133" s="47"/>
      <c r="M133" s="46"/>
      <c r="N133" s="46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 customFormat="false" ht="15.75" hidden="false" customHeight="true" outlineLevel="0" collapsed="false">
      <c r="A134" s="45" t="s">
        <v>189</v>
      </c>
      <c r="B134" s="46" t="str">
        <f aca="false" t="array" ref="B134:B134">IF(A134="","",IFERROR(INDEX('CLM &amp; IM Mapping'!$B$2:$B$270,MATCH(TRIM(A134),'CLM &amp; IM Mapping'!$A$2:$A$270,0)),"Not Mapped"))</f>
        <v>Saddam Hussain</v>
      </c>
      <c r="C134" s="46" t="str">
        <f aca="false" t="array" ref="C134:C134">IF(A134="","",IFERROR(INDEX('CLM &amp; IM Mapping'!$C$2:$C$270,MATCH(TRIM(A134),'CLM &amp; IM Mapping'!$A$2:$A$270,0)),"Not Mapped"))</f>
        <v>Un Mapped</v>
      </c>
      <c r="D134" s="45" t="n">
        <v>3064</v>
      </c>
      <c r="E134" s="45" t="n">
        <v>119</v>
      </c>
      <c r="F134" s="45" t="n">
        <v>2945</v>
      </c>
      <c r="G134" s="45" t="n">
        <v>0</v>
      </c>
      <c r="H134" s="45" t="n">
        <v>0</v>
      </c>
      <c r="I134" s="45" t="n">
        <v>0</v>
      </c>
      <c r="J134" s="45" t="n">
        <v>0</v>
      </c>
      <c r="K134" s="45" t="n">
        <v>0</v>
      </c>
      <c r="L134" s="47"/>
      <c r="M134" s="46"/>
      <c r="N134" s="46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 customFormat="false" ht="15.75" hidden="false" customHeight="true" outlineLevel="0" collapsed="false">
      <c r="A135" s="45" t="s">
        <v>58</v>
      </c>
      <c r="B135" s="46" t="str">
        <f aca="false" t="array" ref="B135:B135">IF(A135="","",IFERROR(INDEX('CLM &amp; IM Mapping'!$B$2:$B$270,MATCH(TRIM(A135),'CLM &amp; IM Mapping'!$A$2:$A$270,0)),"Not Mapped"))</f>
        <v>Narasimhamurthy R</v>
      </c>
      <c r="C135" s="46" t="str">
        <f aca="false" t="array" ref="C135:C135">IF(A135="","",IFERROR(INDEX('CLM &amp; IM Mapping'!$C$2:$C$270,MATCH(TRIM(A135),'CLM &amp; IM Mapping'!$A$2:$A$270,0)),"Not Mapped"))</f>
        <v>Kishor K</v>
      </c>
      <c r="D135" s="45" t="n">
        <v>7663</v>
      </c>
      <c r="E135" s="45" t="n">
        <v>6264</v>
      </c>
      <c r="F135" s="45" t="n">
        <v>0</v>
      </c>
      <c r="G135" s="45" t="n">
        <v>0</v>
      </c>
      <c r="H135" s="45" t="n">
        <v>1399</v>
      </c>
      <c r="I135" s="45" t="n">
        <v>0</v>
      </c>
      <c r="J135" s="45" t="n">
        <v>0</v>
      </c>
      <c r="K135" s="45" t="n">
        <v>1399</v>
      </c>
      <c r="L135" s="47"/>
      <c r="M135" s="46"/>
      <c r="N135" s="46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 customFormat="false" ht="15.75" hidden="false" customHeight="true" outlineLevel="0" collapsed="false">
      <c r="A136" s="45" t="s">
        <v>63</v>
      </c>
      <c r="B136" s="46" t="str">
        <f aca="false" t="array" ref="B136:B136">IF(A136="","",IFERROR(INDEX('CLM &amp; IM Mapping'!$B$2:$B$270,MATCH(TRIM(A136),'CLM &amp; IM Mapping'!$A$2:$A$270,0)),"Not Mapped"))</f>
        <v>Girish N</v>
      </c>
      <c r="C136" s="46" t="str">
        <f aca="false" t="array" ref="C136:C136">IF(A136="","",IFERROR(INDEX('CLM &amp; IM Mapping'!$C$2:$C$270,MATCH(TRIM(A136),'CLM &amp; IM Mapping'!$A$2:$A$270,0)),"Not Mapped"))</f>
        <v>Un Mapped</v>
      </c>
      <c r="D136" s="45" t="n">
        <v>261</v>
      </c>
      <c r="E136" s="45" t="n">
        <v>0</v>
      </c>
      <c r="F136" s="45" t="n">
        <v>0</v>
      </c>
      <c r="G136" s="45" t="n">
        <v>148</v>
      </c>
      <c r="H136" s="45" t="n">
        <v>13</v>
      </c>
      <c r="I136" s="45" t="n">
        <v>100</v>
      </c>
      <c r="J136" s="45" t="n">
        <v>0</v>
      </c>
      <c r="K136" s="45" t="n">
        <v>261</v>
      </c>
      <c r="L136" s="47"/>
      <c r="M136" s="46"/>
      <c r="N136" s="46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 customFormat="false" ht="15.75" hidden="false" customHeight="true" outlineLevel="0" collapsed="false">
      <c r="A137" s="46" t="s">
        <v>46</v>
      </c>
      <c r="B137" s="46" t="str">
        <f aca="false" t="array" ref="B137:B137">IF(A137="","",IFERROR(INDEX('CLM &amp; IM Mapping'!$B$2:$B$270,MATCH(TRIM(A137),'CLM &amp; IM Mapping'!$A$2:$A$270,0)),"Not Mapped"))</f>
        <v>Keshav G</v>
      </c>
      <c r="C137" s="46" t="str">
        <f aca="false" t="array" ref="C137:C137">IF(A137="","",IFERROR(INDEX('CLM &amp; IM Mapping'!$C$2:$C$270,MATCH(TRIM(A137),'CLM &amp; IM Mapping'!$A$2:$A$270,0)),"Not Mapped"))</f>
        <v>Mohammed Akbar</v>
      </c>
      <c r="D137" s="45" t="n">
        <v>13848</v>
      </c>
      <c r="E137" s="45" t="n">
        <v>654</v>
      </c>
      <c r="F137" s="45" t="n">
        <v>9543</v>
      </c>
      <c r="G137" s="45" t="n">
        <v>3508</v>
      </c>
      <c r="H137" s="45" t="n">
        <v>0</v>
      </c>
      <c r="I137" s="45" t="n">
        <v>25</v>
      </c>
      <c r="J137" s="45" t="n">
        <v>118</v>
      </c>
      <c r="K137" s="45" t="n">
        <v>3651</v>
      </c>
      <c r="L137" s="47"/>
      <c r="M137" s="46"/>
      <c r="N137" s="46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 customFormat="false" ht="15.75" hidden="false" customHeight="true" outlineLevel="0" collapsed="false">
      <c r="A138" s="45" t="s">
        <v>68</v>
      </c>
      <c r="B138" s="46" t="str">
        <f aca="false" t="array" ref="B138:B138">IF(A138="","",IFERROR(INDEX('CLM &amp; IM Mapping'!$B$2:$B$270,MATCH(TRIM(A138),'CLM &amp; IM Mapping'!$A$2:$A$270,0)),"Not Mapped"))</f>
        <v>Mohaideen DH</v>
      </c>
      <c r="C138" s="46" t="str">
        <f aca="false" t="array" ref="C138:C138">IF(A138="","",IFERROR(INDEX('CLM &amp; IM Mapping'!$C$2:$C$270,MATCH(TRIM(A138),'CLM &amp; IM Mapping'!$A$2:$A$270,0)),"Not Mapped"))</f>
        <v>Mohammed Akbar</v>
      </c>
      <c r="D138" s="45" t="n">
        <v>4553</v>
      </c>
      <c r="E138" s="45" t="n">
        <v>437</v>
      </c>
      <c r="F138" s="45" t="n">
        <v>4060</v>
      </c>
      <c r="G138" s="45" t="n">
        <v>0</v>
      </c>
      <c r="H138" s="45" t="n">
        <v>0</v>
      </c>
      <c r="I138" s="45" t="n">
        <v>56</v>
      </c>
      <c r="J138" s="45" t="n">
        <v>0</v>
      </c>
      <c r="K138" s="45" t="n">
        <v>56</v>
      </c>
      <c r="L138" s="47"/>
      <c r="M138" s="46"/>
      <c r="N138" s="46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 customFormat="false" ht="15.75" hidden="false" customHeight="true" outlineLevel="0" collapsed="false">
      <c r="A139" s="45" t="s">
        <v>84</v>
      </c>
      <c r="B139" s="46" t="str">
        <f aca="false" t="array" ref="B139:B139">IF(A139="","",IFERROR(INDEX('CLM &amp; IM Mapping'!$B$2:$B$270,MATCH(TRIM(A139),'CLM &amp; IM Mapping'!$A$2:$A$270,0)),"Not Mapped"))</f>
        <v>Silambarasan E</v>
      </c>
      <c r="C139" s="46" t="str">
        <f aca="false" t="array" ref="C139:C139">IF(A139="","",IFERROR(INDEX('CLM &amp; IM Mapping'!$C$2:$C$270,MATCH(TRIM(A139),'CLM &amp; IM Mapping'!$A$2:$A$270,0)),"Not Mapped"))</f>
        <v>Arivind S</v>
      </c>
      <c r="D139" s="45" t="n">
        <v>1165</v>
      </c>
      <c r="E139" s="45" t="n">
        <v>0</v>
      </c>
      <c r="F139" s="45" t="n">
        <v>0</v>
      </c>
      <c r="G139" s="45" t="n">
        <v>1020</v>
      </c>
      <c r="H139" s="45" t="n">
        <v>0</v>
      </c>
      <c r="I139" s="45" t="n">
        <v>102</v>
      </c>
      <c r="J139" s="45" t="n">
        <v>43</v>
      </c>
      <c r="K139" s="45" t="n">
        <v>1165</v>
      </c>
      <c r="L139" s="47"/>
      <c r="M139" s="46"/>
      <c r="N139" s="46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 customFormat="false" ht="15.75" hidden="false" customHeight="true" outlineLevel="0" collapsed="false">
      <c r="A140" s="45" t="s">
        <v>171</v>
      </c>
      <c r="B140" s="46" t="str">
        <f aca="false" t="array" ref="B140:B140">IF(A140="","",IFERROR(INDEX('CLM &amp; IM Mapping'!$B$2:$B$270,MATCH(TRIM(A140),'CLM &amp; IM Mapping'!$A$2:$A$270,0)),"Not Mapped"))</f>
        <v>Saddam Hussain</v>
      </c>
      <c r="C140" s="46" t="str">
        <f aca="false" t="array" ref="C140:C140">IF(A140="","",IFERROR(INDEX('CLM &amp; IM Mapping'!$C$2:$C$270,MATCH(TRIM(A140),'CLM &amp; IM Mapping'!$A$2:$A$270,0)),"Not Mapped"))</f>
        <v>Un Mapped</v>
      </c>
      <c r="D140" s="45" t="n">
        <v>1848</v>
      </c>
      <c r="E140" s="45" t="n">
        <v>0</v>
      </c>
      <c r="F140" s="45" t="n">
        <v>1848</v>
      </c>
      <c r="G140" s="45" t="n">
        <v>0</v>
      </c>
      <c r="H140" s="45" t="n">
        <v>0</v>
      </c>
      <c r="I140" s="45" t="n">
        <v>0</v>
      </c>
      <c r="J140" s="45" t="n">
        <v>0</v>
      </c>
      <c r="K140" s="45" t="n">
        <v>0</v>
      </c>
      <c r="L140" s="47"/>
      <c r="M140" s="46"/>
      <c r="N140" s="46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 customFormat="false" ht="15.75" hidden="false" customHeight="true" outlineLevel="0" collapsed="false">
      <c r="A141" s="45" t="s">
        <v>36</v>
      </c>
      <c r="B141" s="46" t="str">
        <f aca="false" t="array" ref="B141:B141">IF(A141="","",IFERROR(INDEX('CLM &amp; IM Mapping'!$B$2:$B$270,MATCH(TRIM(A141),'CLM &amp; IM Mapping'!$A$2:$A$270,0)),"Not Mapped"))</f>
        <v>Saddam Hussain</v>
      </c>
      <c r="C141" s="46" t="str">
        <f aca="false" t="array" ref="C141:C141">IF(A141="","",IFERROR(INDEX('CLM &amp; IM Mapping'!$C$2:$C$270,MATCH(TRIM(A141),'CLM &amp; IM Mapping'!$A$2:$A$270,0)),"Not Mapped"))</f>
        <v>Un Mapped</v>
      </c>
      <c r="D141" s="45" t="n">
        <v>3</v>
      </c>
      <c r="E141" s="45" t="n">
        <v>0</v>
      </c>
      <c r="F141" s="45" t="n">
        <v>0</v>
      </c>
      <c r="G141" s="45" t="n">
        <v>0</v>
      </c>
      <c r="H141" s="45" t="n">
        <v>3</v>
      </c>
      <c r="I141" s="45" t="n">
        <v>0</v>
      </c>
      <c r="J141" s="45" t="n">
        <v>0</v>
      </c>
      <c r="K141" s="45" t="n">
        <v>3</v>
      </c>
      <c r="L141" s="47"/>
      <c r="M141" s="46"/>
      <c r="N141" s="46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 customFormat="false" ht="15.75" hidden="false" customHeight="true" outlineLevel="0" collapsed="false">
      <c r="A142" s="45" t="s">
        <v>125</v>
      </c>
      <c r="B142" s="46" t="str">
        <f aca="false" t="array" ref="B142:B142">IF(A142="","",IFERROR(INDEX('CLM &amp; IM Mapping'!$B$2:$B$270,MATCH(TRIM(A142),'CLM &amp; IM Mapping'!$A$2:$A$270,0)),"Not Mapped"))</f>
        <v>Adhavan Subramani</v>
      </c>
      <c r="C142" s="46" t="str">
        <f aca="false" t="array" ref="C142:C142">IF(A142="","",IFERROR(INDEX('CLM &amp; IM Mapping'!$C$2:$C$270,MATCH(TRIM(A142),'CLM &amp; IM Mapping'!$A$2:$A$270,0)),"Not Mapped"))</f>
        <v>Mohammed Akbar</v>
      </c>
      <c r="D142" s="45" t="n">
        <v>5560</v>
      </c>
      <c r="E142" s="45" t="n">
        <v>3674</v>
      </c>
      <c r="F142" s="45" t="n">
        <v>0</v>
      </c>
      <c r="G142" s="45" t="n">
        <v>0</v>
      </c>
      <c r="H142" s="45" t="n">
        <v>1395</v>
      </c>
      <c r="I142" s="45" t="n">
        <v>73</v>
      </c>
      <c r="J142" s="45" t="n">
        <v>418</v>
      </c>
      <c r="K142" s="45" t="n">
        <v>1886</v>
      </c>
      <c r="L142" s="47"/>
      <c r="M142" s="46"/>
      <c r="N142" s="46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 customFormat="false" ht="15.75" hidden="false" customHeight="true" outlineLevel="0" collapsed="false">
      <c r="A143" s="45" t="s">
        <v>289</v>
      </c>
      <c r="B143" s="46" t="str">
        <f aca="false" t="array" ref="B143:B143">IF(A143="","",IFERROR(INDEX('CLM &amp; IM Mapping'!$B$2:$B$270,MATCH(TRIM(A143),'CLM &amp; IM Mapping'!$A$2:$A$270,0)),"Not Mapped"))</f>
        <v>Manoj Kj</v>
      </c>
      <c r="C143" s="46" t="str">
        <f aca="false" t="array" ref="C143:C143">IF(A143="","",IFERROR(INDEX('CLM &amp; IM Mapping'!$C$2:$C$270,MATCH(TRIM(A143),'CLM &amp; IM Mapping'!$A$2:$A$270,0)),"Not Mapped"))</f>
        <v>Srittam Dhal</v>
      </c>
      <c r="D143" s="45" t="n">
        <v>0</v>
      </c>
      <c r="E143" s="45" t="n">
        <v>0</v>
      </c>
      <c r="F143" s="45" t="n">
        <v>0</v>
      </c>
      <c r="G143" s="45" t="n">
        <v>0</v>
      </c>
      <c r="H143" s="45" t="n">
        <v>0</v>
      </c>
      <c r="I143" s="45" t="n">
        <v>0</v>
      </c>
      <c r="J143" s="45" t="n">
        <v>0</v>
      </c>
      <c r="K143" s="45" t="n">
        <v>0</v>
      </c>
      <c r="L143" s="47"/>
      <c r="M143" s="46"/>
      <c r="N143" s="46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 customFormat="false" ht="15.75" hidden="false" customHeight="true" outlineLevel="0" collapsed="false">
      <c r="A144" s="45" t="s">
        <v>233</v>
      </c>
      <c r="B144" s="46" t="str">
        <f aca="false" t="array" ref="B144:B144">IF(A144="","",IFERROR(INDEX('CLM &amp; IM Mapping'!$B$2:$B$270,MATCH(TRIM(A144),'CLM &amp; IM Mapping'!$A$2:$A$270,0)),"Not Mapped"))</f>
        <v>Balaji G</v>
      </c>
      <c r="C144" s="46" t="str">
        <f aca="false" t="array" ref="C144:C144">IF(A144="","",IFERROR(INDEX('CLM &amp; IM Mapping'!$C$2:$C$270,MATCH(TRIM(A144),'CLM &amp; IM Mapping'!$A$2:$A$270,0)),"Not Mapped"))</f>
        <v>Mohammed Akbar</v>
      </c>
      <c r="D144" s="45" t="n">
        <v>5</v>
      </c>
      <c r="E144" s="45" t="n">
        <v>0</v>
      </c>
      <c r="F144" s="45" t="n">
        <v>5</v>
      </c>
      <c r="G144" s="45" t="n">
        <v>0</v>
      </c>
      <c r="H144" s="45" t="n">
        <v>0</v>
      </c>
      <c r="I144" s="45" t="n">
        <v>0</v>
      </c>
      <c r="J144" s="45" t="n">
        <v>0</v>
      </c>
      <c r="K144" s="45" t="n">
        <v>0</v>
      </c>
      <c r="L144" s="47"/>
      <c r="M144" s="46"/>
      <c r="N144" s="46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 customFormat="false" ht="15.75" hidden="false" customHeight="true" outlineLevel="0" collapsed="false">
      <c r="A145" s="45" t="s">
        <v>168</v>
      </c>
      <c r="B145" s="46" t="str">
        <f aca="false" t="array" ref="B145:B145">IF(A145="","",IFERROR(INDEX('CLM &amp; IM Mapping'!$B$2:$B$270,MATCH(TRIM(A145),'CLM &amp; IM Mapping'!$A$2:$A$270,0)),"Not Mapped"))</f>
        <v>Saddam Hussain</v>
      </c>
      <c r="C145" s="46" t="str">
        <f aca="false" t="array" ref="C145:C145">IF(A145="","",IFERROR(INDEX('CLM &amp; IM Mapping'!$C$2:$C$270,MATCH(TRIM(A145),'CLM &amp; IM Mapping'!$A$2:$A$270,0)),"Not Mapped"))</f>
        <v>Un Mapped</v>
      </c>
      <c r="D145" s="45" t="n">
        <v>2</v>
      </c>
      <c r="E145" s="45" t="n">
        <v>2</v>
      </c>
      <c r="F145" s="45" t="n">
        <v>0</v>
      </c>
      <c r="G145" s="45" t="n">
        <v>0</v>
      </c>
      <c r="H145" s="45" t="n">
        <v>0</v>
      </c>
      <c r="I145" s="45" t="n">
        <v>0</v>
      </c>
      <c r="J145" s="45" t="n">
        <v>0</v>
      </c>
      <c r="K145" s="45" t="n">
        <v>0</v>
      </c>
      <c r="L145" s="47"/>
      <c r="M145" s="46"/>
      <c r="N145" s="46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 customFormat="false" ht="15.75" hidden="false" customHeight="true" outlineLevel="0" collapsed="false">
      <c r="A146" s="45" t="s">
        <v>245</v>
      </c>
      <c r="B146" s="46" t="str">
        <f aca="false" t="array" ref="B146:B146">IF(A146="","",IFERROR(INDEX('CLM &amp; IM Mapping'!$B$2:$B$270,MATCH(TRIM(A146),'CLM &amp; IM Mapping'!$A$2:$A$270,0)),"Not Mapped"))</f>
        <v>Ashwath S</v>
      </c>
      <c r="C146" s="46" t="str">
        <f aca="false" t="array" ref="C146:C146">IF(A146="","",IFERROR(INDEX('CLM &amp; IM Mapping'!$C$2:$C$270,MATCH(TRIM(A146),'CLM &amp; IM Mapping'!$A$2:$A$270,0)),"Not Mapped"))</f>
        <v>Kantha Kumar</v>
      </c>
      <c r="D146" s="45" t="n">
        <v>80</v>
      </c>
      <c r="E146" s="45" t="n">
        <v>0</v>
      </c>
      <c r="F146" s="45" t="n">
        <v>15</v>
      </c>
      <c r="G146" s="45" t="n">
        <v>65</v>
      </c>
      <c r="H146" s="45" t="n">
        <v>0</v>
      </c>
      <c r="I146" s="45" t="n">
        <v>0</v>
      </c>
      <c r="J146" s="45" t="n">
        <v>0</v>
      </c>
      <c r="K146" s="45" t="n">
        <v>65</v>
      </c>
      <c r="L146" s="47"/>
      <c r="M146" s="46"/>
      <c r="N146" s="46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 customFormat="false" ht="15.75" hidden="false" customHeight="true" outlineLevel="0" collapsed="false">
      <c r="A147" s="45" t="s">
        <v>33</v>
      </c>
      <c r="B147" s="46" t="str">
        <f aca="false" t="array" ref="B147:B147">IF(A147="","",IFERROR(INDEX('CLM &amp; IM Mapping'!$B$2:$B$270,MATCH(TRIM(A147),'CLM &amp; IM Mapping'!$A$2:$A$270,0)),"Not Mapped"))</f>
        <v>Arun Raj</v>
      </c>
      <c r="C147" s="46" t="str">
        <f aca="false" t="array" ref="C147:C147">IF(A147="","",IFERROR(INDEX('CLM &amp; IM Mapping'!$C$2:$C$270,MATCH(TRIM(A147),'CLM &amp; IM Mapping'!$A$2:$A$270,0)),"Not Mapped"))</f>
        <v>Simon Manoharan</v>
      </c>
      <c r="D147" s="45" t="n">
        <v>4120</v>
      </c>
      <c r="E147" s="45" t="n">
        <v>0</v>
      </c>
      <c r="F147" s="45" t="n">
        <v>1633</v>
      </c>
      <c r="G147" s="45" t="n">
        <v>1827</v>
      </c>
      <c r="H147" s="45" t="n">
        <v>245</v>
      </c>
      <c r="I147" s="45" t="n">
        <v>414</v>
      </c>
      <c r="J147" s="45" t="n">
        <v>1</v>
      </c>
      <c r="K147" s="45" t="n">
        <v>660</v>
      </c>
      <c r="L147" s="47"/>
      <c r="M147" s="46"/>
      <c r="N147" s="46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 customFormat="false" ht="15.75" hidden="false" customHeight="true" outlineLevel="0" collapsed="false">
      <c r="A148" s="45" t="s">
        <v>157</v>
      </c>
      <c r="B148" s="46" t="str">
        <f aca="false" t="array" ref="B148:B148">IF(A148="","",IFERROR(INDEX('CLM &amp; IM Mapping'!$B$2:$B$270,MATCH(TRIM(A148),'CLM &amp; IM Mapping'!$A$2:$A$270,0)),"Not Mapped"))</f>
        <v>Ashwath S</v>
      </c>
      <c r="C148" s="46" t="str">
        <f aca="false" t="array" ref="C148:C148">IF(A148="","",IFERROR(INDEX('CLM &amp; IM Mapping'!$C$2:$C$270,MATCH(TRIM(A148),'CLM &amp; IM Mapping'!$A$2:$A$270,0)),"Not Mapped"))</f>
        <v>Kantha Kumar</v>
      </c>
      <c r="D148" s="45" t="n">
        <v>1233</v>
      </c>
      <c r="E148" s="45" t="n">
        <v>0</v>
      </c>
      <c r="F148" s="45" t="n">
        <v>1066</v>
      </c>
      <c r="G148" s="45" t="n">
        <v>0</v>
      </c>
      <c r="H148" s="45" t="n">
        <v>167</v>
      </c>
      <c r="I148" s="45" t="n">
        <v>0</v>
      </c>
      <c r="J148" s="45" t="n">
        <v>0</v>
      </c>
      <c r="K148" s="45" t="n">
        <v>167</v>
      </c>
      <c r="L148" s="47"/>
      <c r="M148" s="46"/>
      <c r="N148" s="46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 customFormat="false" ht="15.75" hidden="false" customHeight="true" outlineLevel="0" collapsed="false">
      <c r="A149" s="45" t="s">
        <v>76</v>
      </c>
      <c r="B149" s="46" t="str">
        <f aca="false" t="array" ref="B149:B149">IF(A149="","",IFERROR(INDEX('CLM &amp; IM Mapping'!$B$2:$B$270,MATCH(TRIM(A149),'CLM &amp; IM Mapping'!$A$2:$A$270,0)),"Not Mapped"))</f>
        <v>Ashwath S</v>
      </c>
      <c r="C149" s="46" t="str">
        <f aca="false" t="array" ref="C149:C149">IF(A149="","",IFERROR(INDEX('CLM &amp; IM Mapping'!$C$2:$C$270,MATCH(TRIM(A149),'CLM &amp; IM Mapping'!$A$2:$A$270,0)),"Not Mapped"))</f>
        <v>Kantha Kumar</v>
      </c>
      <c r="D149" s="45" t="n">
        <v>1541</v>
      </c>
      <c r="E149" s="45" t="n">
        <v>0</v>
      </c>
      <c r="F149" s="45" t="n">
        <v>0</v>
      </c>
      <c r="G149" s="45" t="n">
        <v>1526</v>
      </c>
      <c r="H149" s="45" t="n">
        <v>7</v>
      </c>
      <c r="I149" s="45" t="n">
        <v>8</v>
      </c>
      <c r="J149" s="45" t="n">
        <v>0</v>
      </c>
      <c r="K149" s="45" t="n">
        <v>1541</v>
      </c>
      <c r="L149" s="47"/>
      <c r="M149" s="46"/>
      <c r="N149" s="46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 customFormat="false" ht="15.75" hidden="false" customHeight="true" outlineLevel="0" collapsed="false">
      <c r="A150" s="45" t="s">
        <v>293</v>
      </c>
      <c r="B150" s="46" t="str">
        <f aca="false" t="array" ref="B150:B150">IF(A150="","",IFERROR(INDEX('CLM &amp; IM Mapping'!$B$2:$B$270,MATCH(TRIM(A150),'CLM &amp; IM Mapping'!$A$2:$A$270,0)),"Not Mapped"))</f>
        <v>Sundaresh S</v>
      </c>
      <c r="C150" s="46" t="str">
        <f aca="false" t="array" ref="C150:C150">IF(A150="","",IFERROR(INDEX('CLM &amp; IM Mapping'!$C$2:$C$270,MATCH(TRIM(A150),'CLM &amp; IM Mapping'!$A$2:$A$270,0)),"Not Mapped"))</f>
        <v>Un Mapped</v>
      </c>
      <c r="D150" s="45" t="n">
        <v>2148</v>
      </c>
      <c r="E150" s="45" t="n">
        <v>0</v>
      </c>
      <c r="F150" s="45" t="n">
        <v>0</v>
      </c>
      <c r="G150" s="45" t="n">
        <v>2148</v>
      </c>
      <c r="H150" s="45" t="n">
        <v>0</v>
      </c>
      <c r="I150" s="45" t="n">
        <v>0</v>
      </c>
      <c r="J150" s="45" t="n">
        <v>0</v>
      </c>
      <c r="K150" s="45" t="n">
        <v>2148</v>
      </c>
      <c r="L150" s="47"/>
      <c r="M150" s="46"/>
      <c r="N150" s="46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 customFormat="false" ht="15.75" hidden="false" customHeight="true" outlineLevel="0" collapsed="false">
      <c r="A151" s="45" t="s">
        <v>59</v>
      </c>
      <c r="B151" s="46" t="str">
        <f aca="false" t="array" ref="B151:B151">IF(A151="","",IFERROR(INDEX('CLM &amp; IM Mapping'!$B$2:$B$270,MATCH(TRIM(A151),'CLM &amp; IM Mapping'!$A$2:$A$270,0)),"Not Mapped"))</f>
        <v>Adhavan Subramani</v>
      </c>
      <c r="C151" s="46" t="str">
        <f aca="false" t="array" ref="C151:C151">IF(A151="","",IFERROR(INDEX('CLM &amp; IM Mapping'!$C$2:$C$270,MATCH(TRIM(A151),'CLM &amp; IM Mapping'!$A$2:$A$270,0)),"Not Mapped"))</f>
        <v>Mohammed Akbar</v>
      </c>
      <c r="D151" s="45" t="n">
        <v>160</v>
      </c>
      <c r="E151" s="45" t="n">
        <v>0</v>
      </c>
      <c r="F151" s="45" t="n">
        <v>0</v>
      </c>
      <c r="G151" s="45" t="n">
        <v>160</v>
      </c>
      <c r="H151" s="45" t="n">
        <v>0</v>
      </c>
      <c r="I151" s="45" t="n">
        <v>0</v>
      </c>
      <c r="J151" s="45" t="n">
        <v>0</v>
      </c>
      <c r="K151" s="45" t="n">
        <v>160</v>
      </c>
      <c r="L151" s="47"/>
      <c r="M151" s="46"/>
      <c r="N151" s="46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 customFormat="false" ht="15.75" hidden="false" customHeight="true" outlineLevel="0" collapsed="false">
      <c r="A152" s="45" t="s">
        <v>112</v>
      </c>
      <c r="B152" s="46" t="str">
        <f aca="false" t="array" ref="B152:B152">IF(A152="","",IFERROR(INDEX('CLM &amp; IM Mapping'!$B$2:$B$270,MATCH(TRIM(A152),'CLM &amp; IM Mapping'!$A$2:$A$270,0)),"Not Mapped"))</f>
        <v>Akshay P</v>
      </c>
      <c r="C152" s="46" t="str">
        <f aca="false" t="array" ref="C152:C152">IF(A152="","",IFERROR(INDEX('CLM &amp; IM Mapping'!$C$2:$C$270,MATCH(TRIM(A152),'CLM &amp; IM Mapping'!$A$2:$A$270,0)),"Not Mapped"))</f>
        <v>Srittam Dhal</v>
      </c>
      <c r="D152" s="45" t="n">
        <v>357</v>
      </c>
      <c r="E152" s="45" t="n">
        <v>0</v>
      </c>
      <c r="F152" s="45" t="n">
        <v>0</v>
      </c>
      <c r="G152" s="45" t="n">
        <v>357</v>
      </c>
      <c r="H152" s="45" t="n">
        <v>0</v>
      </c>
      <c r="I152" s="45" t="n">
        <v>0</v>
      </c>
      <c r="J152" s="45" t="n">
        <v>0</v>
      </c>
      <c r="K152" s="45" t="n">
        <v>357</v>
      </c>
      <c r="L152" s="47"/>
      <c r="M152" s="46"/>
      <c r="N152" s="46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 customFormat="false" ht="15.75" hidden="false" customHeight="true" outlineLevel="0" collapsed="false">
      <c r="A153" s="45" t="s">
        <v>39</v>
      </c>
      <c r="B153" s="46" t="str">
        <f aca="false" t="array" ref="B153:B153">IF(A153="","",IFERROR(INDEX('CLM &amp; IM Mapping'!$B$2:$B$270,MATCH(TRIM(A153),'CLM &amp; IM Mapping'!$A$2:$A$270,0)),"Not Mapped"))</f>
        <v>Girish N</v>
      </c>
      <c r="C153" s="46" t="str">
        <f aca="false" t="array" ref="C153:C153">IF(A153="","",IFERROR(INDEX('CLM &amp; IM Mapping'!$C$2:$C$270,MATCH(TRIM(A153),'CLM &amp; IM Mapping'!$A$2:$A$270,0)),"Not Mapped"))</f>
        <v>Un Mapped</v>
      </c>
      <c r="D153" s="45" t="n">
        <v>4763</v>
      </c>
      <c r="E153" s="45" t="n">
        <v>0</v>
      </c>
      <c r="F153" s="45" t="n">
        <v>4763</v>
      </c>
      <c r="G153" s="45" t="n">
        <v>0</v>
      </c>
      <c r="H153" s="45" t="n">
        <v>0</v>
      </c>
      <c r="I153" s="45" t="n">
        <v>0</v>
      </c>
      <c r="J153" s="45" t="n">
        <v>0</v>
      </c>
      <c r="K153" s="45" t="n">
        <v>0</v>
      </c>
      <c r="L153" s="47"/>
      <c r="M153" s="46"/>
      <c r="N153" s="46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 customFormat="false" ht="15.75" hidden="false" customHeight="true" outlineLevel="0" collapsed="false">
      <c r="A154" s="45" t="s">
        <v>199</v>
      </c>
      <c r="B154" s="46" t="str">
        <f aca="false" t="array" ref="B154:B154">IF(A154="","",IFERROR(INDEX('CLM &amp; IM Mapping'!$B$2:$B$270,MATCH(TRIM(A154),'CLM &amp; IM Mapping'!$A$2:$A$270,0)),"Not Mapped"))</f>
        <v>Sundaresh S</v>
      </c>
      <c r="C154" s="46" t="str">
        <f aca="false" t="array" ref="C154:C154">IF(A154="","",IFERROR(INDEX('CLM &amp; IM Mapping'!$C$2:$C$270,MATCH(TRIM(A154),'CLM &amp; IM Mapping'!$A$2:$A$270,0)),"Not Mapped"))</f>
        <v>Un Mapped</v>
      </c>
      <c r="D154" s="45" t="n">
        <v>2342</v>
      </c>
      <c r="E154" s="45" t="n">
        <v>0</v>
      </c>
      <c r="F154" s="45" t="n">
        <v>0</v>
      </c>
      <c r="G154" s="45" t="n">
        <v>2305</v>
      </c>
      <c r="H154" s="45" t="n">
        <v>0</v>
      </c>
      <c r="I154" s="45" t="n">
        <v>0</v>
      </c>
      <c r="J154" s="45" t="n">
        <v>37</v>
      </c>
      <c r="K154" s="45" t="n">
        <v>2342</v>
      </c>
      <c r="L154" s="47"/>
      <c r="M154" s="46"/>
      <c r="N154" s="46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 customFormat="false" ht="15.75" hidden="false" customHeight="true" outlineLevel="0" collapsed="false">
      <c r="A155" s="45" t="s">
        <v>38</v>
      </c>
      <c r="B155" s="46" t="str">
        <f aca="false" t="array" ref="B155:B155">IF(A155="","",IFERROR(INDEX('CLM &amp; IM Mapping'!$B$2:$B$270,MATCH(TRIM(A155),'CLM &amp; IM Mapping'!$A$2:$A$270,0)),"Not Mapped"))</f>
        <v>Adhavan Subramani</v>
      </c>
      <c r="C155" s="46" t="str">
        <f aca="false" t="array" ref="C155:C155">IF(A155="","",IFERROR(INDEX('CLM &amp; IM Mapping'!$C$2:$C$270,MATCH(TRIM(A155),'CLM &amp; IM Mapping'!$A$2:$A$270,0)),"Not Mapped"))</f>
        <v>Mohammed Akbar</v>
      </c>
      <c r="D155" s="45" t="n">
        <v>1568</v>
      </c>
      <c r="E155" s="45" t="n">
        <v>0</v>
      </c>
      <c r="F155" s="45" t="n">
        <v>1353</v>
      </c>
      <c r="G155" s="45" t="n">
        <v>160</v>
      </c>
      <c r="H155" s="45" t="n">
        <v>0</v>
      </c>
      <c r="I155" s="45" t="n">
        <v>0</v>
      </c>
      <c r="J155" s="45" t="n">
        <v>55</v>
      </c>
      <c r="K155" s="45" t="n">
        <v>215</v>
      </c>
      <c r="L155" s="47"/>
      <c r="M155" s="46"/>
      <c r="N155" s="46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 customFormat="false" ht="15.75" hidden="false" customHeight="true" outlineLevel="0" collapsed="false">
      <c r="A156" s="45" t="s">
        <v>113</v>
      </c>
      <c r="B156" s="46" t="str">
        <f aca="false" t="array" ref="B156:B156">IF(A156="","",IFERROR(INDEX('CLM &amp; IM Mapping'!$B$2:$B$270,MATCH(TRIM(A156),'CLM &amp; IM Mapping'!$A$2:$A$270,0)),"Not Mapped"))</f>
        <v>Suhas N</v>
      </c>
      <c r="C156" s="46" t="str">
        <f aca="false" t="array" ref="C156:C156">IF(A156="","",IFERROR(INDEX('CLM &amp; IM Mapping'!$C$2:$C$270,MATCH(TRIM(A156),'CLM &amp; IM Mapping'!$A$2:$A$270,0)),"Not Mapped"))</f>
        <v>Aravind S</v>
      </c>
      <c r="D156" s="45" t="n">
        <v>3</v>
      </c>
      <c r="E156" s="45" t="n">
        <v>0</v>
      </c>
      <c r="F156" s="45" t="n">
        <v>3</v>
      </c>
      <c r="G156" s="45" t="n">
        <v>0</v>
      </c>
      <c r="H156" s="45" t="n">
        <v>0</v>
      </c>
      <c r="I156" s="45" t="n">
        <v>0</v>
      </c>
      <c r="J156" s="45" t="n">
        <v>0</v>
      </c>
      <c r="K156" s="45" t="n">
        <v>0</v>
      </c>
      <c r="L156" s="47"/>
      <c r="M156" s="46"/>
      <c r="N156" s="46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 customFormat="false" ht="15.75" hidden="false" customHeight="true" outlineLevel="0" collapsed="false">
      <c r="A157" s="45" t="s">
        <v>28</v>
      </c>
      <c r="B157" s="46" t="str">
        <f aca="false" t="array" ref="B157:B157">IF(A157="","",IFERROR(INDEX('CLM &amp; IM Mapping'!$B$2:$B$270,MATCH(TRIM(A157),'CLM &amp; IM Mapping'!$A$2:$A$270,0)),"Not Mapped"))</f>
        <v>Vijay M</v>
      </c>
      <c r="C157" s="46" t="str">
        <f aca="false" t="array" ref="C157:C157">IF(A157="","",IFERROR(INDEX('CLM &amp; IM Mapping'!$C$2:$C$270,MATCH(TRIM(A157),'CLM &amp; IM Mapping'!$A$2:$A$270,0)),"Not Mapped"))</f>
        <v>Kantha Kumar</v>
      </c>
      <c r="D157" s="45" t="n">
        <v>6804</v>
      </c>
      <c r="E157" s="45" t="n">
        <v>0</v>
      </c>
      <c r="F157" s="45" t="n">
        <v>6185</v>
      </c>
      <c r="G157" s="45" t="n">
        <v>0</v>
      </c>
      <c r="H157" s="45" t="n">
        <v>20</v>
      </c>
      <c r="I157" s="45" t="n">
        <v>548</v>
      </c>
      <c r="J157" s="45" t="n">
        <v>51</v>
      </c>
      <c r="K157" s="45" t="n">
        <v>619</v>
      </c>
      <c r="L157" s="47"/>
      <c r="M157" s="46"/>
      <c r="N157" s="46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 customFormat="false" ht="15.75" hidden="false" customHeight="true" outlineLevel="0" collapsed="false">
      <c r="A158" s="45" t="s">
        <v>256</v>
      </c>
      <c r="B158" s="46" t="str">
        <f aca="false" t="array" ref="B158:B158">IF(A158="","",IFERROR(INDEX('CLM &amp; IM Mapping'!$B$2:$B$270,MATCH(TRIM(A158),'CLM &amp; IM Mapping'!$A$2:$A$270,0)),"Not Mapped"))</f>
        <v>Suhas N</v>
      </c>
      <c r="C158" s="46" t="str">
        <f aca="false" t="array" ref="C158:C158">IF(A158="","",IFERROR(INDEX('CLM &amp; IM Mapping'!$C$2:$C$270,MATCH(TRIM(A158),'CLM &amp; IM Mapping'!$A$2:$A$270,0)),"Not Mapped"))</f>
        <v>Aravind S</v>
      </c>
      <c r="D158" s="45" t="n">
        <v>3438</v>
      </c>
      <c r="E158" s="45" t="n">
        <v>3128</v>
      </c>
      <c r="F158" s="45" t="n">
        <v>307</v>
      </c>
      <c r="G158" s="45" t="n">
        <v>0</v>
      </c>
      <c r="H158" s="45" t="n">
        <v>0</v>
      </c>
      <c r="I158" s="45" t="n">
        <v>3</v>
      </c>
      <c r="J158" s="45" t="n">
        <v>0</v>
      </c>
      <c r="K158" s="45" t="n">
        <v>3</v>
      </c>
      <c r="L158" s="47"/>
      <c r="M158" s="46"/>
      <c r="N158" s="46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 customFormat="false" ht="15.75" hidden="false" customHeight="true" outlineLevel="0" collapsed="false">
      <c r="A159" s="45" t="s">
        <v>139</v>
      </c>
      <c r="B159" s="46" t="str">
        <f aca="false" t="array" ref="B159:B159">IF(A159="","",IFERROR(INDEX('CLM &amp; IM Mapping'!$B$2:$B$270,MATCH(TRIM(A159),'CLM &amp; IM Mapping'!$A$2:$A$270,0)),"Not Mapped"))</f>
        <v>Mohaideen DH</v>
      </c>
      <c r="C159" s="46" t="str">
        <f aca="false" t="array" ref="C159:C159">IF(A159="","",IFERROR(INDEX('CLM &amp; IM Mapping'!$C$2:$C$270,MATCH(TRIM(A159),'CLM &amp; IM Mapping'!$A$2:$A$270,0)),"Not Mapped"))</f>
        <v>Mohammed Akbar</v>
      </c>
      <c r="D159" s="45" t="n">
        <v>1909</v>
      </c>
      <c r="E159" s="45" t="n">
        <v>0</v>
      </c>
      <c r="F159" s="45" t="n">
        <v>1249</v>
      </c>
      <c r="G159" s="45" t="n">
        <v>512</v>
      </c>
      <c r="H159" s="45" t="n">
        <v>0</v>
      </c>
      <c r="I159" s="45" t="n">
        <v>148</v>
      </c>
      <c r="J159" s="45" t="n">
        <v>0</v>
      </c>
      <c r="K159" s="45" t="n">
        <v>660</v>
      </c>
      <c r="L159" s="47"/>
      <c r="M159" s="46"/>
      <c r="N159" s="46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 customFormat="false" ht="15.75" hidden="false" customHeight="true" outlineLevel="0" collapsed="false">
      <c r="A160" s="45" t="s">
        <v>206</v>
      </c>
      <c r="B160" s="46" t="str">
        <f aca="false" t="array" ref="B160:B160">IF(A160="","",IFERROR(INDEX('CLM &amp; IM Mapping'!$B$2:$B$270,MATCH(TRIM(A160),'CLM &amp; IM Mapping'!$A$2:$A$270,0)),"Not Mapped"))</f>
        <v>Raghavendra Vernekar</v>
      </c>
      <c r="C160" s="46" t="str">
        <f aca="false" t="array" ref="C160:C160">IF(A160="","",IFERROR(INDEX('CLM &amp; IM Mapping'!$C$2:$C$270,MATCH(TRIM(A160),'CLM &amp; IM Mapping'!$A$2:$A$270,0)),"Not Mapped"))</f>
        <v>Prakash BS</v>
      </c>
      <c r="D160" s="45" t="n">
        <v>85</v>
      </c>
      <c r="E160" s="45" t="n">
        <v>0</v>
      </c>
      <c r="F160" s="45" t="n">
        <v>85</v>
      </c>
      <c r="G160" s="45" t="n">
        <v>0</v>
      </c>
      <c r="H160" s="45" t="n">
        <v>0</v>
      </c>
      <c r="I160" s="45" t="n">
        <v>0</v>
      </c>
      <c r="J160" s="45" t="n">
        <v>0</v>
      </c>
      <c r="K160" s="45" t="n">
        <v>0</v>
      </c>
      <c r="L160" s="47"/>
      <c r="M160" s="46"/>
      <c r="N160" s="46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 customFormat="false" ht="15.75" hidden="false" customHeight="true" outlineLevel="0" collapsed="false">
      <c r="A161" s="45" t="s">
        <v>135</v>
      </c>
      <c r="B161" s="46" t="str">
        <f aca="false" t="array" ref="B161:B161">IF(A161="","",IFERROR(INDEX('CLM &amp; IM Mapping'!$B$2:$B$270,MATCH(TRIM(A161),'CLM &amp; IM Mapping'!$A$2:$A$270,0)),"Not Mapped"))</f>
        <v>Sundaresh S</v>
      </c>
      <c r="C161" s="46" t="str">
        <f aca="false" t="array" ref="C161:C161">IF(A161="","",IFERROR(INDEX('CLM &amp; IM Mapping'!$C$2:$C$270,MATCH(TRIM(A161),'CLM &amp; IM Mapping'!$A$2:$A$270,0)),"Not Mapped"))</f>
        <v>Un Mapped</v>
      </c>
      <c r="D161" s="45" t="n">
        <v>3516</v>
      </c>
      <c r="E161" s="45" t="n">
        <v>618</v>
      </c>
      <c r="F161" s="45" t="n">
        <v>2877</v>
      </c>
      <c r="G161" s="45" t="n">
        <v>21</v>
      </c>
      <c r="H161" s="45" t="n">
        <v>0</v>
      </c>
      <c r="I161" s="45" t="n">
        <v>0</v>
      </c>
      <c r="J161" s="45" t="n">
        <v>0</v>
      </c>
      <c r="K161" s="45" t="n">
        <v>21</v>
      </c>
      <c r="L161" s="47"/>
      <c r="M161" s="46"/>
      <c r="N161" s="46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 customFormat="false" ht="15.75" hidden="false" customHeight="true" outlineLevel="0" collapsed="false">
      <c r="A162" s="45" t="s">
        <v>235</v>
      </c>
      <c r="B162" s="46" t="str">
        <f aca="false" t="array" ref="B162:B162">IF(A162="","",IFERROR(INDEX('CLM &amp; IM Mapping'!$B$2:$B$270,MATCH(TRIM(A162),'CLM &amp; IM Mapping'!$A$2:$A$270,0)),"Not Mapped"))</f>
        <v>Balaji G</v>
      </c>
      <c r="C162" s="46" t="str">
        <f aca="false" t="array" ref="C162:C162">IF(A162="","",IFERROR(INDEX('CLM &amp; IM Mapping'!$C$2:$C$270,MATCH(TRIM(A162),'CLM &amp; IM Mapping'!$A$2:$A$270,0)),"Not Mapped"))</f>
        <v>Mohammed Akbar</v>
      </c>
      <c r="D162" s="45" t="n">
        <v>1462</v>
      </c>
      <c r="E162" s="45" t="n">
        <v>251</v>
      </c>
      <c r="F162" s="45" t="n">
        <v>1211</v>
      </c>
      <c r="G162" s="45" t="n">
        <v>0</v>
      </c>
      <c r="H162" s="45" t="n">
        <v>0</v>
      </c>
      <c r="I162" s="45" t="n">
        <v>0</v>
      </c>
      <c r="J162" s="45" t="n">
        <v>0</v>
      </c>
      <c r="K162" s="45" t="n">
        <v>0</v>
      </c>
      <c r="L162" s="47"/>
      <c r="M162" s="46"/>
      <c r="N162" s="46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 customFormat="false" ht="15.75" hidden="false" customHeight="true" outlineLevel="0" collapsed="false">
      <c r="A163" s="45" t="s">
        <v>67</v>
      </c>
      <c r="B163" s="46" t="str">
        <f aca="false" t="array" ref="B163:B163">IF(A163="","",IFERROR(INDEX('CLM &amp; IM Mapping'!$B$2:$B$270,MATCH(TRIM(A163),'CLM &amp; IM Mapping'!$A$2:$A$270,0)),"Not Mapped"))</f>
        <v>Arun Raj</v>
      </c>
      <c r="C163" s="46" t="str">
        <f aca="false" t="array" ref="C163:C163">IF(A163="","",IFERROR(INDEX('CLM &amp; IM Mapping'!$C$2:$C$270,MATCH(TRIM(A163),'CLM &amp; IM Mapping'!$A$2:$A$270,0)),"Not Mapped"))</f>
        <v>Simon Manoharan</v>
      </c>
      <c r="D163" s="45" t="n">
        <v>4802</v>
      </c>
      <c r="E163" s="45" t="n">
        <v>0</v>
      </c>
      <c r="F163" s="45" t="n">
        <v>818</v>
      </c>
      <c r="G163" s="45" t="n">
        <v>3881</v>
      </c>
      <c r="H163" s="45" t="n">
        <v>0</v>
      </c>
      <c r="I163" s="45" t="n">
        <v>2</v>
      </c>
      <c r="J163" s="45" t="n">
        <v>101</v>
      </c>
      <c r="K163" s="45" t="n">
        <v>103</v>
      </c>
      <c r="L163" s="47"/>
      <c r="M163" s="46"/>
      <c r="N163" s="46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 customFormat="false" ht="15.75" hidden="false" customHeight="true" outlineLevel="0" collapsed="false">
      <c r="A164" s="45" t="s">
        <v>77</v>
      </c>
      <c r="B164" s="46" t="str">
        <f aca="false" t="array" ref="B164:B164">IF(A164="","",IFERROR(INDEX('CLM &amp; IM Mapping'!$B$2:$B$270,MATCH(TRIM(A164),'CLM &amp; IM Mapping'!$A$2:$A$270,0)),"Not Mapped"))</f>
        <v>Akshay P</v>
      </c>
      <c r="C164" s="46" t="str">
        <f aca="false" t="array" ref="C164:C164">IF(A164="","",IFERROR(INDEX('CLM &amp; IM Mapping'!$C$2:$C$270,MATCH(TRIM(A164),'CLM &amp; IM Mapping'!$A$2:$A$270,0)),"Not Mapped"))</f>
        <v>Srittam Dhal</v>
      </c>
      <c r="D164" s="45" t="n">
        <v>6434</v>
      </c>
      <c r="E164" s="45" t="n">
        <v>2129</v>
      </c>
      <c r="F164" s="45" t="n">
        <v>2535</v>
      </c>
      <c r="G164" s="45" t="n">
        <v>0</v>
      </c>
      <c r="H164" s="45" t="n">
        <v>979</v>
      </c>
      <c r="I164" s="45" t="n">
        <v>0</v>
      </c>
      <c r="J164" s="45" t="n">
        <v>791</v>
      </c>
      <c r="K164" s="45" t="n">
        <v>1770</v>
      </c>
      <c r="L164" s="47"/>
      <c r="M164" s="46"/>
      <c r="N164" s="46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 customFormat="false" ht="15.75" hidden="false" customHeight="true" outlineLevel="0" collapsed="false">
      <c r="A165" s="45" t="s">
        <v>239</v>
      </c>
      <c r="B165" s="46" t="str">
        <f aca="false" t="array" ref="B165:B165">IF(A165="","",IFERROR(INDEX('CLM &amp; IM Mapping'!$B$2:$B$270,MATCH(TRIM(A165),'CLM &amp; IM Mapping'!$A$2:$A$270,0)),"Not Mapped"))</f>
        <v>Manoj Kj</v>
      </c>
      <c r="C165" s="46" t="str">
        <f aca="false" t="array" ref="C165:C165">IF(A165="","",IFERROR(INDEX('CLM &amp; IM Mapping'!$C$2:$C$270,MATCH(TRIM(A165),'CLM &amp; IM Mapping'!$A$2:$A$270,0)),"Not Mapped"))</f>
        <v>Srittam Dhal</v>
      </c>
      <c r="D165" s="45" t="n">
        <v>2868</v>
      </c>
      <c r="E165" s="45" t="n">
        <v>0</v>
      </c>
      <c r="F165" s="45" t="n">
        <v>2868</v>
      </c>
      <c r="G165" s="45" t="n">
        <v>0</v>
      </c>
      <c r="H165" s="45" t="n">
        <v>0</v>
      </c>
      <c r="I165" s="45" t="n">
        <v>0</v>
      </c>
      <c r="J165" s="45" t="n">
        <v>0</v>
      </c>
      <c r="K165" s="45" t="n">
        <v>0</v>
      </c>
      <c r="L165" s="47"/>
      <c r="M165" s="46"/>
      <c r="N165" s="46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 customFormat="false" ht="15.75" hidden="false" customHeight="true" outlineLevel="0" collapsed="false">
      <c r="A166" s="45" t="s">
        <v>34</v>
      </c>
      <c r="B166" s="46" t="str">
        <f aca="false" t="array" ref="B166:B166">IF(A166="","",IFERROR(INDEX('CLM &amp; IM Mapping'!$B$2:$B$270,MATCH(TRIM(A166),'CLM &amp; IM Mapping'!$A$2:$A$270,0)),"Not Mapped"))</f>
        <v>Richard Harris</v>
      </c>
      <c r="C166" s="46" t="str">
        <f aca="false" t="array" ref="C166:C166">IF(A166="","",IFERROR(INDEX('CLM &amp; IM Mapping'!$C$2:$C$270,MATCH(TRIM(A166),'CLM &amp; IM Mapping'!$A$2:$A$270,0)),"Not Mapped"))</f>
        <v>Kantha Kumar</v>
      </c>
      <c r="D166" s="45" t="n">
        <v>4120</v>
      </c>
      <c r="E166" s="45" t="n">
        <v>0</v>
      </c>
      <c r="F166" s="45" t="n">
        <v>3079</v>
      </c>
      <c r="G166" s="45" t="n">
        <v>0</v>
      </c>
      <c r="H166" s="45" t="n">
        <v>0</v>
      </c>
      <c r="I166" s="45" t="n">
        <v>542</v>
      </c>
      <c r="J166" s="45" t="n">
        <v>499</v>
      </c>
      <c r="K166" s="45" t="n">
        <v>1041</v>
      </c>
      <c r="L166" s="47"/>
      <c r="M166" s="46"/>
      <c r="N166" s="46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 customFormat="false" ht="15.75" hidden="false" customHeight="true" outlineLevel="0" collapsed="false">
      <c r="A167" s="45" t="s">
        <v>40</v>
      </c>
      <c r="B167" s="46" t="str">
        <f aca="false" t="array" ref="B167:B167">IF(A167="","",IFERROR(INDEX('CLM &amp; IM Mapping'!$B$2:$B$270,MATCH(TRIM(A167),'CLM &amp; IM Mapping'!$A$2:$A$270,0)),"Not Mapped"))</f>
        <v>Rizwan Ahmed</v>
      </c>
      <c r="C167" s="46" t="str">
        <f aca="false" t="array" ref="C167:C167">IF(A167="","",IFERROR(INDEX('CLM &amp; IM Mapping'!$C$2:$C$270,MATCH(TRIM(A167),'CLM &amp; IM Mapping'!$A$2:$A$270,0)),"Not Mapped"))</f>
        <v>Un Mapped</v>
      </c>
      <c r="D167" s="45" t="n">
        <v>8633</v>
      </c>
      <c r="E167" s="45" t="n">
        <v>419</v>
      </c>
      <c r="F167" s="45" t="n">
        <v>7872</v>
      </c>
      <c r="G167" s="45" t="n">
        <v>0</v>
      </c>
      <c r="H167" s="45" t="n">
        <v>0</v>
      </c>
      <c r="I167" s="45" t="n">
        <v>342</v>
      </c>
      <c r="J167" s="45" t="n">
        <v>0</v>
      </c>
      <c r="K167" s="45" t="n">
        <v>342</v>
      </c>
      <c r="L167" s="47"/>
      <c r="M167" s="46"/>
      <c r="N167" s="46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 customFormat="false" ht="15.75" hidden="false" customHeight="true" outlineLevel="0" collapsed="false">
      <c r="A168" s="45" t="s">
        <v>225</v>
      </c>
      <c r="B168" s="46" t="str">
        <f aca="false" t="array" ref="B168:B168">IF(A168="","",IFERROR(INDEX('CLM &amp; IM Mapping'!$B$2:$B$270,MATCH(TRIM(A168),'CLM &amp; IM Mapping'!$A$2:$A$270,0)),"Not Mapped"))</f>
        <v>Manjunatha V</v>
      </c>
      <c r="C168" s="46" t="str">
        <f aca="false" t="array" ref="C168:C168">IF(A168="","",IFERROR(INDEX('CLM &amp; IM Mapping'!$C$2:$C$270,MATCH(TRIM(A168),'CLM &amp; IM Mapping'!$A$2:$A$270,0)),"Not Mapped"))</f>
        <v>Un Mapped</v>
      </c>
      <c r="D168" s="45" t="n">
        <v>33</v>
      </c>
      <c r="E168" s="45" t="n">
        <v>0</v>
      </c>
      <c r="F168" s="45" t="n">
        <v>0</v>
      </c>
      <c r="G168" s="45" t="n">
        <v>33</v>
      </c>
      <c r="H168" s="45" t="n">
        <v>0</v>
      </c>
      <c r="I168" s="45" t="n">
        <v>0</v>
      </c>
      <c r="J168" s="45" t="n">
        <v>0</v>
      </c>
      <c r="K168" s="45" t="n">
        <v>33</v>
      </c>
      <c r="L168" s="47"/>
      <c r="M168" s="46"/>
      <c r="N168" s="46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 customFormat="false" ht="15.75" hidden="false" customHeight="true" outlineLevel="0" collapsed="false">
      <c r="A169" s="45" t="s">
        <v>152</v>
      </c>
      <c r="B169" s="46" t="str">
        <f aca="false" t="array" ref="B169:B169">IF(A169="","",IFERROR(INDEX('CLM &amp; IM Mapping'!$B$2:$B$270,MATCH(TRIM(A169),'CLM &amp; IM Mapping'!$A$2:$A$270,0)),"Not Mapped"))</f>
        <v>Basil Scariya</v>
      </c>
      <c r="C169" s="46" t="str">
        <f aca="false" t="array" ref="C169:C169">IF(A169="","",IFERROR(INDEX('CLM &amp; IM Mapping'!$C$2:$C$270,MATCH(TRIM(A169),'CLM &amp; IM Mapping'!$A$2:$A$270,0)),"Not Mapped"))</f>
        <v>Prakash BS</v>
      </c>
      <c r="D169" s="45" t="n">
        <v>3157</v>
      </c>
      <c r="E169" s="45" t="n">
        <v>3</v>
      </c>
      <c r="F169" s="45" t="n">
        <v>2893</v>
      </c>
      <c r="G169" s="45" t="n">
        <v>0</v>
      </c>
      <c r="H169" s="45" t="n">
        <v>0</v>
      </c>
      <c r="I169" s="45" t="n">
        <v>194</v>
      </c>
      <c r="J169" s="45" t="n">
        <v>67</v>
      </c>
      <c r="K169" s="45" t="n">
        <v>261</v>
      </c>
      <c r="L169" s="47"/>
      <c r="M169" s="46"/>
      <c r="N169" s="46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 customFormat="false" ht="15.75" hidden="false" customHeight="true" outlineLevel="0" collapsed="false">
      <c r="A170" s="45" t="s">
        <v>270</v>
      </c>
      <c r="B170" s="46" t="str">
        <f aca="false" t="array" ref="B170:B170">IF(A170="","",IFERROR(INDEX('CLM &amp; IM Mapping'!$B$2:$B$270,MATCH(TRIM(A170),'CLM &amp; IM Mapping'!$A$2:$A$270,0)),"Not Mapped"))</f>
        <v>Arun Raj</v>
      </c>
      <c r="C170" s="46" t="str">
        <f aca="false" t="array" ref="C170:C170">IF(A170="","",IFERROR(INDEX('CLM &amp; IM Mapping'!$C$2:$C$270,MATCH(TRIM(A170),'CLM &amp; IM Mapping'!$A$2:$A$270,0)),"Not Mapped"))</f>
        <v>Simon Manoharan</v>
      </c>
      <c r="D170" s="45" t="n">
        <v>0</v>
      </c>
      <c r="E170" s="45" t="n">
        <v>0</v>
      </c>
      <c r="F170" s="45" t="n">
        <v>0</v>
      </c>
      <c r="G170" s="45" t="n">
        <v>0</v>
      </c>
      <c r="H170" s="45" t="n">
        <v>0</v>
      </c>
      <c r="I170" s="45" t="n">
        <v>0</v>
      </c>
      <c r="J170" s="45" t="n">
        <v>0</v>
      </c>
      <c r="K170" s="45" t="n">
        <v>0</v>
      </c>
      <c r="L170" s="47"/>
      <c r="M170" s="46"/>
      <c r="N170" s="46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 customFormat="false" ht="15.75" hidden="false" customHeight="true" outlineLevel="0" collapsed="false">
      <c r="A171" s="45" t="s">
        <v>86</v>
      </c>
      <c r="B171" s="46" t="str">
        <f aca="false" t="array" ref="B171:B171">IF(A171="","",IFERROR(INDEX('CLM &amp; IM Mapping'!$B$2:$B$270,MATCH(TRIM(A171),'CLM &amp; IM Mapping'!$A$2:$A$270,0)),"Not Mapped"))</f>
        <v>Richard Harris</v>
      </c>
      <c r="C171" s="46" t="str">
        <f aca="false" t="array" ref="C171:C171">IF(A171="","",IFERROR(INDEX('CLM &amp; IM Mapping'!$C$2:$C$270,MATCH(TRIM(A171),'CLM &amp; IM Mapping'!$A$2:$A$270,0)),"Not Mapped"))</f>
        <v>Kantha Kumar</v>
      </c>
      <c r="D171" s="45" t="n">
        <v>2924</v>
      </c>
      <c r="E171" s="45" t="n">
        <v>0</v>
      </c>
      <c r="F171" s="45" t="n">
        <v>2901</v>
      </c>
      <c r="G171" s="45" t="n">
        <v>23</v>
      </c>
      <c r="H171" s="45" t="n">
        <v>0</v>
      </c>
      <c r="I171" s="45" t="n">
        <v>0</v>
      </c>
      <c r="J171" s="45" t="n">
        <v>0</v>
      </c>
      <c r="K171" s="45" t="n">
        <v>23</v>
      </c>
      <c r="L171" s="47"/>
      <c r="M171" s="46"/>
      <c r="N171" s="46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 customFormat="false" ht="15.75" hidden="false" customHeight="true" outlineLevel="0" collapsed="false">
      <c r="A172" s="45" t="s">
        <v>187</v>
      </c>
      <c r="B172" s="46" t="str">
        <f aca="false" t="array" ref="B172:B172">IF(A172="","",IFERROR(INDEX('CLM &amp; IM Mapping'!$B$2:$B$270,MATCH(TRIM(A172),'CLM &amp; IM Mapping'!$A$2:$A$270,0)),"Not Mapped"))</f>
        <v>Akshay P</v>
      </c>
      <c r="C172" s="46" t="str">
        <f aca="false" t="array" ref="C172:C172">IF(A172="","",IFERROR(INDEX('CLM &amp; IM Mapping'!$C$2:$C$270,MATCH(TRIM(A172),'CLM &amp; IM Mapping'!$A$2:$A$270,0)),"Not Mapped"))</f>
        <v>Srittam Dhal</v>
      </c>
      <c r="D172" s="45" t="n">
        <v>752</v>
      </c>
      <c r="E172" s="45" t="n">
        <v>0</v>
      </c>
      <c r="F172" s="45" t="n">
        <v>0</v>
      </c>
      <c r="G172" s="45" t="n">
        <v>752</v>
      </c>
      <c r="H172" s="45" t="n">
        <v>0</v>
      </c>
      <c r="I172" s="45" t="n">
        <v>0</v>
      </c>
      <c r="J172" s="45" t="n">
        <v>0</v>
      </c>
      <c r="K172" s="45" t="n">
        <v>752</v>
      </c>
      <c r="L172" s="47"/>
      <c r="M172" s="46"/>
      <c r="N172" s="46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 customFormat="false" ht="15.75" hidden="false" customHeight="true" outlineLevel="0" collapsed="false">
      <c r="A173" s="45" t="s">
        <v>88</v>
      </c>
      <c r="B173" s="46" t="str">
        <f aca="false" t="array" ref="B173:B173">IF(A173="","",IFERROR(INDEX('CLM &amp; IM Mapping'!$B$2:$B$270,MATCH(TRIM(A173),'CLM &amp; IM Mapping'!$A$2:$A$270,0)),"Not Mapped"))</f>
        <v>Richard Harris</v>
      </c>
      <c r="C173" s="46" t="str">
        <f aca="false" t="array" ref="C173:C173">IF(A173="","",IFERROR(INDEX('CLM &amp; IM Mapping'!$C$2:$C$270,MATCH(TRIM(A173),'CLM &amp; IM Mapping'!$A$2:$A$270,0)),"Not Mapped"))</f>
        <v>Kantha Kumar</v>
      </c>
      <c r="D173" s="45" t="n">
        <v>4764</v>
      </c>
      <c r="E173" s="45" t="n">
        <v>288</v>
      </c>
      <c r="F173" s="45" t="n">
        <v>0</v>
      </c>
      <c r="G173" s="45" t="n">
        <v>3499</v>
      </c>
      <c r="H173" s="45" t="n">
        <v>0</v>
      </c>
      <c r="I173" s="45" t="n">
        <v>692</v>
      </c>
      <c r="J173" s="45" t="n">
        <v>285</v>
      </c>
      <c r="K173" s="45" t="n">
        <v>4476</v>
      </c>
      <c r="L173" s="47"/>
      <c r="M173" s="46"/>
      <c r="N173" s="46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 customFormat="false" ht="15.75" hidden="false" customHeight="true" outlineLevel="0" collapsed="false">
      <c r="A174" s="45" t="s">
        <v>174</v>
      </c>
      <c r="B174" s="46" t="str">
        <f aca="false" t="array" ref="B174:B174">IF(A174="","",IFERROR(INDEX('CLM &amp; IM Mapping'!$B$2:$B$270,MATCH(TRIM(A174),'CLM &amp; IM Mapping'!$A$2:$A$270,0)),"Not Mapped"))</f>
        <v>Raghavendra Vernekar</v>
      </c>
      <c r="C174" s="46" t="str">
        <f aca="false" t="array" ref="C174:C174">IF(A174="","",IFERROR(INDEX('CLM &amp; IM Mapping'!$C$2:$C$270,MATCH(TRIM(A174),'CLM &amp; IM Mapping'!$A$2:$A$270,0)),"Not Mapped"))</f>
        <v>Prakash BS</v>
      </c>
      <c r="D174" s="45" t="n">
        <v>545</v>
      </c>
      <c r="E174" s="45" t="n">
        <v>545</v>
      </c>
      <c r="F174" s="45" t="n">
        <v>0</v>
      </c>
      <c r="G174" s="45" t="n">
        <v>0</v>
      </c>
      <c r="H174" s="45" t="n">
        <v>0</v>
      </c>
      <c r="I174" s="45" t="n">
        <v>0</v>
      </c>
      <c r="J174" s="45" t="n">
        <v>0</v>
      </c>
      <c r="K174" s="45" t="n">
        <v>0</v>
      </c>
      <c r="L174" s="47"/>
      <c r="M174" s="46"/>
      <c r="N174" s="46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 customFormat="false" ht="15.75" hidden="false" customHeight="true" outlineLevel="0" collapsed="false">
      <c r="A175" s="45" t="s">
        <v>120</v>
      </c>
      <c r="B175" s="46" t="str">
        <f aca="false" t="array" ref="B175:B175">IF(A175="","",IFERROR(INDEX('CLM &amp; IM Mapping'!$B$2:$B$270,MATCH(TRIM(A175),'CLM &amp; IM Mapping'!$A$2:$A$270,0)),"Not Mapped"))</f>
        <v>Basil Scariya</v>
      </c>
      <c r="C175" s="46" t="str">
        <f aca="false" t="array" ref="C175:C175">IF(A175="","",IFERROR(INDEX('CLM &amp; IM Mapping'!$C$2:$C$270,MATCH(TRIM(A175),'CLM &amp; IM Mapping'!$A$2:$A$270,0)),"Not Mapped"))</f>
        <v>Prakash BS</v>
      </c>
      <c r="D175" s="45" t="n">
        <v>3326</v>
      </c>
      <c r="E175" s="45" t="n">
        <v>0</v>
      </c>
      <c r="F175" s="45" t="n">
        <v>114</v>
      </c>
      <c r="G175" s="45" t="n">
        <v>3113</v>
      </c>
      <c r="H175" s="45" t="n">
        <v>17</v>
      </c>
      <c r="I175" s="45" t="n">
        <v>32</v>
      </c>
      <c r="J175" s="45" t="n">
        <v>50</v>
      </c>
      <c r="K175" s="45" t="n">
        <v>3212</v>
      </c>
      <c r="L175" s="47"/>
      <c r="M175" s="46"/>
      <c r="N175" s="46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 customFormat="false" ht="15.75" hidden="false" customHeight="true" outlineLevel="0" collapsed="false">
      <c r="A176" s="45" t="s">
        <v>110</v>
      </c>
      <c r="B176" s="46" t="str">
        <f aca="false" t="array" ref="B176:B176">IF(A176="","",IFERROR(INDEX('CLM &amp; IM Mapping'!$B$2:$B$270,MATCH(TRIM(A176),'CLM &amp; IM Mapping'!$A$2:$A$270,0)),"Not Mapped"))</f>
        <v>Arun Raj</v>
      </c>
      <c r="C176" s="46" t="str">
        <f aca="false" t="array" ref="C176:C176">IF(A176="","",IFERROR(INDEX('CLM &amp; IM Mapping'!$C$2:$C$270,MATCH(TRIM(A176),'CLM &amp; IM Mapping'!$A$2:$A$270,0)),"Not Mapped"))</f>
        <v>Simon Manoharan</v>
      </c>
      <c r="D176" s="45" t="n">
        <v>0</v>
      </c>
      <c r="E176" s="45" t="n">
        <v>0</v>
      </c>
      <c r="F176" s="45" t="n">
        <v>0</v>
      </c>
      <c r="G176" s="45" t="n">
        <v>0</v>
      </c>
      <c r="H176" s="45" t="n">
        <v>0</v>
      </c>
      <c r="I176" s="45" t="n">
        <v>0</v>
      </c>
      <c r="J176" s="45" t="n">
        <v>0</v>
      </c>
      <c r="K176" s="45" t="n">
        <v>0</v>
      </c>
      <c r="L176" s="47"/>
      <c r="M176" s="46"/>
      <c r="N176" s="46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 customFormat="false" ht="15.75" hidden="false" customHeight="true" outlineLevel="0" collapsed="false">
      <c r="A177" s="45" t="s">
        <v>115</v>
      </c>
      <c r="B177" s="46" t="str">
        <f aca="false" t="array" ref="B177:B177">IF(A177="","",IFERROR(INDEX('CLM &amp; IM Mapping'!$B$2:$B$270,MATCH(TRIM(A177),'CLM &amp; IM Mapping'!$A$2:$A$270,0)),"Not Mapped"))</f>
        <v>Suhas N</v>
      </c>
      <c r="C177" s="46" t="str">
        <f aca="false" t="array" ref="C177:C177">IF(A177="","",IFERROR(INDEX('CLM &amp; IM Mapping'!$C$2:$C$270,MATCH(TRIM(A177),'CLM &amp; IM Mapping'!$A$2:$A$270,0)),"Not Mapped"))</f>
        <v>Aravind S</v>
      </c>
      <c r="D177" s="45" t="n">
        <v>2175</v>
      </c>
      <c r="E177" s="45" t="n">
        <v>0</v>
      </c>
      <c r="F177" s="45" t="n">
        <v>0</v>
      </c>
      <c r="G177" s="45" t="n">
        <v>0</v>
      </c>
      <c r="H177" s="45" t="n">
        <v>2173</v>
      </c>
      <c r="I177" s="45" t="n">
        <v>0</v>
      </c>
      <c r="J177" s="45" t="n">
        <v>2</v>
      </c>
      <c r="K177" s="45" t="n">
        <v>2175</v>
      </c>
      <c r="L177" s="47"/>
      <c r="M177" s="46"/>
      <c r="N177" s="46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 customFormat="false" ht="15.75" hidden="false" customHeight="true" outlineLevel="0" collapsed="false">
      <c r="A178" s="45" t="s">
        <v>32</v>
      </c>
      <c r="B178" s="46" t="str">
        <f aca="false" t="array" ref="B178:B178">IF(A178="","",IFERROR(INDEX('CLM &amp; IM Mapping'!$B$2:$B$270,MATCH(TRIM(A178),'CLM &amp; IM Mapping'!$A$2:$A$270,0)),"Not Mapped"))</f>
        <v>Saddam Hussain</v>
      </c>
      <c r="C178" s="46" t="str">
        <f aca="false" t="array" ref="C178:C178">IF(A178="","",IFERROR(INDEX('CLM &amp; IM Mapping'!$C$2:$C$270,MATCH(TRIM(A178),'CLM &amp; IM Mapping'!$A$2:$A$270,0)),"Not Mapped"))</f>
        <v>Un Mapped</v>
      </c>
      <c r="D178" s="45" t="n">
        <v>5095</v>
      </c>
      <c r="E178" s="45" t="n">
        <v>0</v>
      </c>
      <c r="F178" s="45" t="n">
        <v>3166</v>
      </c>
      <c r="G178" s="45" t="n">
        <v>1526</v>
      </c>
      <c r="H178" s="45" t="n">
        <v>0</v>
      </c>
      <c r="I178" s="45" t="n">
        <v>203</v>
      </c>
      <c r="J178" s="45" t="n">
        <v>200</v>
      </c>
      <c r="K178" s="45" t="n">
        <v>1929</v>
      </c>
      <c r="L178" s="47"/>
      <c r="M178" s="46"/>
      <c r="N178" s="46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 customFormat="false" ht="15.75" hidden="false" customHeight="true" outlineLevel="0" collapsed="false">
      <c r="A179" s="45" t="s">
        <v>197</v>
      </c>
      <c r="B179" s="46" t="str">
        <f aca="false" t="array" ref="B179:B179">IF(A179="","",IFERROR(INDEX('CLM &amp; IM Mapping'!$B$2:$B$270,MATCH(TRIM(A179),'CLM &amp; IM Mapping'!$A$2:$A$270,0)),"Not Mapped"))</f>
        <v>Arun Raj</v>
      </c>
      <c r="C179" s="46" t="str">
        <f aca="false" t="array" ref="C179:C179">IF(A179="","",IFERROR(INDEX('CLM &amp; IM Mapping'!$C$2:$C$270,MATCH(TRIM(A179),'CLM &amp; IM Mapping'!$A$2:$A$270,0)),"Not Mapped"))</f>
        <v>Simon Manoharan</v>
      </c>
      <c r="D179" s="45" t="n">
        <v>555</v>
      </c>
      <c r="E179" s="45" t="n">
        <v>0</v>
      </c>
      <c r="F179" s="45" t="n">
        <v>555</v>
      </c>
      <c r="G179" s="45" t="n">
        <v>0</v>
      </c>
      <c r="H179" s="45" t="n">
        <v>0</v>
      </c>
      <c r="I179" s="45" t="n">
        <v>0</v>
      </c>
      <c r="J179" s="45" t="n">
        <v>0</v>
      </c>
      <c r="K179" s="45" t="n">
        <v>0</v>
      </c>
      <c r="L179" s="47"/>
      <c r="M179" s="46"/>
      <c r="N179" s="46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 customFormat="false" ht="15.75" hidden="false" customHeight="true" outlineLevel="0" collapsed="false">
      <c r="A180" s="45" t="s">
        <v>272</v>
      </c>
      <c r="B180" s="46" t="str">
        <f aca="false" t="array" ref="B180:B180">IF(A180="","",IFERROR(INDEX('CLM &amp; IM Mapping'!$B$2:$B$270,MATCH(TRIM(A180),'CLM &amp; IM Mapping'!$A$2:$A$270,0)),"Not Mapped"))</f>
        <v>Balaji G</v>
      </c>
      <c r="C180" s="46" t="str">
        <f aca="false" t="array" ref="C180:C180">IF(A180="","",IFERROR(INDEX('CLM &amp; IM Mapping'!$C$2:$C$270,MATCH(TRIM(A180),'CLM &amp; IM Mapping'!$A$2:$A$270,0)),"Not Mapped"))</f>
        <v>Mohammed Akbar</v>
      </c>
      <c r="D180" s="45" t="n">
        <v>899</v>
      </c>
      <c r="E180" s="45" t="n">
        <v>0</v>
      </c>
      <c r="F180" s="45" t="n">
        <v>0</v>
      </c>
      <c r="G180" s="45" t="n">
        <v>899</v>
      </c>
      <c r="H180" s="45" t="n">
        <v>0</v>
      </c>
      <c r="I180" s="45" t="n">
        <v>0</v>
      </c>
      <c r="J180" s="45" t="n">
        <v>0</v>
      </c>
      <c r="K180" s="45" t="n">
        <v>899</v>
      </c>
      <c r="L180" s="47"/>
      <c r="M180" s="46"/>
      <c r="N180" s="46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 customFormat="false" ht="15.75" hidden="false" customHeight="true" outlineLevel="0" collapsed="false">
      <c r="A181" s="45" t="s">
        <v>69</v>
      </c>
      <c r="B181" s="46" t="str">
        <f aca="false" t="array" ref="B181:B181">IF(A181="","",IFERROR(INDEX('CLM &amp; IM Mapping'!$B$2:$B$270,MATCH(TRIM(A181),'CLM &amp; IM Mapping'!$A$2:$A$270,0)),"Not Mapped"))</f>
        <v>Sundaresh S</v>
      </c>
      <c r="C181" s="46" t="str">
        <f aca="false" t="array" ref="C181:C181">IF(A181="","",IFERROR(INDEX('CLM &amp; IM Mapping'!$C$2:$C$270,MATCH(TRIM(A181),'CLM &amp; IM Mapping'!$A$2:$A$270,0)),"Not Mapped"))</f>
        <v>Un Mapped</v>
      </c>
      <c r="D181" s="45" t="n">
        <v>4436</v>
      </c>
      <c r="E181" s="45" t="n">
        <v>86</v>
      </c>
      <c r="F181" s="45" t="n">
        <v>3875</v>
      </c>
      <c r="G181" s="45" t="n">
        <v>0</v>
      </c>
      <c r="H181" s="45" t="n">
        <v>223</v>
      </c>
      <c r="I181" s="45" t="n">
        <v>0</v>
      </c>
      <c r="J181" s="45" t="n">
        <v>252</v>
      </c>
      <c r="K181" s="45" t="n">
        <v>475</v>
      </c>
      <c r="L181" s="47"/>
      <c r="M181" s="46"/>
      <c r="N181" s="46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 customFormat="false" ht="15.75" hidden="false" customHeight="true" outlineLevel="0" collapsed="false">
      <c r="A182" s="45" t="s">
        <v>109</v>
      </c>
      <c r="B182" s="46" t="str">
        <f aca="false" t="array" ref="B182:B182">IF(A182="","",IFERROR(INDEX('CLM &amp; IM Mapping'!$B$2:$B$270,MATCH(TRIM(A182),'CLM &amp; IM Mapping'!$A$2:$A$270,0)),"Not Mapped"))</f>
        <v>Arun Raj</v>
      </c>
      <c r="C182" s="46" t="str">
        <f aca="false" t="array" ref="C182:C182">IF(A182="","",IFERROR(INDEX('CLM &amp; IM Mapping'!$C$2:$C$270,MATCH(TRIM(A182),'CLM &amp; IM Mapping'!$A$2:$A$270,0)),"Not Mapped"))</f>
        <v>Simon Manoharan</v>
      </c>
      <c r="D182" s="45" t="n">
        <v>339</v>
      </c>
      <c r="E182" s="45" t="n">
        <v>0</v>
      </c>
      <c r="F182" s="45" t="n">
        <v>0</v>
      </c>
      <c r="G182" s="45" t="n">
        <v>339</v>
      </c>
      <c r="H182" s="45" t="n">
        <v>0</v>
      </c>
      <c r="I182" s="45" t="n">
        <v>0</v>
      </c>
      <c r="J182" s="45" t="n">
        <v>0</v>
      </c>
      <c r="K182" s="45" t="n">
        <v>0</v>
      </c>
      <c r="L182" s="47"/>
      <c r="M182" s="46"/>
      <c r="N182" s="46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 customFormat="false" ht="15.75" hidden="false" customHeight="true" outlineLevel="0" collapsed="false">
      <c r="A183" s="45" t="s">
        <v>62</v>
      </c>
      <c r="B183" s="46" t="str">
        <f aca="false" t="array" ref="B183:B183">IF(A183="","",IFERROR(INDEX('CLM &amp; IM Mapping'!$B$2:$B$270,MATCH(TRIM(A183),'CLM &amp; IM Mapping'!$A$2:$A$270,0)),"Not Mapped"))</f>
        <v>Silambarasan E</v>
      </c>
      <c r="C183" s="46" t="str">
        <f aca="false" t="array" ref="C183:C183">IF(A183="","",IFERROR(INDEX('CLM &amp; IM Mapping'!$C$2:$C$270,MATCH(TRIM(A183),'CLM &amp; IM Mapping'!$A$2:$A$270,0)),"Not Mapped"))</f>
        <v>Arivind S</v>
      </c>
      <c r="D183" s="45" t="n">
        <v>4567</v>
      </c>
      <c r="E183" s="45" t="n">
        <v>116</v>
      </c>
      <c r="F183" s="45" t="n">
        <v>457</v>
      </c>
      <c r="G183" s="45" t="n">
        <v>3530</v>
      </c>
      <c r="H183" s="45" t="n">
        <v>2</v>
      </c>
      <c r="I183" s="45" t="n">
        <v>298</v>
      </c>
      <c r="J183" s="45" t="n">
        <v>164</v>
      </c>
      <c r="K183" s="45" t="n">
        <v>3994</v>
      </c>
      <c r="L183" s="47"/>
      <c r="M183" s="46"/>
      <c r="N183" s="46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 customFormat="false" ht="15.75" hidden="false" customHeight="true" outlineLevel="0" collapsed="false">
      <c r="A184" s="45" t="s">
        <v>128</v>
      </c>
      <c r="B184" s="46" t="str">
        <f aca="false" t="array" ref="B184:B184">IF(A184="","",IFERROR(INDEX('CLM &amp; IM Mapping'!$B$2:$B$270,MATCH(TRIM(A184),'CLM &amp; IM Mapping'!$A$2:$A$270,0)),"Not Mapped"))</f>
        <v>Arun Raj</v>
      </c>
      <c r="C184" s="46" t="str">
        <f aca="false" t="array" ref="C184:C184">IF(A184="","",IFERROR(INDEX('CLM &amp; IM Mapping'!$C$2:$C$270,MATCH(TRIM(A184),'CLM &amp; IM Mapping'!$A$2:$A$270,0)),"Not Mapped"))</f>
        <v>Simon Manoharan</v>
      </c>
      <c r="D184" s="45" t="n">
        <v>0</v>
      </c>
      <c r="E184" s="45" t="n">
        <v>0</v>
      </c>
      <c r="F184" s="45" t="n">
        <v>0</v>
      </c>
      <c r="G184" s="45" t="n">
        <v>0</v>
      </c>
      <c r="H184" s="45" t="n">
        <v>0</v>
      </c>
      <c r="I184" s="45" t="n">
        <v>0</v>
      </c>
      <c r="J184" s="45" t="n">
        <v>0</v>
      </c>
      <c r="K184" s="45" t="n">
        <v>0</v>
      </c>
      <c r="L184" s="47"/>
      <c r="M184" s="46"/>
      <c r="N184" s="46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 customFormat="false" ht="15.75" hidden="false" customHeight="true" outlineLevel="0" collapsed="false">
      <c r="A185" s="45" t="s">
        <v>209</v>
      </c>
      <c r="B185" s="46" t="str">
        <f aca="false" t="array" ref="B185:B185">IF(A185="","",IFERROR(INDEX('CLM &amp; IM Mapping'!$B$2:$B$270,MATCH(TRIM(A185),'CLM &amp; IM Mapping'!$A$2:$A$270,0)),"Not Mapped"))</f>
        <v>Narasimhamurthy R</v>
      </c>
      <c r="C185" s="46" t="str">
        <f aca="false" t="array" ref="C185:C185">IF(A185="","",IFERROR(INDEX('CLM &amp; IM Mapping'!$C$2:$C$270,MATCH(TRIM(A185),'CLM &amp; IM Mapping'!$A$2:$A$270,0)),"Not Mapped"))</f>
        <v>Kishor K</v>
      </c>
      <c r="D185" s="45" t="n">
        <v>3983</v>
      </c>
      <c r="E185" s="45" t="n">
        <v>3112</v>
      </c>
      <c r="F185" s="45" t="n">
        <v>871</v>
      </c>
      <c r="G185" s="45" t="n">
        <v>0</v>
      </c>
      <c r="H185" s="45" t="n">
        <v>0</v>
      </c>
      <c r="I185" s="45" t="n">
        <v>0</v>
      </c>
      <c r="J185" s="45" t="n">
        <v>0</v>
      </c>
      <c r="K185" s="45" t="n">
        <v>0</v>
      </c>
      <c r="L185" s="47"/>
      <c r="M185" s="46"/>
      <c r="N185" s="46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 customFormat="false" ht="15.75" hidden="false" customHeight="true" outlineLevel="0" collapsed="false">
      <c r="A186" s="45" t="s">
        <v>205</v>
      </c>
      <c r="B186" s="46" t="str">
        <f aca="false" t="array" ref="B186:B186">IF(A186="","",IFERROR(INDEX('CLM &amp; IM Mapping'!$B$2:$B$270,MATCH(TRIM(A186),'CLM &amp; IM Mapping'!$A$2:$A$270,0)),"Not Mapped"))</f>
        <v>Akshay P</v>
      </c>
      <c r="C186" s="46" t="str">
        <f aca="false" t="array" ref="C186:C186">IF(A186="","",IFERROR(INDEX('CLM &amp; IM Mapping'!$C$2:$C$270,MATCH(TRIM(A186),'CLM &amp; IM Mapping'!$A$2:$A$270,0)),"Not Mapped"))</f>
        <v>Srittam Dhal</v>
      </c>
      <c r="D186" s="45" t="n">
        <v>2021</v>
      </c>
      <c r="E186" s="45" t="n">
        <v>0</v>
      </c>
      <c r="F186" s="45" t="n">
        <v>1894</v>
      </c>
      <c r="G186" s="45" t="n">
        <v>0</v>
      </c>
      <c r="H186" s="45" t="n">
        <v>10</v>
      </c>
      <c r="I186" s="45" t="n">
        <v>39</v>
      </c>
      <c r="J186" s="45" t="n">
        <v>78</v>
      </c>
      <c r="K186" s="45" t="n">
        <v>127</v>
      </c>
      <c r="L186" s="47"/>
      <c r="M186" s="46"/>
      <c r="N186" s="46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 customFormat="false" ht="15.75" hidden="false" customHeight="true" outlineLevel="0" collapsed="false">
      <c r="A187" s="45" t="s">
        <v>181</v>
      </c>
      <c r="B187" s="46" t="str">
        <f aca="false" t="array" ref="B187:B187">IF(A187="","",IFERROR(INDEX('CLM &amp; IM Mapping'!$B$2:$B$270,MATCH(TRIM(A187),'CLM &amp; IM Mapping'!$A$2:$A$270,0)),"Not Mapped"))</f>
        <v>Raghavendra Vernekar</v>
      </c>
      <c r="C187" s="46" t="str">
        <f aca="false" t="array" ref="C187:C187">IF(A187="","",IFERROR(INDEX('CLM &amp; IM Mapping'!$C$2:$C$270,MATCH(TRIM(A187),'CLM &amp; IM Mapping'!$A$2:$A$270,0)),"Not Mapped"))</f>
        <v>Prakash BS</v>
      </c>
      <c r="D187" s="45" t="n">
        <v>5653</v>
      </c>
      <c r="E187" s="45" t="n">
        <v>5651</v>
      </c>
      <c r="F187" s="45" t="n">
        <v>0</v>
      </c>
      <c r="G187" s="45" t="n">
        <v>0</v>
      </c>
      <c r="H187" s="45" t="n">
        <v>0</v>
      </c>
      <c r="I187" s="45" t="n">
        <v>0</v>
      </c>
      <c r="J187" s="45" t="n">
        <v>2</v>
      </c>
      <c r="K187" s="45" t="n">
        <v>2</v>
      </c>
      <c r="L187" s="47"/>
      <c r="M187" s="46"/>
      <c r="N187" s="46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 customFormat="false" ht="15.75" hidden="false" customHeight="true" outlineLevel="0" collapsed="false">
      <c r="A188" s="45" t="s">
        <v>81</v>
      </c>
      <c r="B188" s="46" t="str">
        <f aca="false" t="array" ref="B188:B188">IF(A188="","",IFERROR(INDEX('CLM &amp; IM Mapping'!$B$2:$B$270,MATCH(TRIM(A188),'CLM &amp; IM Mapping'!$A$2:$A$270,0)),"Not Mapped"))</f>
        <v>Arun Raj</v>
      </c>
      <c r="C188" s="46" t="str">
        <f aca="false" t="array" ref="C188:C188">IF(A188="","",IFERROR(INDEX('CLM &amp; IM Mapping'!$C$2:$C$270,MATCH(TRIM(A188),'CLM &amp; IM Mapping'!$A$2:$A$270,0)),"Not Mapped"))</f>
        <v>Simon Manoharan</v>
      </c>
      <c r="D188" s="45" t="n">
        <v>869</v>
      </c>
      <c r="E188" s="45" t="n">
        <v>0</v>
      </c>
      <c r="F188" s="45" t="n">
        <v>0</v>
      </c>
      <c r="G188" s="45" t="n">
        <v>869</v>
      </c>
      <c r="H188" s="45" t="n">
        <v>0</v>
      </c>
      <c r="I188" s="45" t="n">
        <v>0</v>
      </c>
      <c r="J188" s="45" t="n">
        <v>0</v>
      </c>
      <c r="K188" s="45" t="n">
        <v>0</v>
      </c>
      <c r="L188" s="47"/>
      <c r="M188" s="46"/>
      <c r="N188" s="46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 customFormat="false" ht="15.75" hidden="false" customHeight="true" outlineLevel="0" collapsed="false">
      <c r="A189" s="45" t="s">
        <v>238</v>
      </c>
      <c r="B189" s="46" t="str">
        <f aca="false" t="array" ref="B189:B189">IF(A189="","",IFERROR(INDEX('CLM &amp; IM Mapping'!$B$2:$B$270,MATCH(TRIM(A189),'CLM &amp; IM Mapping'!$A$2:$A$270,0)),"Not Mapped"))</f>
        <v>Vijay M</v>
      </c>
      <c r="C189" s="46" t="str">
        <f aca="false" t="array" ref="C189:C189">IF(A189="","",IFERROR(INDEX('CLM &amp; IM Mapping'!$C$2:$C$270,MATCH(TRIM(A189),'CLM &amp; IM Mapping'!$A$2:$A$270,0)),"Not Mapped"))</f>
        <v>Kantha Kumar</v>
      </c>
      <c r="D189" s="45" t="n">
        <v>7400</v>
      </c>
      <c r="E189" s="45" t="n">
        <v>7389</v>
      </c>
      <c r="F189" s="45" t="n">
        <v>0</v>
      </c>
      <c r="G189" s="45" t="n">
        <v>0</v>
      </c>
      <c r="H189" s="45" t="n">
        <v>11</v>
      </c>
      <c r="I189" s="45" t="n">
        <v>0</v>
      </c>
      <c r="J189" s="45" t="n">
        <v>0</v>
      </c>
      <c r="K189" s="45" t="n">
        <v>11</v>
      </c>
      <c r="L189" s="47"/>
      <c r="M189" s="46"/>
      <c r="N189" s="46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 customFormat="false" ht="15.75" hidden="false" customHeight="true" outlineLevel="0" collapsed="false">
      <c r="A190" s="45" t="s">
        <v>111</v>
      </c>
      <c r="B190" s="46" t="str">
        <f aca="false" t="array" ref="B190:B190">IF(A190="","",IFERROR(INDEX('CLM &amp; IM Mapping'!$B$2:$B$270,MATCH(TRIM(A190),'CLM &amp; IM Mapping'!$A$2:$A$270,0)),"Not Mapped"))</f>
        <v>Suhas N</v>
      </c>
      <c r="C190" s="46" t="str">
        <f aca="false" t="array" ref="C190:C190">IF(A190="","",IFERROR(INDEX('CLM &amp; IM Mapping'!$C$2:$C$270,MATCH(TRIM(A190),'CLM &amp; IM Mapping'!$A$2:$A$270,0)),"Not Mapped"))</f>
        <v>Aravind S</v>
      </c>
      <c r="D190" s="45" t="n">
        <v>7</v>
      </c>
      <c r="E190" s="45" t="n">
        <v>0</v>
      </c>
      <c r="F190" s="45" t="n">
        <v>0</v>
      </c>
      <c r="G190" s="45" t="n">
        <v>7</v>
      </c>
      <c r="H190" s="45" t="n">
        <v>0</v>
      </c>
      <c r="I190" s="45" t="n">
        <v>0</v>
      </c>
      <c r="J190" s="45" t="n">
        <v>0</v>
      </c>
      <c r="K190" s="45" t="n">
        <v>7</v>
      </c>
      <c r="L190" s="47"/>
      <c r="M190" s="46"/>
      <c r="N190" s="46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 customFormat="false" ht="15.75" hidden="false" customHeight="true" outlineLevel="0" collapsed="false">
      <c r="A191" s="45" t="s">
        <v>243</v>
      </c>
      <c r="B191" s="46" t="str">
        <f aca="false" t="array" ref="B191:B191">IF(A191="","",IFERROR(INDEX('CLM &amp; IM Mapping'!$B$2:$B$270,MATCH(TRIM(A191),'CLM &amp; IM Mapping'!$A$2:$A$270,0)),"Not Mapped"))</f>
        <v>Manjunatha V</v>
      </c>
      <c r="C191" s="46" t="str">
        <f aca="false" t="array" ref="C191:C191">IF(A191="","",IFERROR(INDEX('CLM &amp; IM Mapping'!$C$2:$C$270,MATCH(TRIM(A191),'CLM &amp; IM Mapping'!$A$2:$A$270,0)),"Not Mapped"))</f>
        <v>Un Mapped</v>
      </c>
      <c r="D191" s="45" t="n">
        <v>4247</v>
      </c>
      <c r="E191" s="45" t="n">
        <v>4245</v>
      </c>
      <c r="F191" s="45" t="n">
        <v>2</v>
      </c>
      <c r="G191" s="45" t="n">
        <v>0</v>
      </c>
      <c r="H191" s="45" t="n">
        <v>0</v>
      </c>
      <c r="I191" s="45" t="n">
        <v>0</v>
      </c>
      <c r="J191" s="45" t="n">
        <v>0</v>
      </c>
      <c r="K191" s="45" t="n">
        <v>0</v>
      </c>
      <c r="L191" s="47"/>
      <c r="M191" s="46"/>
      <c r="N191" s="46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 customFormat="false" ht="15.75" hidden="false" customHeight="true" outlineLevel="0" collapsed="false">
      <c r="A192" s="45" t="s">
        <v>52</v>
      </c>
      <c r="B192" s="46" t="str">
        <f aca="false" t="array" ref="B192:B192">IF(A192="","",IFERROR(INDEX('CLM &amp; IM Mapping'!$B$2:$B$270,MATCH(TRIM(A192),'CLM &amp; IM Mapping'!$A$2:$A$270,0)),"Not Mapped"))</f>
        <v>Sundaresh S</v>
      </c>
      <c r="C192" s="46" t="str">
        <f aca="false" t="array" ref="C192:C192">IF(A192="","",IFERROR(INDEX('CLM &amp; IM Mapping'!$C$2:$C$270,MATCH(TRIM(A192),'CLM &amp; IM Mapping'!$A$2:$A$270,0)),"Not Mapped"))</f>
        <v>Un Mapped</v>
      </c>
      <c r="D192" s="45" t="n">
        <v>5704</v>
      </c>
      <c r="E192" s="45" t="n">
        <v>0</v>
      </c>
      <c r="F192" s="45" t="n">
        <v>5704</v>
      </c>
      <c r="G192" s="45" t="n">
        <v>0</v>
      </c>
      <c r="H192" s="45" t="n">
        <v>0</v>
      </c>
      <c r="I192" s="45" t="n">
        <v>0</v>
      </c>
      <c r="J192" s="45" t="n">
        <v>0</v>
      </c>
      <c r="K192" s="45" t="n">
        <v>0</v>
      </c>
      <c r="L192" s="47"/>
      <c r="M192" s="46"/>
      <c r="N192" s="46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 customFormat="false" ht="15.75" hidden="false" customHeight="true" outlineLevel="0" collapsed="false">
      <c r="A193" s="45" t="s">
        <v>294</v>
      </c>
      <c r="B193" s="46" t="str">
        <f aca="false" t="array" ref="B193:B193">IF(A193="","",IFERROR(INDEX('CLM &amp; IM Mapping'!$B$2:$B$270,MATCH(TRIM(A193),'CLM &amp; IM Mapping'!$A$2:$A$270,0)),"Not Mapped"))</f>
        <v>Balaji G</v>
      </c>
      <c r="C193" s="46" t="str">
        <f aca="false" t="array" ref="C193:C193">IF(A193="","",IFERROR(INDEX('CLM &amp; IM Mapping'!$C$2:$C$270,MATCH(TRIM(A193),'CLM &amp; IM Mapping'!$A$2:$A$270,0)),"Not Mapped"))</f>
        <v>Mohammed Akbar</v>
      </c>
      <c r="D193" s="45" t="n">
        <v>365</v>
      </c>
      <c r="E193" s="45" t="n">
        <v>365</v>
      </c>
      <c r="F193" s="45" t="n">
        <v>0</v>
      </c>
      <c r="G193" s="45" t="n">
        <v>0</v>
      </c>
      <c r="H193" s="45" t="n">
        <v>0</v>
      </c>
      <c r="I193" s="45" t="n">
        <v>0</v>
      </c>
      <c r="J193" s="45" t="n">
        <v>0</v>
      </c>
      <c r="K193" s="45" t="n">
        <v>0</v>
      </c>
      <c r="L193" s="47"/>
      <c r="M193" s="46"/>
      <c r="N193" s="46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 customFormat="false" ht="15.75" hidden="false" customHeight="true" outlineLevel="0" collapsed="false">
      <c r="A194" s="45" t="s">
        <v>260</v>
      </c>
      <c r="B194" s="46" t="str">
        <f aca="false" t="array" ref="B194:B194">IF(A194="","",IFERROR(INDEX('CLM &amp; IM Mapping'!$B$2:$B$270,MATCH(TRIM(A194),'CLM &amp; IM Mapping'!$A$2:$A$270,0)),"Not Mapped"))</f>
        <v>Silambarasan E</v>
      </c>
      <c r="C194" s="46" t="str">
        <f aca="false" t="array" ref="C194:C194">IF(A194="","",IFERROR(INDEX('CLM &amp; IM Mapping'!$C$2:$C$270,MATCH(TRIM(A194),'CLM &amp; IM Mapping'!$A$2:$A$270,0)),"Not Mapped"))</f>
        <v>Arivind S</v>
      </c>
      <c r="D194" s="45" t="n">
        <v>21</v>
      </c>
      <c r="E194" s="45" t="n">
        <v>21</v>
      </c>
      <c r="F194" s="45" t="n">
        <v>0</v>
      </c>
      <c r="G194" s="45" t="n">
        <v>0</v>
      </c>
      <c r="H194" s="45" t="n">
        <v>0</v>
      </c>
      <c r="I194" s="45" t="n">
        <v>0</v>
      </c>
      <c r="J194" s="45" t="n">
        <v>0</v>
      </c>
      <c r="K194" s="45" t="n">
        <v>0</v>
      </c>
      <c r="L194" s="47"/>
      <c r="M194" s="46"/>
      <c r="N194" s="46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 customFormat="false" ht="15.75" hidden="false" customHeight="true" outlineLevel="0" collapsed="false">
      <c r="A195" s="45" t="s">
        <v>201</v>
      </c>
      <c r="B195" s="46" t="str">
        <f aca="false" t="array" ref="B195:B195">IF(A195="","",IFERROR(INDEX('CLM &amp; IM Mapping'!$B$2:$B$270,MATCH(TRIM(A195),'CLM &amp; IM Mapping'!$A$2:$A$270,0)),"Not Mapped"))</f>
        <v>Balaji G</v>
      </c>
      <c r="C195" s="46" t="str">
        <f aca="false" t="array" ref="C195:C195">IF(A195="","",IFERROR(INDEX('CLM &amp; IM Mapping'!$C$2:$C$270,MATCH(TRIM(A195),'CLM &amp; IM Mapping'!$A$2:$A$270,0)),"Not Mapped"))</f>
        <v>Mohammed Akbar</v>
      </c>
      <c r="D195" s="45" t="n">
        <v>0</v>
      </c>
      <c r="E195" s="45" t="n">
        <v>0</v>
      </c>
      <c r="F195" s="45" t="n">
        <v>0</v>
      </c>
      <c r="G195" s="45" t="n">
        <v>0</v>
      </c>
      <c r="H195" s="45" t="n">
        <v>0</v>
      </c>
      <c r="I195" s="45" t="n">
        <v>0</v>
      </c>
      <c r="J195" s="45" t="n">
        <v>0</v>
      </c>
      <c r="K195" s="45" t="n">
        <v>0</v>
      </c>
      <c r="L195" s="47"/>
      <c r="M195" s="46"/>
      <c r="N195" s="46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 customFormat="false" ht="15.75" hidden="false" customHeight="true" outlineLevel="0" collapsed="false">
      <c r="A196" s="45" t="s">
        <v>75</v>
      </c>
      <c r="B196" s="46" t="str">
        <f aca="false" t="array" ref="B196:B196">IF(A196="","",IFERROR(INDEX('CLM &amp; IM Mapping'!$B$2:$B$270,MATCH(TRIM(A196),'CLM &amp; IM Mapping'!$A$2:$A$270,0)),"Not Mapped"))</f>
        <v>Rizwan Ahmed</v>
      </c>
      <c r="C196" s="46" t="str">
        <f aca="false" t="array" ref="C196:C196">IF(A196="","",IFERROR(INDEX('CLM &amp; IM Mapping'!$C$2:$C$270,MATCH(TRIM(A196),'CLM &amp; IM Mapping'!$A$2:$A$270,0)),"Not Mapped"))</f>
        <v>Un Mapped</v>
      </c>
      <c r="D196" s="45" t="n">
        <v>802</v>
      </c>
      <c r="E196" s="45" t="n">
        <v>0</v>
      </c>
      <c r="F196" s="45" t="n">
        <v>0</v>
      </c>
      <c r="G196" s="45" t="n">
        <v>802</v>
      </c>
      <c r="H196" s="45" t="n">
        <v>0</v>
      </c>
      <c r="I196" s="45" t="n">
        <v>0</v>
      </c>
      <c r="J196" s="45" t="n">
        <v>0</v>
      </c>
      <c r="K196" s="45" t="n">
        <v>802</v>
      </c>
      <c r="L196" s="47"/>
      <c r="M196" s="46"/>
      <c r="N196" s="46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 customFormat="false" ht="15.75" hidden="false" customHeight="true" outlineLevel="0" collapsed="false">
      <c r="A197" s="45" t="s">
        <v>73</v>
      </c>
      <c r="B197" s="46" t="str">
        <f aca="false" t="array" ref="B197:B197">IF(A197="","",IFERROR(INDEX('CLM &amp; IM Mapping'!$B$2:$B$270,MATCH(TRIM(A197),'CLM &amp; IM Mapping'!$A$2:$A$270,0)),"Not Mapped"))</f>
        <v>Ashwath S</v>
      </c>
      <c r="C197" s="46" t="str">
        <f aca="false" t="array" ref="C197:C197">IF(A197="","",IFERROR(INDEX('CLM &amp; IM Mapping'!$C$2:$C$270,MATCH(TRIM(A197),'CLM &amp; IM Mapping'!$A$2:$A$270,0)),"Not Mapped"))</f>
        <v>Kantha Kumar</v>
      </c>
      <c r="D197" s="45" t="n">
        <v>1262</v>
      </c>
      <c r="E197" s="45" t="n">
        <v>0</v>
      </c>
      <c r="F197" s="45" t="n">
        <v>0</v>
      </c>
      <c r="G197" s="45" t="n">
        <v>1259</v>
      </c>
      <c r="H197" s="45" t="n">
        <v>3</v>
      </c>
      <c r="I197" s="45" t="n">
        <v>0</v>
      </c>
      <c r="J197" s="45" t="n">
        <v>0</v>
      </c>
      <c r="K197" s="45" t="n">
        <v>1262</v>
      </c>
      <c r="L197" s="47"/>
      <c r="M197" s="46"/>
      <c r="N197" s="46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 customFormat="false" ht="15.75" hidden="false" customHeight="true" outlineLevel="0" collapsed="false">
      <c r="A198" s="45" t="s">
        <v>30</v>
      </c>
      <c r="B198" s="46" t="str">
        <f aca="false" t="array" ref="B198:B198">IF(A198="","",IFERROR(INDEX('CLM &amp; IM Mapping'!$B$2:$B$270,MATCH(TRIM(A198),'CLM &amp; IM Mapping'!$A$2:$A$270,0)),"Not Mapped"))</f>
        <v>Rizwan Ahmed</v>
      </c>
      <c r="C198" s="46" t="str">
        <f aca="false" t="array" ref="C198:C198">IF(A198="","",IFERROR(INDEX('CLM &amp; IM Mapping'!$C$2:$C$270,MATCH(TRIM(A198),'CLM &amp; IM Mapping'!$A$2:$A$270,0)),"Not Mapped"))</f>
        <v>Un Mapped</v>
      </c>
      <c r="D198" s="45" t="n">
        <v>3647</v>
      </c>
      <c r="E198" s="45" t="n">
        <v>82</v>
      </c>
      <c r="F198" s="45" t="n">
        <v>3485</v>
      </c>
      <c r="G198" s="45" t="n">
        <v>0</v>
      </c>
      <c r="H198" s="45" t="n">
        <v>11</v>
      </c>
      <c r="I198" s="45" t="n">
        <v>0</v>
      </c>
      <c r="J198" s="45" t="n">
        <v>69</v>
      </c>
      <c r="K198" s="45" t="n">
        <v>80</v>
      </c>
      <c r="L198" s="47"/>
      <c r="M198" s="46"/>
      <c r="N198" s="46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 customFormat="false" ht="15.75" hidden="false" customHeight="true" outlineLevel="0" collapsed="false">
      <c r="A199" s="45" t="s">
        <v>50</v>
      </c>
      <c r="B199" s="46" t="str">
        <f aca="false" t="array" ref="B199:B199">IF(A199="","",IFERROR(INDEX('CLM &amp; IM Mapping'!$B$2:$B$270,MATCH(TRIM(A199),'CLM &amp; IM Mapping'!$A$2:$A$270,0)),"Not Mapped"))</f>
        <v>Ashwath S</v>
      </c>
      <c r="C199" s="46" t="str">
        <f aca="false" t="array" ref="C199:C199">IF(A199="","",IFERROR(INDEX('CLM &amp; IM Mapping'!$C$2:$C$270,MATCH(TRIM(A199),'CLM &amp; IM Mapping'!$A$2:$A$270,0)),"Not Mapped"))</f>
        <v>Kantha Kumar</v>
      </c>
      <c r="D199" s="45" t="n">
        <v>2939</v>
      </c>
      <c r="E199" s="45" t="n">
        <v>0</v>
      </c>
      <c r="F199" s="45" t="n">
        <v>2837</v>
      </c>
      <c r="G199" s="45" t="n">
        <v>0</v>
      </c>
      <c r="H199" s="45" t="n">
        <v>102</v>
      </c>
      <c r="I199" s="45" t="n">
        <v>0</v>
      </c>
      <c r="J199" s="45" t="n">
        <v>0</v>
      </c>
      <c r="K199" s="45" t="n">
        <v>102</v>
      </c>
      <c r="L199" s="47"/>
      <c r="M199" s="46"/>
      <c r="N199" s="46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 customFormat="false" ht="15.75" hidden="false" customHeight="true" outlineLevel="0" collapsed="false">
      <c r="A200" s="45" t="s">
        <v>226</v>
      </c>
      <c r="B200" s="46" t="str">
        <f aca="false" t="array" ref="B200:B200">IF(A200="","",IFERROR(INDEX('CLM &amp; IM Mapping'!$B$2:$B$270,MATCH(TRIM(A200),'CLM &amp; IM Mapping'!$A$2:$A$270,0)),"Not Mapped"))</f>
        <v>Ashwath S</v>
      </c>
      <c r="C200" s="46" t="str">
        <f aca="false" t="array" ref="C200:C200">IF(A200="","",IFERROR(INDEX('CLM &amp; IM Mapping'!$C$2:$C$270,MATCH(TRIM(A200),'CLM &amp; IM Mapping'!$A$2:$A$270,0)),"Not Mapped"))</f>
        <v>Kantha Kumar</v>
      </c>
      <c r="D200" s="45" t="n">
        <v>0</v>
      </c>
      <c r="E200" s="45" t="n">
        <v>0</v>
      </c>
      <c r="F200" s="45" t="n">
        <v>0</v>
      </c>
      <c r="G200" s="45" t="n">
        <v>0</v>
      </c>
      <c r="H200" s="45" t="n">
        <v>0</v>
      </c>
      <c r="I200" s="45" t="n">
        <v>0</v>
      </c>
      <c r="J200" s="45" t="n">
        <v>0</v>
      </c>
      <c r="K200" s="45" t="n">
        <v>0</v>
      </c>
      <c r="L200" s="47"/>
      <c r="M200" s="46"/>
      <c r="N200" s="46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 customFormat="false" ht="15.75" hidden="false" customHeight="true" outlineLevel="0" collapsed="false">
      <c r="A201" s="45" t="s">
        <v>26</v>
      </c>
      <c r="B201" s="46" t="str">
        <f aca="false" t="array" ref="B201:B201">IF(A201="","",IFERROR(INDEX('CLM &amp; IM Mapping'!$B$2:$B$270,MATCH(TRIM(A201),'CLM &amp; IM Mapping'!$A$2:$A$270,0)),"Not Mapped"))</f>
        <v>Manoj Kj</v>
      </c>
      <c r="C201" s="46" t="str">
        <f aca="false" t="array" ref="C201:C201">IF(A201="","",IFERROR(INDEX('CLM &amp; IM Mapping'!$C$2:$C$270,MATCH(TRIM(A201),'CLM &amp; IM Mapping'!$A$2:$A$270,0)),"Not Mapped"))</f>
        <v>Srittam Dhal</v>
      </c>
      <c r="D201" s="45" t="n">
        <v>0</v>
      </c>
      <c r="E201" s="45" t="n">
        <v>0</v>
      </c>
      <c r="F201" s="45" t="n">
        <v>0</v>
      </c>
      <c r="G201" s="45" t="n">
        <v>0</v>
      </c>
      <c r="H201" s="45" t="n">
        <v>0</v>
      </c>
      <c r="I201" s="45" t="n">
        <v>0</v>
      </c>
      <c r="J201" s="45" t="n">
        <v>0</v>
      </c>
      <c r="K201" s="45" t="n">
        <v>0</v>
      </c>
      <c r="L201" s="47"/>
      <c r="M201" s="46"/>
      <c r="N201" s="46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 customFormat="false" ht="15.75" hidden="false" customHeight="true" outlineLevel="0" collapsed="false">
      <c r="A202" s="45" t="s">
        <v>122</v>
      </c>
      <c r="B202" s="46" t="str">
        <f aca="false" t="array" ref="B202:B202">IF(A202="","",IFERROR(INDEX('CLM &amp; IM Mapping'!$B$2:$B$270,MATCH(TRIM(A202),'CLM &amp; IM Mapping'!$A$2:$A$270,0)),"Not Mapped"))</f>
        <v>Raghavendra Vernekar</v>
      </c>
      <c r="C202" s="46" t="str">
        <f aca="false" t="array" ref="C202:C202">IF(A202="","",IFERROR(INDEX('CLM &amp; IM Mapping'!$C$2:$C$270,MATCH(TRIM(A202),'CLM &amp; IM Mapping'!$A$2:$A$270,0)),"Not Mapped"))</f>
        <v>Prakash BS</v>
      </c>
      <c r="D202" s="45" t="n">
        <v>1352</v>
      </c>
      <c r="E202" s="45" t="n">
        <v>0</v>
      </c>
      <c r="F202" s="45" t="n">
        <v>1352</v>
      </c>
      <c r="G202" s="45" t="n">
        <v>0</v>
      </c>
      <c r="H202" s="45" t="n">
        <v>0</v>
      </c>
      <c r="I202" s="45" t="n">
        <v>0</v>
      </c>
      <c r="J202" s="45" t="n">
        <v>0</v>
      </c>
      <c r="K202" s="45" t="n">
        <v>0</v>
      </c>
      <c r="L202" s="47"/>
      <c r="M202" s="46"/>
      <c r="N202" s="46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 customFormat="false" ht="15.75" hidden="false" customHeight="true" outlineLevel="0" collapsed="false">
      <c r="A203" s="45" t="s">
        <v>220</v>
      </c>
      <c r="B203" s="46" t="str">
        <f aca="false" t="array" ref="B203:B203">IF(A203="","",IFERROR(INDEX('CLM &amp; IM Mapping'!$B$2:$B$270,MATCH(TRIM(A203),'CLM &amp; IM Mapping'!$A$2:$A$270,0)),"Not Mapped"))</f>
        <v>Girish N</v>
      </c>
      <c r="C203" s="46" t="str">
        <f aca="false" t="array" ref="C203:C203">IF(A203="","",IFERROR(INDEX('CLM &amp; IM Mapping'!$C$2:$C$270,MATCH(TRIM(A203),'CLM &amp; IM Mapping'!$A$2:$A$270,0)),"Not Mapped"))</f>
        <v>Un Mapped</v>
      </c>
      <c r="D203" s="45" t="n">
        <v>3443</v>
      </c>
      <c r="E203" s="45" t="n">
        <v>2591</v>
      </c>
      <c r="F203" s="45" t="n">
        <v>852</v>
      </c>
      <c r="G203" s="45" t="n">
        <v>0</v>
      </c>
      <c r="H203" s="45" t="n">
        <v>0</v>
      </c>
      <c r="I203" s="45" t="n">
        <v>0</v>
      </c>
      <c r="J203" s="45" t="n">
        <v>0</v>
      </c>
      <c r="K203" s="45" t="n">
        <v>0</v>
      </c>
      <c r="L203" s="47"/>
      <c r="M203" s="46"/>
      <c r="N203" s="46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 customFormat="false" ht="15.75" hidden="false" customHeight="true" outlineLevel="0" collapsed="false">
      <c r="A204" s="45" t="s">
        <v>164</v>
      </c>
      <c r="B204" s="46" t="str">
        <f aca="false" t="array" ref="B204:B204">IF(A204="","",IFERROR(INDEX('CLM &amp; IM Mapping'!$B$2:$B$270,MATCH(TRIM(A204),'CLM &amp; IM Mapping'!$A$2:$A$270,0)),"Not Mapped"))</f>
        <v>Akshay P</v>
      </c>
      <c r="C204" s="46" t="str">
        <f aca="false" t="array" ref="C204:C204">IF(A204="","",IFERROR(INDEX('CLM &amp; IM Mapping'!$C$2:$C$270,MATCH(TRIM(A204),'CLM &amp; IM Mapping'!$A$2:$A$270,0)),"Not Mapped"))</f>
        <v>Srittam Dhal</v>
      </c>
      <c r="D204" s="45" t="n">
        <v>0</v>
      </c>
      <c r="E204" s="45" t="n">
        <v>0</v>
      </c>
      <c r="F204" s="45" t="n">
        <v>0</v>
      </c>
      <c r="G204" s="45" t="n">
        <v>0</v>
      </c>
      <c r="H204" s="45" t="n">
        <v>0</v>
      </c>
      <c r="I204" s="45" t="n">
        <v>0</v>
      </c>
      <c r="J204" s="45" t="n">
        <v>0</v>
      </c>
      <c r="K204" s="45" t="n">
        <v>0</v>
      </c>
      <c r="L204" s="47"/>
      <c r="M204" s="46"/>
      <c r="N204" s="46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 customFormat="false" ht="15.75" hidden="false" customHeight="true" outlineLevel="0" collapsed="false">
      <c r="A205" s="45" t="s">
        <v>126</v>
      </c>
      <c r="B205" s="46" t="str">
        <f aca="false" t="array" ref="B205:B205">IF(A205="","",IFERROR(INDEX('CLM &amp; IM Mapping'!$B$2:$B$270,MATCH(TRIM(A205),'CLM &amp; IM Mapping'!$A$2:$A$270,0)),"Not Mapped"))</f>
        <v>Balaji G</v>
      </c>
      <c r="C205" s="46" t="str">
        <f aca="false" t="array" ref="C205:C205">IF(A205="","",IFERROR(INDEX('CLM &amp; IM Mapping'!$C$2:$C$270,MATCH(TRIM(A205),'CLM &amp; IM Mapping'!$A$2:$A$270,0)),"Not Mapped"))</f>
        <v>Mohammed Akbar</v>
      </c>
      <c r="D205" s="45" t="n">
        <v>0</v>
      </c>
      <c r="E205" s="45" t="n">
        <v>0</v>
      </c>
      <c r="F205" s="45" t="n">
        <v>0</v>
      </c>
      <c r="G205" s="45" t="n">
        <v>0</v>
      </c>
      <c r="H205" s="45" t="n">
        <v>0</v>
      </c>
      <c r="I205" s="45" t="n">
        <v>0</v>
      </c>
      <c r="J205" s="45" t="n">
        <v>0</v>
      </c>
      <c r="K205" s="45" t="n">
        <v>0</v>
      </c>
      <c r="L205" s="47"/>
      <c r="M205" s="46"/>
      <c r="N205" s="46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 customFormat="false" ht="15.75" hidden="false" customHeight="true" outlineLevel="0" collapsed="false">
      <c r="A206" s="45" t="s">
        <v>141</v>
      </c>
      <c r="B206" s="46" t="str">
        <f aca="false" t="array" ref="B206:B206">IF(A206="","",IFERROR(INDEX('CLM &amp; IM Mapping'!$B$2:$B$270,MATCH(TRIM(A206),'CLM &amp; IM Mapping'!$A$2:$A$270,0)),"Not Mapped"))</f>
        <v>Manoj Kj</v>
      </c>
      <c r="C206" s="46" t="str">
        <f aca="false" t="array" ref="C206:C206">IF(A206="","",IFERROR(INDEX('CLM &amp; IM Mapping'!$C$2:$C$270,MATCH(TRIM(A206),'CLM &amp; IM Mapping'!$A$2:$A$270,0)),"Not Mapped"))</f>
        <v>Srittam Dhal</v>
      </c>
      <c r="D206" s="45" t="n">
        <v>1951</v>
      </c>
      <c r="E206" s="45" t="n">
        <v>1951</v>
      </c>
      <c r="F206" s="45" t="n">
        <v>0</v>
      </c>
      <c r="G206" s="45" t="n">
        <v>0</v>
      </c>
      <c r="H206" s="45" t="n">
        <v>0</v>
      </c>
      <c r="I206" s="45" t="n">
        <v>0</v>
      </c>
      <c r="J206" s="45" t="n">
        <v>0</v>
      </c>
      <c r="K206" s="45" t="n">
        <v>0</v>
      </c>
      <c r="L206" s="47"/>
      <c r="M206" s="46"/>
      <c r="N206" s="46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 customFormat="false" ht="15.75" hidden="false" customHeight="true" outlineLevel="0" collapsed="false">
      <c r="A207" s="45" t="s">
        <v>98</v>
      </c>
      <c r="B207" s="46" t="str">
        <f aca="false" t="array" ref="B207:B207">IF(A207="","",IFERROR(INDEX('CLM &amp; IM Mapping'!$B$2:$B$270,MATCH(TRIM(A207),'CLM &amp; IM Mapping'!$A$2:$A$270,0)),"Not Mapped"))</f>
        <v>Silambarasan E</v>
      </c>
      <c r="C207" s="46" t="str">
        <f aca="false" t="array" ref="C207:C207">IF(A207="","",IFERROR(INDEX('CLM &amp; IM Mapping'!$C$2:$C$270,MATCH(TRIM(A207),'CLM &amp; IM Mapping'!$A$2:$A$270,0)),"Not Mapped"))</f>
        <v>Arivind S</v>
      </c>
      <c r="D207" s="45" t="n">
        <v>10473</v>
      </c>
      <c r="E207" s="45" t="n">
        <v>4904</v>
      </c>
      <c r="F207" s="45" t="n">
        <v>3220</v>
      </c>
      <c r="G207" s="45" t="n">
        <v>252</v>
      </c>
      <c r="H207" s="45" t="n">
        <v>1583</v>
      </c>
      <c r="I207" s="45" t="n">
        <v>0</v>
      </c>
      <c r="J207" s="45" t="n">
        <v>514</v>
      </c>
      <c r="K207" s="45" t="n">
        <v>2349</v>
      </c>
      <c r="L207" s="47"/>
      <c r="M207" s="46"/>
      <c r="N207" s="46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 customFormat="false" ht="15.75" hidden="false" customHeight="true" outlineLevel="0" collapsed="false">
      <c r="A208" s="45" t="s">
        <v>277</v>
      </c>
      <c r="B208" s="46" t="str">
        <f aca="false" t="array" ref="B208:B208">IF(A208="","",IFERROR(INDEX('CLM &amp; IM Mapping'!$B$2:$B$270,MATCH(TRIM(A208),'CLM &amp; IM Mapping'!$A$2:$A$270,0)),"Not Mapped"))</f>
        <v>Adhavan Subramani</v>
      </c>
      <c r="C208" s="46" t="str">
        <f aca="false" t="array" ref="C208:C208">IF(A208="","",IFERROR(INDEX('CLM &amp; IM Mapping'!$C$2:$C$270,MATCH(TRIM(A208),'CLM &amp; IM Mapping'!$A$2:$A$270,0)),"Not Mapped"))</f>
        <v>Mohammed Akbar</v>
      </c>
      <c r="D208" s="45" t="n">
        <v>2935</v>
      </c>
      <c r="E208" s="45" t="n">
        <v>0</v>
      </c>
      <c r="F208" s="45" t="n">
        <v>2096</v>
      </c>
      <c r="G208" s="45" t="n">
        <v>808</v>
      </c>
      <c r="H208" s="45" t="n">
        <v>0</v>
      </c>
      <c r="I208" s="45" t="n">
        <v>0</v>
      </c>
      <c r="J208" s="45" t="n">
        <v>31</v>
      </c>
      <c r="K208" s="45" t="n">
        <v>839</v>
      </c>
      <c r="L208" s="47"/>
      <c r="M208" s="46"/>
      <c r="N208" s="46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 customFormat="false" ht="15.75" hidden="false" customHeight="true" outlineLevel="0" collapsed="false">
      <c r="A209" s="45" t="s">
        <v>212</v>
      </c>
      <c r="B209" s="46" t="str">
        <f aca="false" t="array" ref="B209:B209">IF(A209="","",IFERROR(INDEX('CLM &amp; IM Mapping'!$B$2:$B$270,MATCH(TRIM(A209),'CLM &amp; IM Mapping'!$A$2:$A$270,0)),"Not Mapped"))</f>
        <v>Adhavan Subramani</v>
      </c>
      <c r="C209" s="46" t="str">
        <f aca="false" t="array" ref="C209:C209">IF(A209="","",IFERROR(INDEX('CLM &amp; IM Mapping'!$C$2:$C$270,MATCH(TRIM(A209),'CLM &amp; IM Mapping'!$A$2:$A$270,0)),"Not Mapped"))</f>
        <v>Mohammed Akbar</v>
      </c>
      <c r="D209" s="45" t="n">
        <v>3224</v>
      </c>
      <c r="E209" s="45" t="n">
        <v>3199</v>
      </c>
      <c r="F209" s="45" t="n">
        <v>0</v>
      </c>
      <c r="G209" s="45" t="n">
        <v>0</v>
      </c>
      <c r="H209" s="45" t="n">
        <v>0</v>
      </c>
      <c r="I209" s="45" t="n">
        <v>0</v>
      </c>
      <c r="J209" s="45" t="n">
        <v>25</v>
      </c>
      <c r="K209" s="45" t="n">
        <v>25</v>
      </c>
      <c r="L209" s="47"/>
      <c r="M209" s="46"/>
      <c r="N209" s="46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 customFormat="false" ht="15.75" hidden="false" customHeight="true" outlineLevel="0" collapsed="false">
      <c r="A210" s="45" t="s">
        <v>229</v>
      </c>
      <c r="B210" s="46" t="str">
        <f aca="false" t="array" ref="B210:B210">IF(A210="","",IFERROR(INDEX('CLM &amp; IM Mapping'!$B$2:$B$270,MATCH(TRIM(A210),'CLM &amp; IM Mapping'!$A$2:$A$270,0)),"Not Mapped"))</f>
        <v>John Britto</v>
      </c>
      <c r="C210" s="46" t="str">
        <f aca="false" t="array" ref="C210:C210">IF(A210="","",IFERROR(INDEX('CLM &amp; IM Mapping'!$C$2:$C$270,MATCH(TRIM(A210),'CLM &amp; IM Mapping'!$A$2:$A$270,0)),"Not Mapped"))</f>
        <v>Aravind S</v>
      </c>
      <c r="D210" s="45" t="n">
        <v>0</v>
      </c>
      <c r="E210" s="45" t="n">
        <v>0</v>
      </c>
      <c r="F210" s="45" t="n">
        <v>0</v>
      </c>
      <c r="G210" s="45" t="n">
        <v>0</v>
      </c>
      <c r="H210" s="45" t="n">
        <v>0</v>
      </c>
      <c r="I210" s="45" t="n">
        <v>0</v>
      </c>
      <c r="J210" s="45" t="n">
        <v>0</v>
      </c>
      <c r="K210" s="45" t="n">
        <v>0</v>
      </c>
      <c r="L210" s="47"/>
      <c r="M210" s="46"/>
      <c r="N210" s="46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 customFormat="false" ht="15.75" hidden="false" customHeight="true" outlineLevel="0" collapsed="false">
      <c r="A211" s="45" t="s">
        <v>170</v>
      </c>
      <c r="B211" s="46" t="str">
        <f aca="false" t="array" ref="B211:B211">IF(A211="","",IFERROR(INDEX('CLM &amp; IM Mapping'!$B$2:$B$270,MATCH(TRIM(A211),'CLM &amp; IM Mapping'!$A$2:$A$270,0)),"Not Mapped"))</f>
        <v>John Britto</v>
      </c>
      <c r="C211" s="46" t="str">
        <f aca="false" t="array" ref="C211:C211">IF(A211="","",IFERROR(INDEX('CLM &amp; IM Mapping'!$C$2:$C$270,MATCH(TRIM(A211),'CLM &amp; IM Mapping'!$A$2:$A$270,0)),"Not Mapped"))</f>
        <v>Aravind S</v>
      </c>
      <c r="D211" s="45" t="n">
        <v>0</v>
      </c>
      <c r="E211" s="45" t="n">
        <v>0</v>
      </c>
      <c r="F211" s="45" t="n">
        <v>0</v>
      </c>
      <c r="G211" s="45" t="n">
        <v>0</v>
      </c>
      <c r="H211" s="45" t="n">
        <v>0</v>
      </c>
      <c r="I211" s="45" t="n">
        <v>0</v>
      </c>
      <c r="J211" s="45" t="n">
        <v>0</v>
      </c>
      <c r="K211" s="45" t="n">
        <v>0</v>
      </c>
      <c r="L211" s="47"/>
      <c r="M211" s="46"/>
      <c r="N211" s="46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 customFormat="false" ht="15.75" hidden="false" customHeight="true" outlineLevel="0" collapsed="false">
      <c r="A212" s="45" t="s">
        <v>261</v>
      </c>
      <c r="B212" s="46" t="str">
        <f aca="false" t="array" ref="B212:B212">IF(A212="","",IFERROR(INDEX('CLM &amp; IM Mapping'!$B$2:$B$270,MATCH(TRIM(A212),'CLM &amp; IM Mapping'!$A$2:$A$270,0)),"Not Mapped"))</f>
        <v>John Britto</v>
      </c>
      <c r="C212" s="46" t="str">
        <f aca="false" t="array" ref="C212:C212">IF(A212="","",IFERROR(INDEX('CLM &amp; IM Mapping'!$C$2:$C$270,MATCH(TRIM(A212),'CLM &amp; IM Mapping'!$A$2:$A$270,0)),"Not Mapped"))</f>
        <v>Aravind S</v>
      </c>
      <c r="D212" s="45" t="n">
        <v>0</v>
      </c>
      <c r="E212" s="45" t="n">
        <v>0</v>
      </c>
      <c r="F212" s="45" t="n">
        <v>0</v>
      </c>
      <c r="G212" s="45" t="n">
        <v>0</v>
      </c>
      <c r="H212" s="45" t="n">
        <v>0</v>
      </c>
      <c r="I212" s="45" t="n">
        <v>0</v>
      </c>
      <c r="J212" s="45" t="n">
        <v>0</v>
      </c>
      <c r="K212" s="45" t="n">
        <v>0</v>
      </c>
      <c r="L212" s="47"/>
      <c r="M212" s="46"/>
      <c r="N212" s="46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 customFormat="false" ht="15.75" hidden="false" customHeight="true" outlineLevel="0" collapsed="false">
      <c r="A213" s="45" t="s">
        <v>200</v>
      </c>
      <c r="B213" s="46" t="str">
        <f aca="false" t="array" ref="B213:B213">IF(A213="","",IFERROR(INDEX('CLM &amp; IM Mapping'!$B$2:$B$270,MATCH(TRIM(A213),'CLM &amp; IM Mapping'!$A$2:$A$270,0)),"Not Mapped"))</f>
        <v>John Britto</v>
      </c>
      <c r="C213" s="46" t="str">
        <f aca="false" t="array" ref="C213:C213">IF(A213="","",IFERROR(INDEX('CLM &amp; IM Mapping'!$C$2:$C$270,MATCH(TRIM(A213),'CLM &amp; IM Mapping'!$A$2:$A$270,0)),"Not Mapped"))</f>
        <v>Aravind S</v>
      </c>
      <c r="D213" s="45" t="n">
        <v>0</v>
      </c>
      <c r="E213" s="45" t="n">
        <v>0</v>
      </c>
      <c r="F213" s="45" t="n">
        <v>0</v>
      </c>
      <c r="G213" s="45" t="n">
        <v>0</v>
      </c>
      <c r="H213" s="45" t="n">
        <v>0</v>
      </c>
      <c r="I213" s="45" t="n">
        <v>0</v>
      </c>
      <c r="J213" s="45" t="n">
        <v>0</v>
      </c>
      <c r="K213" s="45" t="n">
        <v>0</v>
      </c>
      <c r="L213" s="47"/>
      <c r="M213" s="46"/>
      <c r="N213" s="46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 customFormat="false" ht="15.75" hidden="false" customHeight="true" outlineLevel="0" collapsed="false">
      <c r="A214" s="45" t="s">
        <v>146</v>
      </c>
      <c r="B214" s="46" t="str">
        <f aca="false" t="array" ref="B214:B214">IF(A214="","",IFERROR(INDEX('CLM &amp; IM Mapping'!$B$2:$B$270,MATCH(TRIM(A214),'CLM &amp; IM Mapping'!$A$2:$A$270,0)),"Not Mapped"))</f>
        <v>John Britto</v>
      </c>
      <c r="C214" s="46" t="str">
        <f aca="false" t="array" ref="C214:C214">IF(A214="","",IFERROR(INDEX('CLM &amp; IM Mapping'!$C$2:$C$270,MATCH(TRIM(A214),'CLM &amp; IM Mapping'!$A$2:$A$270,0)),"Not Mapped"))</f>
        <v>Aravind S</v>
      </c>
      <c r="D214" s="45" t="n">
        <v>2299</v>
      </c>
      <c r="E214" s="45" t="n">
        <v>0</v>
      </c>
      <c r="F214" s="45" t="n">
        <v>1271</v>
      </c>
      <c r="G214" s="45" t="n">
        <v>1028</v>
      </c>
      <c r="H214" s="45" t="n">
        <v>0</v>
      </c>
      <c r="I214" s="45" t="n">
        <v>0</v>
      </c>
      <c r="J214" s="45" t="n">
        <v>0</v>
      </c>
      <c r="K214" s="45" t="n">
        <v>1028</v>
      </c>
      <c r="L214" s="47"/>
      <c r="M214" s="46"/>
      <c r="N214" s="46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 customFormat="false" ht="15.75" hidden="false" customHeight="true" outlineLevel="0" collapsed="false">
      <c r="A215" s="45" t="s">
        <v>155</v>
      </c>
      <c r="B215" s="46" t="str">
        <f aca="false" t="array" ref="B215:B215">IF(A215="","",IFERROR(INDEX('CLM &amp; IM Mapping'!$B$2:$B$270,MATCH(TRIM(A215),'CLM &amp; IM Mapping'!$A$2:$A$270,0)),"Not Mapped"))</f>
        <v>John Britto</v>
      </c>
      <c r="C215" s="46" t="str">
        <f aca="false" t="array" ref="C215:C215">IF(A215="","",IFERROR(INDEX('CLM &amp; IM Mapping'!$C$2:$C$270,MATCH(TRIM(A215),'CLM &amp; IM Mapping'!$A$2:$A$270,0)),"Not Mapped"))</f>
        <v>Aravind S</v>
      </c>
      <c r="D215" s="45" t="n">
        <v>0</v>
      </c>
      <c r="E215" s="45" t="n">
        <v>0</v>
      </c>
      <c r="F215" s="45" t="n">
        <v>0</v>
      </c>
      <c r="G215" s="45" t="n">
        <v>0</v>
      </c>
      <c r="H215" s="45" t="n">
        <v>0</v>
      </c>
      <c r="I215" s="45" t="n">
        <v>0</v>
      </c>
      <c r="J215" s="45" t="n">
        <v>0</v>
      </c>
      <c r="K215" s="45" t="n">
        <v>0</v>
      </c>
      <c r="L215" s="47"/>
      <c r="M215" s="46"/>
      <c r="N215" s="46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 customFormat="false" ht="15.75" hidden="false" customHeight="true" outlineLevel="0" collapsed="false">
      <c r="A216" s="45" t="s">
        <v>207</v>
      </c>
      <c r="B216" s="46" t="str">
        <f aca="false" t="array" ref="B216:B216">IF(A216="","",IFERROR(INDEX('CLM &amp; IM Mapping'!$B$2:$B$270,MATCH(TRIM(A216),'CLM &amp; IM Mapping'!$A$2:$A$270,0)),"Not Mapped"))</f>
        <v>John Britto</v>
      </c>
      <c r="C216" s="46" t="str">
        <f aca="false" t="array" ref="C216:C216">IF(A216="","",IFERROR(INDEX('CLM &amp; IM Mapping'!$C$2:$C$270,MATCH(TRIM(A216),'CLM &amp; IM Mapping'!$A$2:$A$270,0)),"Not Mapped"))</f>
        <v>Aravind S</v>
      </c>
      <c r="D216" s="45" t="n">
        <v>206</v>
      </c>
      <c r="E216" s="45" t="n">
        <v>0</v>
      </c>
      <c r="F216" s="45" t="n">
        <v>0</v>
      </c>
      <c r="G216" s="45" t="n">
        <v>206</v>
      </c>
      <c r="H216" s="45" t="n">
        <v>0</v>
      </c>
      <c r="I216" s="45" t="n">
        <v>0</v>
      </c>
      <c r="J216" s="45" t="n">
        <v>0</v>
      </c>
      <c r="K216" s="45" t="n">
        <v>206</v>
      </c>
      <c r="L216" s="47"/>
      <c r="M216" s="46"/>
      <c r="N216" s="46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 customFormat="false" ht="15.75" hidden="false" customHeight="true" outlineLevel="0" collapsed="false">
      <c r="A217" s="45" t="s">
        <v>250</v>
      </c>
      <c r="B217" s="46" t="str">
        <f aca="false" t="array" ref="B217:B217">IF(A217="","",IFERROR(INDEX('CLM &amp; IM Mapping'!$B$2:$B$270,MATCH(TRIM(A217),'CLM &amp; IM Mapping'!$A$2:$A$270,0)),"Not Mapped"))</f>
        <v>John Britto</v>
      </c>
      <c r="C217" s="46" t="str">
        <f aca="false" t="array" ref="C217:C217">IF(A217="","",IFERROR(INDEX('CLM &amp; IM Mapping'!$C$2:$C$270,MATCH(TRIM(A217),'CLM &amp; IM Mapping'!$A$2:$A$270,0)),"Not Mapped"))</f>
        <v>Aravind S</v>
      </c>
      <c r="D217" s="45" t="n">
        <v>0</v>
      </c>
      <c r="E217" s="45" t="n">
        <v>0</v>
      </c>
      <c r="F217" s="45" t="n">
        <v>0</v>
      </c>
      <c r="G217" s="45" t="n">
        <v>0</v>
      </c>
      <c r="H217" s="45" t="n">
        <v>0</v>
      </c>
      <c r="I217" s="45" t="n">
        <v>0</v>
      </c>
      <c r="J217" s="45" t="n">
        <v>0</v>
      </c>
      <c r="K217" s="45" t="n">
        <v>0</v>
      </c>
      <c r="L217" s="47"/>
      <c r="M217" s="46"/>
      <c r="N217" s="46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 customFormat="false" ht="15.75" hidden="false" customHeight="true" outlineLevel="0" collapsed="false">
      <c r="A218" s="45" t="s">
        <v>291</v>
      </c>
      <c r="B218" s="46" t="str">
        <f aca="false" t="array" ref="B218:B218">IF(A218="","",IFERROR(INDEX('CLM &amp; IM Mapping'!$B$2:$B$270,MATCH(TRIM(A218),'CLM &amp; IM Mapping'!$A$2:$A$270,0)),"Not Mapped"))</f>
        <v>John Britto</v>
      </c>
      <c r="C218" s="46" t="str">
        <f aca="false" t="array" ref="C218:C218">IF(A218="","",IFERROR(INDEX('CLM &amp; IM Mapping'!$C$2:$C$270,MATCH(TRIM(A218),'CLM &amp; IM Mapping'!$A$2:$A$270,0)),"Not Mapped"))</f>
        <v>Aravind S</v>
      </c>
      <c r="D218" s="45" t="n">
        <v>285</v>
      </c>
      <c r="E218" s="45" t="n">
        <v>0</v>
      </c>
      <c r="F218" s="45" t="n">
        <v>0</v>
      </c>
      <c r="G218" s="45" t="n">
        <v>285</v>
      </c>
      <c r="H218" s="45" t="n">
        <v>0</v>
      </c>
      <c r="I218" s="45" t="n">
        <v>0</v>
      </c>
      <c r="J218" s="45" t="n">
        <v>0</v>
      </c>
      <c r="K218" s="45" t="n">
        <v>285</v>
      </c>
      <c r="L218" s="47"/>
      <c r="M218" s="46"/>
      <c r="N218" s="46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 customFormat="false" ht="15.75" hidden="false" customHeight="true" outlineLevel="0" collapsed="false">
      <c r="A219" s="45" t="s">
        <v>242</v>
      </c>
      <c r="B219" s="46" t="str">
        <f aca="false" t="array" ref="B219:B219">IF(A219="","",IFERROR(INDEX('CLM &amp; IM Mapping'!$B$2:$B$270,MATCH(TRIM(A219),'CLM &amp; IM Mapping'!$A$2:$A$270,0)),"Not Mapped"))</f>
        <v>John Britto</v>
      </c>
      <c r="C219" s="46" t="str">
        <f aca="false" t="array" ref="C219:C219">IF(A219="","",IFERROR(INDEX('CLM &amp; IM Mapping'!$C$2:$C$270,MATCH(TRIM(A219),'CLM &amp; IM Mapping'!$A$2:$A$270,0)),"Not Mapped"))</f>
        <v>Aravind S</v>
      </c>
      <c r="D219" s="45" t="n">
        <v>0</v>
      </c>
      <c r="E219" s="45" t="n">
        <v>0</v>
      </c>
      <c r="F219" s="45" t="n">
        <v>0</v>
      </c>
      <c r="G219" s="45" t="n">
        <v>0</v>
      </c>
      <c r="H219" s="45" t="n">
        <v>0</v>
      </c>
      <c r="I219" s="45" t="n">
        <v>0</v>
      </c>
      <c r="J219" s="45" t="n">
        <v>0</v>
      </c>
      <c r="K219" s="45" t="n">
        <v>0</v>
      </c>
      <c r="L219" s="47"/>
      <c r="M219" s="46"/>
      <c r="N219" s="46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 customFormat="false" ht="15.75" hidden="false" customHeight="true" outlineLevel="0" collapsed="false">
      <c r="A220" s="45" t="s">
        <v>208</v>
      </c>
      <c r="B220" s="46" t="str">
        <f aca="false" t="array" ref="B220:B220">IF(A220="","",IFERROR(INDEX('CLM &amp; IM Mapping'!$B$2:$B$270,MATCH(TRIM(A220),'CLM &amp; IM Mapping'!$A$2:$A$270,0)),"Not Mapped"))</f>
        <v>Bangareppa CS</v>
      </c>
      <c r="C220" s="46" t="str">
        <f aca="false" t="array" ref="C220:C220">IF(A220="","",IFERROR(INDEX('CLM &amp; IM Mapping'!$C$2:$C$270,MATCH(TRIM(A220),'CLM &amp; IM Mapping'!$A$2:$A$270,0)),"Not Mapped"))</f>
        <v>Kishor K</v>
      </c>
      <c r="D220" s="45" t="n">
        <v>209</v>
      </c>
      <c r="E220" s="45" t="n">
        <v>82</v>
      </c>
      <c r="F220" s="45" t="n">
        <v>127</v>
      </c>
      <c r="G220" s="45" t="n">
        <v>0</v>
      </c>
      <c r="H220" s="45" t="n">
        <v>0</v>
      </c>
      <c r="I220" s="45" t="n">
        <v>0</v>
      </c>
      <c r="J220" s="45" t="n">
        <v>0</v>
      </c>
      <c r="K220" s="45" t="n">
        <v>0</v>
      </c>
      <c r="L220" s="47"/>
      <c r="M220" s="46"/>
      <c r="N220" s="46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 customFormat="false" ht="15.75" hidden="false" customHeight="true" outlineLevel="0" collapsed="false">
      <c r="A221" s="45" t="s">
        <v>203</v>
      </c>
      <c r="B221" s="46" t="str">
        <f aca="false" t="array" ref="B221:B221">IF(A221="","",IFERROR(INDEX('CLM &amp; IM Mapping'!$B$2:$B$270,MATCH(TRIM(A221),'CLM &amp; IM Mapping'!$A$2:$A$270,0)),"Not Mapped"))</f>
        <v>Bangareppa CS</v>
      </c>
      <c r="C221" s="46" t="str">
        <f aca="false" t="array" ref="C221:C221">IF(A221="","",IFERROR(INDEX('CLM &amp; IM Mapping'!$C$2:$C$270,MATCH(TRIM(A221),'CLM &amp; IM Mapping'!$A$2:$A$270,0)),"Not Mapped"))</f>
        <v>Kishor K</v>
      </c>
      <c r="D221" s="45" t="n">
        <v>39</v>
      </c>
      <c r="E221" s="45" t="n">
        <v>39</v>
      </c>
      <c r="F221" s="45" t="n">
        <v>0</v>
      </c>
      <c r="G221" s="45" t="n">
        <v>0</v>
      </c>
      <c r="H221" s="45" t="n">
        <v>0</v>
      </c>
      <c r="I221" s="45" t="n">
        <v>0</v>
      </c>
      <c r="J221" s="45" t="n">
        <v>0</v>
      </c>
      <c r="K221" s="45" t="n">
        <v>0</v>
      </c>
      <c r="L221" s="47"/>
      <c r="M221" s="46"/>
      <c r="N221" s="46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 customFormat="false" ht="15.75" hidden="false" customHeight="true" outlineLevel="0" collapsed="false">
      <c r="A222" s="45" t="s">
        <v>83</v>
      </c>
      <c r="B222" s="46" t="str">
        <f aca="false" t="array" ref="B222:B222">IF(A222="","",IFERROR(INDEX('CLM &amp; IM Mapping'!$B$2:$B$270,MATCH(TRIM(A222),'CLM &amp; IM Mapping'!$A$2:$A$270,0)),"Not Mapped"))</f>
        <v>Balaji G</v>
      </c>
      <c r="C222" s="46" t="str">
        <f aca="false" t="array" ref="C222:C222">IF(A222="","",IFERROR(INDEX('CLM &amp; IM Mapping'!$C$2:$C$270,MATCH(TRIM(A222),'CLM &amp; IM Mapping'!$A$2:$A$270,0)),"Not Mapped"))</f>
        <v>Mohammed Akbar</v>
      </c>
      <c r="D222" s="45" t="n">
        <v>5334</v>
      </c>
      <c r="E222" s="45" t="n">
        <v>5120</v>
      </c>
      <c r="F222" s="45" t="n">
        <v>0</v>
      </c>
      <c r="G222" s="45" t="n">
        <v>0</v>
      </c>
      <c r="H222" s="45" t="n">
        <v>214</v>
      </c>
      <c r="I222" s="45" t="n">
        <v>0</v>
      </c>
      <c r="J222" s="45" t="n">
        <v>0</v>
      </c>
      <c r="K222" s="45" t="n">
        <v>214</v>
      </c>
      <c r="L222" s="47"/>
      <c r="M222" s="46"/>
      <c r="N222" s="46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 customFormat="false" ht="15.75" hidden="false" customHeight="true" outlineLevel="0" collapsed="false">
      <c r="A223" s="45" t="s">
        <v>144</v>
      </c>
      <c r="B223" s="46" t="str">
        <f aca="false" t="array" ref="B223:B223">IF(A223="","",IFERROR(INDEX('CLM &amp; IM Mapping'!$B$2:$B$270,MATCH(TRIM(A223),'CLM &amp; IM Mapping'!$A$2:$A$270,0)),"Not Mapped"))</f>
        <v>Bangareppa CS</v>
      </c>
      <c r="C223" s="46" t="str">
        <f aca="false" t="array" ref="C223:C223">IF(A223="","",IFERROR(INDEX('CLM &amp; IM Mapping'!$C$2:$C$270,MATCH(TRIM(A223),'CLM &amp; IM Mapping'!$A$2:$A$270,0)),"Not Mapped"))</f>
        <v>Kishor K</v>
      </c>
      <c r="D223" s="45" t="n">
        <v>787</v>
      </c>
      <c r="E223" s="45" t="n">
        <v>8</v>
      </c>
      <c r="F223" s="45" t="n">
        <v>779</v>
      </c>
      <c r="G223" s="45" t="n">
        <v>0</v>
      </c>
      <c r="H223" s="45" t="n">
        <v>0</v>
      </c>
      <c r="I223" s="45" t="n">
        <v>0</v>
      </c>
      <c r="J223" s="45" t="n">
        <v>0</v>
      </c>
      <c r="K223" s="45" t="n">
        <v>0</v>
      </c>
      <c r="L223" s="47"/>
      <c r="M223" s="46"/>
      <c r="N223" s="46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 customFormat="false" ht="15.75" hidden="false" customHeight="true" outlineLevel="0" collapsed="false">
      <c r="A224" s="45" t="s">
        <v>100</v>
      </c>
      <c r="B224" s="46" t="str">
        <f aca="false" t="array" ref="B224:B224">IF(A224="","",IFERROR(INDEX('CLM &amp; IM Mapping'!$B$2:$B$270,MATCH(TRIM(A224),'CLM &amp; IM Mapping'!$A$2:$A$270,0)),"Not Mapped"))</f>
        <v>Bangareppa CS</v>
      </c>
      <c r="C224" s="46" t="str">
        <f aca="false" t="array" ref="C224:C224">IF(A224="","",IFERROR(INDEX('CLM &amp; IM Mapping'!$C$2:$C$270,MATCH(TRIM(A224),'CLM &amp; IM Mapping'!$A$2:$A$270,0)),"Not Mapped"))</f>
        <v>Kishor K</v>
      </c>
      <c r="D224" s="45" t="n">
        <v>20</v>
      </c>
      <c r="E224" s="45" t="n">
        <v>0</v>
      </c>
      <c r="F224" s="45" t="n">
        <v>20</v>
      </c>
      <c r="G224" s="45" t="n">
        <v>0</v>
      </c>
      <c r="H224" s="45" t="n">
        <v>0</v>
      </c>
      <c r="I224" s="45" t="n">
        <v>0</v>
      </c>
      <c r="J224" s="45" t="n">
        <v>0</v>
      </c>
      <c r="K224" s="45" t="n">
        <v>0</v>
      </c>
      <c r="L224" s="47"/>
      <c r="M224" s="46"/>
      <c r="N224" s="46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 customFormat="false" ht="15.75" hidden="false" customHeight="true" outlineLevel="0" collapsed="false">
      <c r="A225" s="45" t="s">
        <v>258</v>
      </c>
      <c r="B225" s="46" t="str">
        <f aca="false" t="array" ref="B225:B225">IF(A225="","",IFERROR(INDEX('CLM &amp; IM Mapping'!$B$2:$B$270,MATCH(TRIM(A225),'CLM &amp; IM Mapping'!$A$2:$A$270,0)),"Not Mapped"))</f>
        <v>Bangareppa CS</v>
      </c>
      <c r="C225" s="46" t="str">
        <f aca="false" t="array" ref="C225:C225">IF(A225="","",IFERROR(INDEX('CLM &amp; IM Mapping'!$C$2:$C$270,MATCH(TRIM(A225),'CLM &amp; IM Mapping'!$A$2:$A$270,0)),"Not Mapped"))</f>
        <v>Kishor K</v>
      </c>
      <c r="D225" s="45" t="n">
        <v>167</v>
      </c>
      <c r="E225" s="45" t="n">
        <v>0</v>
      </c>
      <c r="F225" s="45" t="n">
        <v>167</v>
      </c>
      <c r="G225" s="45" t="n">
        <v>0</v>
      </c>
      <c r="H225" s="45" t="n">
        <v>0</v>
      </c>
      <c r="I225" s="45" t="n">
        <v>0</v>
      </c>
      <c r="J225" s="45" t="n">
        <v>0</v>
      </c>
      <c r="K225" s="45" t="n">
        <v>0</v>
      </c>
      <c r="L225" s="47"/>
      <c r="M225" s="46"/>
      <c r="N225" s="46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 customFormat="false" ht="15.75" hidden="false" customHeight="true" outlineLevel="0" collapsed="false">
      <c r="A226" s="45" t="s">
        <v>237</v>
      </c>
      <c r="B226" s="46" t="str">
        <f aca="false" t="array" ref="B226:B226">IF(A226="","",IFERROR(INDEX('CLM &amp; IM Mapping'!$B$2:$B$270,MATCH(TRIM(A226),'CLM &amp; IM Mapping'!$A$2:$A$270,0)),"Not Mapped"))</f>
        <v>Bangareppa CS</v>
      </c>
      <c r="C226" s="46" t="str">
        <f aca="false" t="array" ref="C226:C226">IF(A226="","",IFERROR(INDEX('CLM &amp; IM Mapping'!$C$2:$C$270,MATCH(TRIM(A226),'CLM &amp; IM Mapping'!$A$2:$A$270,0)),"Not Mapped"))</f>
        <v>Kishor K</v>
      </c>
      <c r="D226" s="45" t="n">
        <v>0</v>
      </c>
      <c r="E226" s="45" t="n">
        <v>0</v>
      </c>
      <c r="F226" s="45" t="n">
        <v>0</v>
      </c>
      <c r="G226" s="45" t="n">
        <v>0</v>
      </c>
      <c r="H226" s="45" t="n">
        <v>0</v>
      </c>
      <c r="I226" s="45" t="n">
        <v>0</v>
      </c>
      <c r="J226" s="45" t="n">
        <v>0</v>
      </c>
      <c r="K226" s="45" t="n">
        <v>0</v>
      </c>
      <c r="L226" s="47"/>
      <c r="M226" s="46"/>
      <c r="N226" s="46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 customFormat="false" ht="15.75" hidden="false" customHeight="true" outlineLevel="0" collapsed="false">
      <c r="A227" s="45" t="s">
        <v>255</v>
      </c>
      <c r="B227" s="46" t="str">
        <f aca="false" t="array" ref="B227:B227">IF(A227="","",IFERROR(INDEX('CLM &amp; IM Mapping'!$B$2:$B$270,MATCH(TRIM(A227),'CLM &amp; IM Mapping'!$A$2:$A$270,0)),"Not Mapped"))</f>
        <v>Vishnu V</v>
      </c>
      <c r="C227" s="46" t="str">
        <f aca="false" t="array" ref="C227:C227">IF(A227="","",IFERROR(INDEX('CLM &amp; IM Mapping'!$C$2:$C$270,MATCH(TRIM(A227),'CLM &amp; IM Mapping'!$A$2:$A$270,0)),"Not Mapped"))</f>
        <v>Arivind S</v>
      </c>
      <c r="D227" s="45" t="n">
        <v>3599</v>
      </c>
      <c r="E227" s="45" t="n">
        <v>3562</v>
      </c>
      <c r="F227" s="45" t="n">
        <v>37</v>
      </c>
      <c r="G227" s="45" t="n">
        <v>0</v>
      </c>
      <c r="H227" s="45" t="n">
        <v>0</v>
      </c>
      <c r="I227" s="45" t="n">
        <v>0</v>
      </c>
      <c r="J227" s="45" t="n">
        <v>0</v>
      </c>
      <c r="K227" s="45" t="n">
        <v>0</v>
      </c>
      <c r="L227" s="47"/>
      <c r="M227" s="46"/>
      <c r="N227" s="46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 customFormat="false" ht="15.75" hidden="false" customHeight="true" outlineLevel="0" collapsed="false">
      <c r="A228" s="45" t="s">
        <v>263</v>
      </c>
      <c r="B228" s="46" t="str">
        <f aca="false" t="array" ref="B228:B228">IF(A228="","",IFERROR(INDEX('CLM &amp; IM Mapping'!$B$2:$B$270,MATCH(TRIM(A228),'CLM &amp; IM Mapping'!$A$2:$A$270,0)),"Not Mapped"))</f>
        <v>Vishnu V</v>
      </c>
      <c r="C228" s="46" t="str">
        <f aca="false" t="array" ref="C228:C228">IF(A228="","",IFERROR(INDEX('CLM &amp; IM Mapping'!$C$2:$C$270,MATCH(TRIM(A228),'CLM &amp; IM Mapping'!$A$2:$A$270,0)),"Not Mapped"))</f>
        <v>Arivind S</v>
      </c>
      <c r="D228" s="45" t="n">
        <v>2</v>
      </c>
      <c r="E228" s="45" t="n">
        <v>0</v>
      </c>
      <c r="F228" s="45" t="n">
        <v>0</v>
      </c>
      <c r="G228" s="45" t="n">
        <v>2</v>
      </c>
      <c r="H228" s="45" t="n">
        <v>0</v>
      </c>
      <c r="I228" s="45" t="n">
        <v>0</v>
      </c>
      <c r="J228" s="45" t="n">
        <v>0</v>
      </c>
      <c r="K228" s="45" t="n">
        <v>2</v>
      </c>
      <c r="L228" s="47"/>
      <c r="M228" s="46"/>
      <c r="N228" s="46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 customFormat="false" ht="15.75" hidden="false" customHeight="true" outlineLevel="0" collapsed="false">
      <c r="A229" s="45" t="s">
        <v>106</v>
      </c>
      <c r="B229" s="46" t="str">
        <f aca="false" t="array" ref="B229:B229">IF(A229="","",IFERROR(INDEX('CLM &amp; IM Mapping'!$B$2:$B$270,MATCH(TRIM(A229),'CLM &amp; IM Mapping'!$A$2:$A$270,0)),"Not Mapped"))</f>
        <v>Vishnu V</v>
      </c>
      <c r="C229" s="46" t="str">
        <f aca="false" t="array" ref="C229:C229">IF(A229="","",IFERROR(INDEX('CLM &amp; IM Mapping'!$C$2:$C$270,MATCH(TRIM(A229),'CLM &amp; IM Mapping'!$A$2:$A$270,0)),"Not Mapped"))</f>
        <v>Arivind S</v>
      </c>
      <c r="D229" s="45" t="n">
        <v>0</v>
      </c>
      <c r="E229" s="45" t="n">
        <v>0</v>
      </c>
      <c r="F229" s="45" t="n">
        <v>0</v>
      </c>
      <c r="G229" s="45" t="n">
        <v>0</v>
      </c>
      <c r="H229" s="45" t="n">
        <v>0</v>
      </c>
      <c r="I229" s="45" t="n">
        <v>0</v>
      </c>
      <c r="J229" s="45" t="n">
        <v>0</v>
      </c>
      <c r="K229" s="45" t="n">
        <v>0</v>
      </c>
      <c r="L229" s="47"/>
      <c r="M229" s="46"/>
      <c r="N229" s="46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 customFormat="false" ht="15.75" hidden="false" customHeight="true" outlineLevel="0" collapsed="false">
      <c r="A230" s="45" t="s">
        <v>105</v>
      </c>
      <c r="B230" s="46" t="str">
        <f aca="false" t="array" ref="B230:B230">IF(A230="","",IFERROR(INDEX('CLM &amp; IM Mapping'!$B$2:$B$270,MATCH(TRIM(A230),'CLM &amp; IM Mapping'!$A$2:$A$270,0)),"Not Mapped"))</f>
        <v>Vishnu V</v>
      </c>
      <c r="C230" s="46" t="str">
        <f aca="false" t="array" ref="C230:C230">IF(A230="","",IFERROR(INDEX('CLM &amp; IM Mapping'!$C$2:$C$270,MATCH(TRIM(A230),'CLM &amp; IM Mapping'!$A$2:$A$270,0)),"Not Mapped"))</f>
        <v>Arivind S</v>
      </c>
      <c r="D230" s="45" t="n">
        <v>2926</v>
      </c>
      <c r="E230" s="45" t="n">
        <v>0</v>
      </c>
      <c r="F230" s="45" t="n">
        <v>2925</v>
      </c>
      <c r="G230" s="45" t="n">
        <v>0</v>
      </c>
      <c r="H230" s="45" t="n">
        <v>0</v>
      </c>
      <c r="I230" s="45" t="n">
        <v>1</v>
      </c>
      <c r="J230" s="45" t="n">
        <v>0</v>
      </c>
      <c r="K230" s="45" t="n">
        <v>1</v>
      </c>
      <c r="L230" s="47"/>
      <c r="M230" s="46"/>
      <c r="N230" s="46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 customFormat="false" ht="15.75" hidden="false" customHeight="true" outlineLevel="0" collapsed="false">
      <c r="A231" s="46" t="s">
        <v>231</v>
      </c>
      <c r="B231" s="46" t="str">
        <f aca="false" t="array" ref="B231:B231">IF(A231="","",IFERROR(INDEX('CLM &amp; IM Mapping'!$B$2:$B$270,MATCH(TRIM(A231),'CLM &amp; IM Mapping'!$A$2:$A$270,0)),"Not Mapped"))</f>
        <v>Vishnu V</v>
      </c>
      <c r="C231" s="46" t="str">
        <f aca="false" t="array" ref="C231:C231">IF(A231="","",IFERROR(INDEX('CLM &amp; IM Mapping'!$C$2:$C$270,MATCH(TRIM(A231),'CLM &amp; IM Mapping'!$A$2:$A$270,0)),"Not Mapped"))</f>
        <v>Arivind S</v>
      </c>
      <c r="D231" s="45" t="n">
        <v>0</v>
      </c>
      <c r="E231" s="45" t="n">
        <v>0</v>
      </c>
      <c r="F231" s="45" t="n">
        <v>0</v>
      </c>
      <c r="G231" s="45" t="n">
        <v>0</v>
      </c>
      <c r="H231" s="45" t="n">
        <v>0</v>
      </c>
      <c r="I231" s="45" t="n">
        <v>0</v>
      </c>
      <c r="J231" s="45" t="n">
        <v>0</v>
      </c>
      <c r="K231" s="45" t="n">
        <v>0</v>
      </c>
      <c r="L231" s="47"/>
      <c r="M231" s="46"/>
      <c r="N231" s="46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 customFormat="false" ht="15.75" hidden="false" customHeight="true" outlineLevel="0" collapsed="false">
      <c r="A232" s="45" t="s">
        <v>216</v>
      </c>
      <c r="B232" s="46" t="str">
        <f aca="false" t="array" ref="B232:B232">IF(A232="","",IFERROR(INDEX('CLM &amp; IM Mapping'!$B$2:$B$270,MATCH(TRIM(A232),'CLM &amp; IM Mapping'!$A$2:$A$270,0)),"Not Mapped"))</f>
        <v>Vishnu V</v>
      </c>
      <c r="C232" s="46" t="str">
        <f aca="false" t="array" ref="C232:C232">IF(A232="","",IFERROR(INDEX('CLM &amp; IM Mapping'!$C$2:$C$270,MATCH(TRIM(A232),'CLM &amp; IM Mapping'!$A$2:$A$270,0)),"Not Mapped"))</f>
        <v>Arivind S</v>
      </c>
      <c r="D232" s="45" t="n">
        <v>1554</v>
      </c>
      <c r="E232" s="45" t="n">
        <v>0</v>
      </c>
      <c r="F232" s="45" t="n">
        <v>0</v>
      </c>
      <c r="G232" s="45" t="n">
        <v>1554</v>
      </c>
      <c r="H232" s="45" t="n">
        <v>0</v>
      </c>
      <c r="I232" s="45" t="n">
        <v>0</v>
      </c>
      <c r="J232" s="45" t="n">
        <v>0</v>
      </c>
      <c r="K232" s="45" t="n">
        <v>1554</v>
      </c>
      <c r="L232" s="47"/>
      <c r="M232" s="46"/>
      <c r="N232" s="46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 customFormat="false" ht="15.75" hidden="false" customHeight="true" outlineLevel="0" collapsed="false">
      <c r="A233" s="45" t="s">
        <v>129</v>
      </c>
      <c r="B233" s="46" t="str">
        <f aca="false" t="array" ref="B233:B233">IF(A233="","",IFERROR(INDEX('CLM &amp; IM Mapping'!$B$2:$B$270,MATCH(TRIM(A233),'CLM &amp; IM Mapping'!$A$2:$A$270,0)),"Not Mapped"))</f>
        <v>Vishnu V</v>
      </c>
      <c r="C233" s="46" t="str">
        <f aca="false" t="array" ref="C233:C233">IF(A233="","",IFERROR(INDEX('CLM &amp; IM Mapping'!$C$2:$C$270,MATCH(TRIM(A233),'CLM &amp; IM Mapping'!$A$2:$A$270,0)),"Not Mapped"))</f>
        <v>Arivind S</v>
      </c>
      <c r="D233" s="45" t="n">
        <v>0</v>
      </c>
      <c r="E233" s="45" t="n">
        <v>0</v>
      </c>
      <c r="F233" s="45" t="n">
        <v>0</v>
      </c>
      <c r="G233" s="45" t="n">
        <v>0</v>
      </c>
      <c r="H233" s="45" t="n">
        <v>0</v>
      </c>
      <c r="I233" s="45" t="n">
        <v>0</v>
      </c>
      <c r="J233" s="45" t="n">
        <v>0</v>
      </c>
      <c r="K233" s="45" t="n">
        <v>0</v>
      </c>
      <c r="L233" s="47"/>
      <c r="M233" s="46"/>
      <c r="N233" s="46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 customFormat="false" ht="15.75" hidden="false" customHeight="true" outlineLevel="0" collapsed="false">
      <c r="A234" s="45" t="s">
        <v>158</v>
      </c>
      <c r="B234" s="46" t="str">
        <f aca="false" t="array" ref="B234:B234">IF(A234="","",IFERROR(INDEX('CLM &amp; IM Mapping'!$B$2:$B$270,MATCH(TRIM(A234),'CLM &amp; IM Mapping'!$A$2:$A$270,0)),"Not Mapped"))</f>
        <v>Vishnu V</v>
      </c>
      <c r="C234" s="46" t="str">
        <f aca="false" t="array" ref="C234:C234">IF(A234="","",IFERROR(INDEX('CLM &amp; IM Mapping'!$C$2:$C$270,MATCH(TRIM(A234),'CLM &amp; IM Mapping'!$A$2:$A$270,0)),"Not Mapped"))</f>
        <v>Arivind S</v>
      </c>
      <c r="D234" s="45" t="n">
        <v>707</v>
      </c>
      <c r="E234" s="45" t="n">
        <v>0</v>
      </c>
      <c r="F234" s="45" t="n">
        <v>707</v>
      </c>
      <c r="G234" s="45" t="n">
        <v>0</v>
      </c>
      <c r="H234" s="45" t="n">
        <v>0</v>
      </c>
      <c r="I234" s="45" t="n">
        <v>0</v>
      </c>
      <c r="J234" s="45" t="n">
        <v>0</v>
      </c>
      <c r="K234" s="45" t="n">
        <v>0</v>
      </c>
      <c r="L234" s="47"/>
      <c r="M234" s="46"/>
      <c r="N234" s="46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 customFormat="false" ht="15.75" hidden="false" customHeight="true" outlineLevel="0" collapsed="false">
      <c r="A235" s="45" t="s">
        <v>219</v>
      </c>
      <c r="B235" s="46" t="str">
        <f aca="false" t="array" ref="B235:B235">IF(A235="","",IFERROR(INDEX('CLM &amp; IM Mapping'!$B$2:$B$270,MATCH(TRIM(A235),'CLM &amp; IM Mapping'!$A$2:$A$270,0)),"Not Mapped"))</f>
        <v>Vishnu V</v>
      </c>
      <c r="C235" s="46" t="str">
        <f aca="false" t="array" ref="C235:C235">IF(A235="","",IFERROR(INDEX('CLM &amp; IM Mapping'!$C$2:$C$270,MATCH(TRIM(A235),'CLM &amp; IM Mapping'!$A$2:$A$270,0)),"Not Mapped"))</f>
        <v>Arivind S</v>
      </c>
      <c r="D235" s="45" t="n">
        <v>0</v>
      </c>
      <c r="E235" s="45" t="n">
        <v>0</v>
      </c>
      <c r="F235" s="45" t="n">
        <v>0</v>
      </c>
      <c r="G235" s="45" t="n">
        <v>0</v>
      </c>
      <c r="H235" s="45" t="n">
        <v>0</v>
      </c>
      <c r="I235" s="45" t="n">
        <v>0</v>
      </c>
      <c r="J235" s="45" t="n">
        <v>0</v>
      </c>
      <c r="K235" s="45" t="n">
        <v>0</v>
      </c>
      <c r="L235" s="47"/>
      <c r="M235" s="46"/>
      <c r="N235" s="46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 customFormat="false" ht="15.75" hidden="false" customHeight="true" outlineLevel="0" collapsed="false">
      <c r="A236" s="45" t="s">
        <v>119</v>
      </c>
      <c r="B236" s="46" t="str">
        <f aca="false" t="array" ref="B236:B236">IF(A236="","",IFERROR(INDEX('CLM &amp; IM Mapping'!$B$2:$B$270,MATCH(TRIM(A236),'CLM &amp; IM Mapping'!$A$2:$A$270,0)),"Not Mapped"))</f>
        <v>Vishnu V</v>
      </c>
      <c r="C236" s="46" t="str">
        <f aca="false" t="array" ref="C236:C236">IF(A236="","",IFERROR(INDEX('CLM &amp; IM Mapping'!$C$2:$C$270,MATCH(TRIM(A236),'CLM &amp; IM Mapping'!$A$2:$A$270,0)),"Not Mapped"))</f>
        <v>Arivind S</v>
      </c>
      <c r="D236" s="45" t="n">
        <v>849</v>
      </c>
      <c r="E236" s="45" t="n">
        <v>0</v>
      </c>
      <c r="F236" s="45" t="n">
        <v>849</v>
      </c>
      <c r="G236" s="45" t="n">
        <v>0</v>
      </c>
      <c r="H236" s="45" t="n">
        <v>0</v>
      </c>
      <c r="I236" s="45" t="n">
        <v>0</v>
      </c>
      <c r="J236" s="45" t="n">
        <v>0</v>
      </c>
      <c r="K236" s="45" t="n">
        <v>0</v>
      </c>
      <c r="L236" s="47"/>
      <c r="M236" s="46"/>
      <c r="N236" s="46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 customFormat="false" ht="15.75" hidden="false" customHeight="true" outlineLevel="0" collapsed="false">
      <c r="A237" s="45" t="s">
        <v>257</v>
      </c>
      <c r="B237" s="46" t="str">
        <f aca="false" t="array" ref="B237:B237">IF(A237="","",IFERROR(INDEX('CLM &amp; IM Mapping'!$B$2:$B$270,MATCH(TRIM(A237),'CLM &amp; IM Mapping'!$A$2:$A$270,0)),"Not Mapped"))</f>
        <v>Vishnu V</v>
      </c>
      <c r="C237" s="46" t="str">
        <f aca="false" t="array" ref="C237:C237">IF(A237="","",IFERROR(INDEX('CLM &amp; IM Mapping'!$C$2:$C$270,MATCH(TRIM(A237),'CLM &amp; IM Mapping'!$A$2:$A$270,0)),"Not Mapped"))</f>
        <v>Arivind S</v>
      </c>
      <c r="D237" s="45" t="n">
        <v>1212</v>
      </c>
      <c r="E237" s="45" t="n">
        <v>0</v>
      </c>
      <c r="F237" s="45" t="n">
        <v>0</v>
      </c>
      <c r="G237" s="45" t="n">
        <v>1212</v>
      </c>
      <c r="H237" s="45" t="n">
        <v>0</v>
      </c>
      <c r="I237" s="45" t="n">
        <v>0</v>
      </c>
      <c r="J237" s="45" t="n">
        <v>0</v>
      </c>
      <c r="K237" s="45" t="n">
        <v>1212</v>
      </c>
      <c r="L237" s="47"/>
      <c r="M237" s="46"/>
      <c r="N237" s="46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 customFormat="false" ht="15.75" hidden="false" customHeight="true" outlineLevel="0" collapsed="false">
      <c r="A238" s="45" t="s">
        <v>173</v>
      </c>
      <c r="B238" s="46" t="str">
        <f aca="false" t="array" ref="B238:B238">IF(A238="","",IFERROR(INDEX('CLM &amp; IM Mapping'!$B$2:$B$270,MATCH(TRIM(A238),'CLM &amp; IM Mapping'!$A$2:$A$270,0)),"Not Mapped"))</f>
        <v>Vishnu V</v>
      </c>
      <c r="C238" s="46" t="str">
        <f aca="false" t="array" ref="C238:C238">IF(A238="","",IFERROR(INDEX('CLM &amp; IM Mapping'!$C$2:$C$270,MATCH(TRIM(A238),'CLM &amp; IM Mapping'!$A$2:$A$270,0)),"Not Mapped"))</f>
        <v>Arivind S</v>
      </c>
      <c r="D238" s="45" t="n">
        <v>3</v>
      </c>
      <c r="E238" s="45" t="n">
        <v>0</v>
      </c>
      <c r="F238" s="45" t="n">
        <v>0</v>
      </c>
      <c r="G238" s="45" t="n">
        <v>3</v>
      </c>
      <c r="H238" s="45" t="n">
        <v>0</v>
      </c>
      <c r="I238" s="45" t="n">
        <v>0</v>
      </c>
      <c r="J238" s="45" t="n">
        <v>0</v>
      </c>
      <c r="K238" s="45" t="n">
        <v>3</v>
      </c>
      <c r="L238" s="47"/>
      <c r="M238" s="46"/>
      <c r="N238" s="46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 customFormat="false" ht="15.75" hidden="false" customHeight="true" outlineLevel="0" collapsed="false">
      <c r="A239" s="45" t="s">
        <v>153</v>
      </c>
      <c r="B239" s="46" t="str">
        <f aca="false" t="array" ref="B239:B239">IF(A239="","",IFERROR(INDEX('CLM &amp; IM Mapping'!$B$2:$B$270,MATCH(TRIM(A239),'CLM &amp; IM Mapping'!$A$2:$A$270,0)),"Not Mapped"))</f>
        <v>Vishnu V</v>
      </c>
      <c r="C239" s="46" t="str">
        <f aca="false" t="array" ref="C239:C239">IF(A239="","",IFERROR(INDEX('CLM &amp; IM Mapping'!$C$2:$C$270,MATCH(TRIM(A239),'CLM &amp; IM Mapping'!$A$2:$A$270,0)),"Not Mapped"))</f>
        <v>Arivind S</v>
      </c>
      <c r="D239" s="45" t="n">
        <v>1021</v>
      </c>
      <c r="E239" s="45" t="n">
        <v>157</v>
      </c>
      <c r="F239" s="45" t="n">
        <v>1</v>
      </c>
      <c r="G239" s="45" t="n">
        <v>863</v>
      </c>
      <c r="H239" s="45" t="n">
        <v>0</v>
      </c>
      <c r="I239" s="45" t="n">
        <v>0</v>
      </c>
      <c r="J239" s="45" t="n">
        <v>0</v>
      </c>
      <c r="K239" s="45" t="n">
        <v>863</v>
      </c>
      <c r="L239" s="47"/>
      <c r="M239" s="46"/>
      <c r="N239" s="46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 customFormat="false" ht="15.75" hidden="false" customHeight="true" outlineLevel="0" collapsed="false">
      <c r="A240" s="45" t="s">
        <v>192</v>
      </c>
      <c r="B240" s="46" t="str">
        <f aca="false" t="array" ref="B240:B240">IF(A240="","",IFERROR(INDEX('CLM &amp; IM Mapping'!$B$2:$B$270,MATCH(TRIM(A240),'CLM &amp; IM Mapping'!$A$2:$A$270,0)),"Not Mapped"))</f>
        <v>Vishnu V</v>
      </c>
      <c r="C240" s="46" t="str">
        <f aca="false" t="array" ref="C240:C240">IF(A240="","",IFERROR(INDEX('CLM &amp; IM Mapping'!$C$2:$C$270,MATCH(TRIM(A240),'CLM &amp; IM Mapping'!$A$2:$A$270,0)),"Not Mapped"))</f>
        <v>Arivind S</v>
      </c>
      <c r="D240" s="45" t="n">
        <v>47</v>
      </c>
      <c r="E240" s="45" t="n">
        <v>0</v>
      </c>
      <c r="F240" s="45" t="n">
        <v>0</v>
      </c>
      <c r="G240" s="45" t="n">
        <v>0</v>
      </c>
      <c r="H240" s="45" t="n">
        <v>0</v>
      </c>
      <c r="I240" s="45" t="n">
        <v>0</v>
      </c>
      <c r="J240" s="45" t="n">
        <v>47</v>
      </c>
      <c r="K240" s="45" t="n">
        <v>47</v>
      </c>
      <c r="L240" s="47"/>
      <c r="M240" s="46"/>
      <c r="N240" s="46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 customFormat="false" ht="15.75" hidden="false" customHeight="true" outlineLevel="0" collapsed="false">
      <c r="A241" s="45" t="s">
        <v>280</v>
      </c>
      <c r="B241" s="46" t="str">
        <f aca="false" t="array" ref="B241:B241">IF(A241="","",IFERROR(INDEX('CLM &amp; IM Mapping'!$B$2:$B$270,MATCH(TRIM(A241),'CLM &amp; IM Mapping'!$A$2:$A$270,0)),"Not Mapped"))</f>
        <v>Santhosha M</v>
      </c>
      <c r="C241" s="46" t="str">
        <f aca="false" t="array" ref="C241:C241">IF(A241="","",IFERROR(INDEX('CLM &amp; IM Mapping'!$C$2:$C$270,MATCH(TRIM(A241),'CLM &amp; IM Mapping'!$A$2:$A$270,0)),"Not Mapped"))</f>
        <v>Aravind S</v>
      </c>
      <c r="D241" s="45" t="n">
        <v>0</v>
      </c>
      <c r="E241" s="45" t="n">
        <v>0</v>
      </c>
      <c r="F241" s="45" t="n">
        <v>0</v>
      </c>
      <c r="G241" s="45" t="n">
        <v>0</v>
      </c>
      <c r="H241" s="45" t="n">
        <v>0</v>
      </c>
      <c r="I241" s="45" t="n">
        <v>0</v>
      </c>
      <c r="J241" s="45" t="n">
        <v>0</v>
      </c>
      <c r="K241" s="45" t="n">
        <v>0</v>
      </c>
      <c r="L241" s="47"/>
      <c r="M241" s="46"/>
      <c r="N241" s="46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 customFormat="false" ht="15.75" hidden="false" customHeight="true" outlineLevel="0" collapsed="false">
      <c r="A242" s="45" t="s">
        <v>224</v>
      </c>
      <c r="B242" s="46" t="str">
        <f aca="false" t="array" ref="B242:B242">IF(A242="","",IFERROR(INDEX('CLM &amp; IM Mapping'!$B$2:$B$270,MATCH(TRIM(A242),'CLM &amp; IM Mapping'!$A$2:$A$270,0)),"Not Mapped"))</f>
        <v>Santhosha M</v>
      </c>
      <c r="C242" s="46" t="str">
        <f aca="false" t="array" ref="C242:C242">IF(A242="","",IFERROR(INDEX('CLM &amp; IM Mapping'!$C$2:$C$270,MATCH(TRIM(A242),'CLM &amp; IM Mapping'!$A$2:$A$270,0)),"Not Mapped"))</f>
        <v>Aravind S</v>
      </c>
      <c r="D242" s="45" t="n">
        <v>429</v>
      </c>
      <c r="E242" s="45" t="n">
        <v>429</v>
      </c>
      <c r="F242" s="45" t="n">
        <v>0</v>
      </c>
      <c r="G242" s="45" t="n">
        <v>0</v>
      </c>
      <c r="H242" s="45" t="n">
        <v>0</v>
      </c>
      <c r="I242" s="45" t="n">
        <v>0</v>
      </c>
      <c r="J242" s="45" t="n">
        <v>0</v>
      </c>
      <c r="K242" s="45" t="n">
        <v>0</v>
      </c>
      <c r="L242" s="47"/>
      <c r="M242" s="46"/>
      <c r="N242" s="46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 customFormat="false" ht="15.75" hidden="false" customHeight="true" outlineLevel="0" collapsed="false">
      <c r="A243" s="45" t="s">
        <v>159</v>
      </c>
      <c r="B243" s="46" t="str">
        <f aca="false" t="array" ref="B243:B243">IF(A243="","",IFERROR(INDEX('CLM &amp; IM Mapping'!$B$2:$B$270,MATCH(TRIM(A243),'CLM &amp; IM Mapping'!$A$2:$A$270,0)),"Not Mapped"))</f>
        <v>Santhosha M</v>
      </c>
      <c r="C243" s="46" t="str">
        <f aca="false" t="array" ref="C243:C243">IF(A243="","",IFERROR(INDEX('CLM &amp; IM Mapping'!$C$2:$C$270,MATCH(TRIM(A243),'CLM &amp; IM Mapping'!$A$2:$A$270,0)),"Not Mapped"))</f>
        <v>Aravind S</v>
      </c>
      <c r="D243" s="45" t="n">
        <v>3096</v>
      </c>
      <c r="E243" s="45" t="n">
        <v>3096</v>
      </c>
      <c r="F243" s="45" t="n">
        <v>0</v>
      </c>
      <c r="G243" s="45" t="n">
        <v>0</v>
      </c>
      <c r="H243" s="45" t="n">
        <v>0</v>
      </c>
      <c r="I243" s="45" t="n">
        <v>0</v>
      </c>
      <c r="J243" s="45" t="n">
        <v>0</v>
      </c>
      <c r="K243" s="45" t="n">
        <v>0</v>
      </c>
      <c r="L243" s="47"/>
      <c r="M243" s="46"/>
      <c r="N243" s="46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 customFormat="false" ht="15.75" hidden="false" customHeight="true" outlineLevel="0" collapsed="false">
      <c r="A244" s="45" t="s">
        <v>244</v>
      </c>
      <c r="B244" s="46" t="str">
        <f aca="false" t="array" ref="B244:B244">IF(A244="","",IFERROR(INDEX('CLM &amp; IM Mapping'!$B$2:$B$270,MATCH(TRIM(A244),'CLM &amp; IM Mapping'!$A$2:$A$270,0)),"Not Mapped"))</f>
        <v>Santhosha M</v>
      </c>
      <c r="C244" s="46" t="str">
        <f aca="false" t="array" ref="C244:C244">IF(A244="","",IFERROR(INDEX('CLM &amp; IM Mapping'!$C$2:$C$270,MATCH(TRIM(A244),'CLM &amp; IM Mapping'!$A$2:$A$270,0)),"Not Mapped"))</f>
        <v>Aravind S</v>
      </c>
      <c r="D244" s="45" t="n">
        <v>0</v>
      </c>
      <c r="E244" s="45" t="n">
        <v>0</v>
      </c>
      <c r="F244" s="45" t="n">
        <v>0</v>
      </c>
      <c r="G244" s="45" t="n">
        <v>0</v>
      </c>
      <c r="H244" s="45" t="n">
        <v>0</v>
      </c>
      <c r="I244" s="45" t="n">
        <v>0</v>
      </c>
      <c r="J244" s="45" t="n">
        <v>0</v>
      </c>
      <c r="K244" s="45" t="n">
        <v>0</v>
      </c>
      <c r="L244" s="47"/>
      <c r="M244" s="46"/>
      <c r="N244" s="46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 customFormat="false" ht="15.75" hidden="false" customHeight="true" outlineLevel="0" collapsed="false">
      <c r="A245" s="45" t="s">
        <v>178</v>
      </c>
      <c r="B245" s="46" t="str">
        <f aca="false" t="array" ref="B245:B245">IF(A245="","",IFERROR(INDEX('CLM &amp; IM Mapping'!$B$2:$B$270,MATCH(TRIM(A245),'CLM &amp; IM Mapping'!$A$2:$A$270,0)),"Not Mapped"))</f>
        <v>Santhosha M</v>
      </c>
      <c r="C245" s="46" t="str">
        <f aca="false" t="array" ref="C245:C245">IF(A245="","",IFERROR(INDEX('CLM &amp; IM Mapping'!$C$2:$C$270,MATCH(TRIM(A245),'CLM &amp; IM Mapping'!$A$2:$A$270,0)),"Not Mapped"))</f>
        <v>Aravind S</v>
      </c>
      <c r="D245" s="45" t="n">
        <v>3805</v>
      </c>
      <c r="E245" s="45" t="n">
        <v>887</v>
      </c>
      <c r="F245" s="45" t="n">
        <v>2918</v>
      </c>
      <c r="G245" s="45" t="n">
        <v>0</v>
      </c>
      <c r="H245" s="45" t="n">
        <v>0</v>
      </c>
      <c r="I245" s="45" t="n">
        <v>0</v>
      </c>
      <c r="J245" s="45" t="n">
        <v>0</v>
      </c>
      <c r="K245" s="45" t="n">
        <v>0</v>
      </c>
      <c r="L245" s="47"/>
      <c r="M245" s="46"/>
      <c r="N245" s="46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 customFormat="false" ht="15.75" hidden="false" customHeight="true" outlineLevel="0" collapsed="false">
      <c r="A246" s="45" t="s">
        <v>273</v>
      </c>
      <c r="B246" s="46" t="str">
        <f aca="false" t="array" ref="B246:B246">IF(A246="","",IFERROR(INDEX('CLM &amp; IM Mapping'!$B$2:$B$270,MATCH(TRIM(A246),'CLM &amp; IM Mapping'!$A$2:$A$270,0)),"Not Mapped"))</f>
        <v>Santhosha M</v>
      </c>
      <c r="C246" s="46" t="str">
        <f aca="false" t="array" ref="C246:C246">IF(A246="","",IFERROR(INDEX('CLM &amp; IM Mapping'!$C$2:$C$270,MATCH(TRIM(A246),'CLM &amp; IM Mapping'!$A$2:$A$270,0)),"Not Mapped"))</f>
        <v>Aravind S</v>
      </c>
      <c r="D246" s="45" t="n">
        <v>0</v>
      </c>
      <c r="E246" s="45" t="n">
        <v>0</v>
      </c>
      <c r="F246" s="45" t="n">
        <v>0</v>
      </c>
      <c r="G246" s="45" t="n">
        <v>0</v>
      </c>
      <c r="H246" s="45" t="n">
        <v>0</v>
      </c>
      <c r="I246" s="45" t="n">
        <v>0</v>
      </c>
      <c r="J246" s="45" t="n">
        <v>0</v>
      </c>
      <c r="K246" s="45" t="n">
        <v>0</v>
      </c>
      <c r="L246" s="47"/>
      <c r="M246" s="46"/>
      <c r="N246" s="46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 customFormat="false" ht="15.75" hidden="false" customHeight="true" outlineLevel="0" collapsed="false">
      <c r="A247" s="45" t="s">
        <v>227</v>
      </c>
      <c r="B247" s="46" t="str">
        <f aca="false" t="array" ref="B247:B247">IF(A247="","",IFERROR(INDEX('CLM &amp; IM Mapping'!$B$2:$B$270,MATCH(TRIM(A247),'CLM &amp; IM Mapping'!$A$2:$A$270,0)),"Not Mapped"))</f>
        <v>Santhosha M</v>
      </c>
      <c r="C247" s="46" t="str">
        <f aca="false" t="array" ref="C247:C247">IF(A247="","",IFERROR(INDEX('CLM &amp; IM Mapping'!$C$2:$C$270,MATCH(TRIM(A247),'CLM &amp; IM Mapping'!$A$2:$A$270,0)),"Not Mapped"))</f>
        <v>Aravind S</v>
      </c>
      <c r="D247" s="45" t="n">
        <v>1499</v>
      </c>
      <c r="E247" s="45" t="n">
        <v>0</v>
      </c>
      <c r="F247" s="45" t="n">
        <v>1499</v>
      </c>
      <c r="G247" s="45" t="n">
        <v>0</v>
      </c>
      <c r="H247" s="45" t="n">
        <v>0</v>
      </c>
      <c r="I247" s="45" t="n">
        <v>0</v>
      </c>
      <c r="J247" s="45" t="n">
        <v>0</v>
      </c>
      <c r="K247" s="45" t="n">
        <v>0</v>
      </c>
      <c r="L247" s="47"/>
      <c r="M247" s="46"/>
      <c r="N247" s="46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 customFormat="false" ht="15.75" hidden="false" customHeight="true" outlineLevel="0" collapsed="false">
      <c r="A248" s="45" t="s">
        <v>131</v>
      </c>
      <c r="B248" s="46" t="str">
        <f aca="false" t="array" ref="B248:B248">IF(A248="","",IFERROR(INDEX('CLM &amp; IM Mapping'!$B$2:$B$270,MATCH(TRIM(A248),'CLM &amp; IM Mapping'!$A$2:$A$270,0)),"Not Mapped"))</f>
        <v>Santhosha M</v>
      </c>
      <c r="C248" s="46" t="str">
        <f aca="false" t="array" ref="C248:C248">IF(A248="","",IFERROR(INDEX('CLM &amp; IM Mapping'!$C$2:$C$270,MATCH(TRIM(A248),'CLM &amp; IM Mapping'!$A$2:$A$270,0)),"Not Mapped"))</f>
        <v>Aravind S</v>
      </c>
      <c r="D248" s="45" t="n">
        <v>4762</v>
      </c>
      <c r="E248" s="45" t="n">
        <v>4762</v>
      </c>
      <c r="F248" s="45" t="n">
        <v>0</v>
      </c>
      <c r="G248" s="45" t="n">
        <v>0</v>
      </c>
      <c r="H248" s="45" t="n">
        <v>0</v>
      </c>
      <c r="I248" s="45" t="n">
        <v>0</v>
      </c>
      <c r="J248" s="45" t="n">
        <v>0</v>
      </c>
      <c r="K248" s="45" t="n">
        <v>0</v>
      </c>
      <c r="L248" s="47"/>
      <c r="M248" s="46"/>
      <c r="N248" s="46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 customFormat="false" ht="15.75" hidden="false" customHeight="true" outlineLevel="0" collapsed="false">
      <c r="A249" s="45" t="s">
        <v>179</v>
      </c>
      <c r="B249" s="46" t="str">
        <f aca="false" t="array" ref="B249:B249">IF(A249="","",IFERROR(INDEX('CLM &amp; IM Mapping'!$B$2:$B$270,MATCH(TRIM(A249),'CLM &amp; IM Mapping'!$A$2:$A$270,0)),"Not Mapped"))</f>
        <v>Santhosha M</v>
      </c>
      <c r="C249" s="46" t="str">
        <f aca="false" t="array" ref="C249:C249">IF(A249="","",IFERROR(INDEX('CLM &amp; IM Mapping'!$C$2:$C$270,MATCH(TRIM(A249),'CLM &amp; IM Mapping'!$A$2:$A$270,0)),"Not Mapped"))</f>
        <v>Aravind S</v>
      </c>
      <c r="D249" s="45" t="n">
        <v>13</v>
      </c>
      <c r="E249" s="45" t="n">
        <v>0</v>
      </c>
      <c r="F249" s="45" t="n">
        <v>13</v>
      </c>
      <c r="G249" s="45" t="n">
        <v>0</v>
      </c>
      <c r="H249" s="45" t="n">
        <v>0</v>
      </c>
      <c r="I249" s="45" t="n">
        <v>0</v>
      </c>
      <c r="J249" s="45" t="n">
        <v>0</v>
      </c>
      <c r="K249" s="45" t="n">
        <v>0</v>
      </c>
      <c r="L249" s="47"/>
      <c r="M249" s="46"/>
      <c r="N249" s="46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 customFormat="false" ht="15.75" hidden="false" customHeight="true" outlineLevel="0" collapsed="false">
      <c r="A250" s="45" t="s">
        <v>236</v>
      </c>
      <c r="B250" s="46" t="str">
        <f aca="false" t="array" ref="B250:B250">IF(A250="","",IFERROR(INDEX('CLM &amp; IM Mapping'!$B$2:$B$270,MATCH(TRIM(A250),'CLM &amp; IM Mapping'!$A$2:$A$270,0)),"Not Mapped"))</f>
        <v>Vishnu V</v>
      </c>
      <c r="C250" s="46" t="str">
        <f aca="false" t="array" ref="C250:C250">IF(A250="","",IFERROR(INDEX('CLM &amp; IM Mapping'!$C$2:$C$270,MATCH(TRIM(A250),'CLM &amp; IM Mapping'!$A$2:$A$270,0)),"Not Mapped"))</f>
        <v>Arivind S</v>
      </c>
      <c r="D250" s="45" t="n">
        <v>0</v>
      </c>
      <c r="E250" s="45" t="n">
        <v>0</v>
      </c>
      <c r="F250" s="45" t="n">
        <v>0</v>
      </c>
      <c r="G250" s="45" t="n">
        <v>0</v>
      </c>
      <c r="H250" s="45" t="n">
        <v>0</v>
      </c>
      <c r="I250" s="45" t="n">
        <v>0</v>
      </c>
      <c r="J250" s="45" t="n">
        <v>0</v>
      </c>
      <c r="K250" s="45" t="n">
        <v>0</v>
      </c>
      <c r="L250" s="47"/>
      <c r="M250" s="46"/>
      <c r="N250" s="46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 customFormat="false" ht="15.75" hidden="false" customHeight="true" outlineLevel="0" collapsed="false">
      <c r="A251" s="45" t="s">
        <v>222</v>
      </c>
      <c r="B251" s="46" t="str">
        <f aca="false" t="array" ref="B251:B251">IF(A251="","",IFERROR(INDEX('CLM &amp; IM Mapping'!$B$2:$B$270,MATCH(TRIM(A251),'CLM &amp; IM Mapping'!$A$2:$A$270,0)),"Not Mapped"))</f>
        <v>Vishnu V</v>
      </c>
      <c r="C251" s="46" t="str">
        <f aca="false" t="array" ref="C251:C251">IF(A251="","",IFERROR(INDEX('CLM &amp; IM Mapping'!$C$2:$C$270,MATCH(TRIM(A251),'CLM &amp; IM Mapping'!$A$2:$A$270,0)),"Not Mapped"))</f>
        <v>Arivind S</v>
      </c>
      <c r="D251" s="45" t="n">
        <v>1171</v>
      </c>
      <c r="E251" s="45" t="n">
        <v>0</v>
      </c>
      <c r="F251" s="45" t="n">
        <v>0</v>
      </c>
      <c r="G251" s="45" t="n">
        <v>1171</v>
      </c>
      <c r="H251" s="45" t="n">
        <v>0</v>
      </c>
      <c r="I251" s="45" t="n">
        <v>0</v>
      </c>
      <c r="J251" s="45" t="n">
        <v>0</v>
      </c>
      <c r="K251" s="45" t="n">
        <v>1171</v>
      </c>
      <c r="L251" s="47"/>
      <c r="M251" s="46"/>
      <c r="N251" s="46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 customFormat="false" ht="15.75" hidden="false" customHeight="true" outlineLevel="0" collapsed="false">
      <c r="A252" s="45" t="s">
        <v>246</v>
      </c>
      <c r="B252" s="46" t="str">
        <f aca="false" t="array" ref="B252:B252">IF(A252="","",IFERROR(INDEX('CLM &amp; IM Mapping'!$B$2:$B$270,MATCH(TRIM(A252),'CLM &amp; IM Mapping'!$A$2:$A$270,0)),"Not Mapped"))</f>
        <v>Vishnu V</v>
      </c>
      <c r="C252" s="46" t="str">
        <f aca="false" t="array" ref="C252:C252">IF(A252="","",IFERROR(INDEX('CLM &amp; IM Mapping'!$C$2:$C$270,MATCH(TRIM(A252),'CLM &amp; IM Mapping'!$A$2:$A$270,0)),"Not Mapped"))</f>
        <v>Arivind S</v>
      </c>
      <c r="D252" s="45" t="n">
        <v>0</v>
      </c>
      <c r="E252" s="45" t="n">
        <v>0</v>
      </c>
      <c r="F252" s="45" t="n">
        <v>0</v>
      </c>
      <c r="G252" s="45" t="n">
        <v>0</v>
      </c>
      <c r="H252" s="45" t="n">
        <v>0</v>
      </c>
      <c r="I252" s="45" t="n">
        <v>0</v>
      </c>
      <c r="J252" s="45" t="n">
        <v>0</v>
      </c>
      <c r="K252" s="45" t="n">
        <v>0</v>
      </c>
      <c r="L252" s="47"/>
      <c r="M252" s="46"/>
      <c r="N252" s="46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 customFormat="false" ht="15.75" hidden="false" customHeight="true" outlineLevel="0" collapsed="false">
      <c r="A253" s="45" t="s">
        <v>363</v>
      </c>
      <c r="B253" s="46" t="str">
        <f aca="false" t="array" ref="B253:B253">IF(A253="","",IFERROR(INDEX('CLM &amp; IM Mapping'!$B$2:$B$270,MATCH(TRIM(A253),'CLM &amp; IM Mapping'!$A$2:$A$270,0)),"Not Mapped"))</f>
        <v>John Britto</v>
      </c>
      <c r="C253" s="46" t="str">
        <f aca="false" t="array" ref="C253:C253">IF(A253="","",IFERROR(INDEX('CLM &amp; IM Mapping'!$C$2:$C$270,MATCH(TRIM(A253),'CLM &amp; IM Mapping'!$A$2:$A$270,0)),"Not Mapped"))</f>
        <v>Aravind S</v>
      </c>
      <c r="D253" s="45" t="n">
        <v>0</v>
      </c>
      <c r="E253" s="45" t="n">
        <v>0</v>
      </c>
      <c r="F253" s="45" t="n">
        <v>0</v>
      </c>
      <c r="G253" s="45" t="n">
        <v>0</v>
      </c>
      <c r="H253" s="45" t="n">
        <v>0</v>
      </c>
      <c r="I253" s="45" t="n">
        <v>0</v>
      </c>
      <c r="J253" s="45" t="n">
        <v>0</v>
      </c>
      <c r="K253" s="45" t="n">
        <v>0</v>
      </c>
      <c r="L253" s="47"/>
      <c r="M253" s="46"/>
      <c r="N253" s="46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 customFormat="false" ht="15.75" hidden="false" customHeight="true" outlineLevel="0" collapsed="false">
      <c r="A254" s="45" t="s">
        <v>364</v>
      </c>
      <c r="B254" s="46" t="str">
        <f aca="false" t="array" ref="B254:B254">IF(A254="","",IFERROR(INDEX('CLM &amp; IM Mapping'!$B$2:$B$270,MATCH(TRIM(A254),'CLM &amp; IM Mapping'!$A$2:$A$270,0)),"Not Mapped"))</f>
        <v>John Britto</v>
      </c>
      <c r="C254" s="46" t="str">
        <f aca="false" t="array" ref="C254:C254">IF(A254="","",IFERROR(INDEX('CLM &amp; IM Mapping'!$C$2:$C$270,MATCH(TRIM(A254),'CLM &amp; IM Mapping'!$A$2:$A$270,0)),"Not Mapped"))</f>
        <v>Aravind S</v>
      </c>
      <c r="D254" s="45" t="n">
        <v>0</v>
      </c>
      <c r="E254" s="45" t="n">
        <v>0</v>
      </c>
      <c r="F254" s="45" t="n">
        <v>0</v>
      </c>
      <c r="G254" s="45" t="n">
        <v>0</v>
      </c>
      <c r="H254" s="45" t="n">
        <v>0</v>
      </c>
      <c r="I254" s="45" t="n">
        <v>0</v>
      </c>
      <c r="J254" s="45" t="n">
        <v>0</v>
      </c>
      <c r="K254" s="45" t="n">
        <v>0</v>
      </c>
      <c r="L254" s="47"/>
      <c r="M254" s="46"/>
      <c r="N254" s="46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 customFormat="false" ht="15.75" hidden="false" customHeight="true" outlineLevel="0" collapsed="false">
      <c r="A255" s="45" t="s">
        <v>166</v>
      </c>
      <c r="B255" s="46" t="str">
        <f aca="false" t="array" ref="B255:B255">IF(A255="","",IFERROR(INDEX('CLM &amp; IM Mapping'!$B$2:$B$270,MATCH(TRIM(A255),'CLM &amp; IM Mapping'!$A$2:$A$270,0)),"Not Mapped"))</f>
        <v>Akshay P</v>
      </c>
      <c r="C255" s="46" t="str">
        <f aca="false" t="array" ref="C255:C255">IF(A255="","",IFERROR(INDEX('CLM &amp; IM Mapping'!$C$2:$C$270,MATCH(TRIM(A255),'CLM &amp; IM Mapping'!$A$2:$A$270,0)),"Not Mapped"))</f>
        <v>Srittam Dhal</v>
      </c>
      <c r="D255" s="45" t="n">
        <v>0</v>
      </c>
      <c r="E255" s="45" t="n">
        <v>0</v>
      </c>
      <c r="F255" s="45" t="n">
        <v>0</v>
      </c>
      <c r="G255" s="45" t="n">
        <v>0</v>
      </c>
      <c r="H255" s="45" t="n">
        <v>0</v>
      </c>
      <c r="I255" s="45" t="n">
        <v>0</v>
      </c>
      <c r="J255" s="45" t="n">
        <v>0</v>
      </c>
      <c r="K255" s="45" t="n">
        <v>0</v>
      </c>
      <c r="L255" s="47"/>
      <c r="M255" s="46"/>
      <c r="N255" s="46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</sheetData>
  <conditionalFormatting sqref="D2:D25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25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:F255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:G25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25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I25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:J25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255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1">
    <dataValidation allowBlank="true" errorStyle="stop" operator="between" showDropDown="false" showErrorMessage="true" showInputMessage="false" sqref="L2:L255" type="list">
      <formula1>"Backlog PP,Bin suggestion issue,Closed,Cross utilization,Device Shortage,DH Miss,DH monitoring gap,High Demand,High Inbound,IR Issues,Lift Issue,Loaders Issue,Manpower delta,MH Miss,Mismatch product received,MP Behavior issue,MP ID Issue,New Manpower (IPP"&amp;" low),No response from DH,No update for IB utilization,Not visible in WMS,Operational issue,Other Issues,Planogram Issue,Productivity issue,Rain,RE Issues,Received before 12AM (D0),Shortage Validation,Space Issue,Store Closed By MCD,Tech Issue,Vehicle Del"&amp;"ays,Wifi Issue,MP Absent,pOWER CUT ISSUE,Pharma,Multiple vehicle arrived,Unloading got 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10" min="4" style="0" width="14"/>
    <col collapsed="false" customWidth="true" hidden="false" outlineLevel="0" max="34" min="11" style="0" width="24.51"/>
  </cols>
  <sheetData>
    <row r="1" customFormat="false" ht="42" hidden="false" customHeight="true" outlineLevel="0" collapsed="false">
      <c r="A1" s="49" t="s">
        <v>2</v>
      </c>
      <c r="B1" s="49" t="s">
        <v>3</v>
      </c>
      <c r="C1" s="49" t="s">
        <v>4</v>
      </c>
      <c r="D1" s="50" t="s">
        <v>395</v>
      </c>
      <c r="E1" s="49" t="s">
        <v>396</v>
      </c>
      <c r="F1" s="49" t="s">
        <v>397</v>
      </c>
      <c r="G1" s="49" t="s">
        <v>398</v>
      </c>
      <c r="H1" s="49" t="s">
        <v>399</v>
      </c>
      <c r="I1" s="49" t="s">
        <v>400</v>
      </c>
      <c r="J1" s="49" t="s">
        <v>391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customFormat="false" ht="15" hidden="false" customHeight="false" outlineLevel="0" collapsed="false">
      <c r="A2" s="51" t="s">
        <v>401</v>
      </c>
      <c r="B2" s="51" t="str">
        <f aca="false">COUNTA(A3:A266)&amp;" stores"</f>
        <v>264 stores</v>
      </c>
      <c r="C2" s="51"/>
      <c r="D2" s="52" t="n">
        <f aca="false">SUM(D3:D266)</f>
        <v>2352254</v>
      </c>
      <c r="E2" s="53" t="n">
        <f aca="false">IFERROR(AVERAGE(E3:E266),0)</f>
        <v>0.558764940239044</v>
      </c>
      <c r="F2" s="51" t="n">
        <f aca="false">SUM(F3:F266)</f>
        <v>39771</v>
      </c>
      <c r="G2" s="51" t="n">
        <f aca="false">SUM(G3:G266)</f>
        <v>15177</v>
      </c>
      <c r="H2" s="51" t="n">
        <f aca="false">SUM(H3:H266)</f>
        <v>53775</v>
      </c>
      <c r="I2" s="51" t="n">
        <f aca="false">SUM(I3:I266)</f>
        <v>497609</v>
      </c>
      <c r="J2" s="51" t="n">
        <f aca="false">SUM(J3:J266)</f>
        <v>117783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customFormat="false" ht="15" hidden="false" customHeight="false" outlineLevel="0" collapsed="false">
      <c r="A3" s="54" t="s">
        <v>85</v>
      </c>
      <c r="B3" s="54" t="str">
        <f aca="false" t="array" ref="B3:B3">IFERROR(INDEX('CLM &amp; IM Mapping'!$B$2:$B$270,MATCH($A3,'CLM &amp; IM Mapping'!$A$2:$A$270,0)),"Not Mapped")</f>
        <v>Saddam Hussain</v>
      </c>
      <c r="C3" s="54" t="str">
        <f aca="false" t="array" ref="C3:C3">IFERROR(INDEX('CLM &amp; IM Mapping'!$C$2:$C$270,MATCH($A3,'CLM &amp; IM Mapping'!$A$2:$A$270,0)),"Not Mapped")</f>
        <v>Un Mapped</v>
      </c>
      <c r="D3" s="55" t="n">
        <f aca="false" t="array" ref="D3:D3">IFERROR(INDEX(Shrinkage!$O$2:$O$260,MATCH($A3,Shrinkage!$C$2:$C$260,0)),IFERROR(INDEX(Shrinkage!$O$2:$O$260,MATCH(SUBSTITUTE($A3," SS","  SS"),Shrinkage!$C$2:$C$260,0)),"NA"))</f>
        <v>28136</v>
      </c>
      <c r="E3" s="56" t="n">
        <f aca="false" t="array" ref="E3:E3">IFERROR(INDEX('Inventory Hygiene'!$I$2:$I$252,MATCH($A3,'Inventory Hygiene'!$A$2:$A$252,0)),IFERROR(INDEX('Inventory Hygiene'!$I$2:$I$252,MATCH(SUBSTITUTE($A3," SS","  SS"),'Inventory Hygiene'!$A$2:$A$252,0)),"NA"))</f>
        <v>0.64</v>
      </c>
      <c r="F3" s="54" t="n">
        <f aca="false" t="array" ref="F3:F3">IFERROR(INDEX('Bad Bins'!$J$2:$J$252,MATCH($A3,'Bad Bins'!$A$2:$A$252,0)),IFERROR(INDEX('Bad Bins'!$J$2:$J$252,MATCH(SUBSTITUTE($A3," SS","  SS"),'Bad Bins'!$A$2:$A$252,0)),"NA"))</f>
        <v>54</v>
      </c>
      <c r="G3" s="54" t="str">
        <f aca="false" t="array" ref="G3:G3">IFERROR(INDEX('RSTO &gt; 48hrs'!$G$2:$G$134,MATCH($A3,'RSTO &gt; 48hrs'!$A$2:$A$134,0)),IFERROR(INDEX('RSTO &gt; 48hrs'!$G$2:$G$134,MATCH(SUBSTITUTE($A3," SS","  SS"),'RSTO &gt; 48hrs'!$A$2:$A$134,0)),"NA"))</f>
        <v>NA</v>
      </c>
      <c r="H3" s="54" t="n">
        <f aca="false" t="array" ref="H3:H3">IFERROR(INDEX('Recirculation &gt; 24 hrs'!$J$2:$J$150,MATCH($A3,'Recirculation &gt; 24 hrs'!$A$2:$A$150,0)),IFERROR(INDEX('Recirculation &gt; 24 hrs'!$J$2:$J$150,MATCH(SUBSTITUTE($A3," SS","  SS"),'Recirculation &gt; 24 hrs'!$A$2:$A$150,0)),"NA"))</f>
        <v>1</v>
      </c>
      <c r="I3" s="54" t="n">
        <f aca="false" t="array" ref="I3:I3">IFERROR(INDEX('Pending Putaway'!$D$2:$D$255,MATCH($A3,'Pending Putaway'!$A$2:$A$255,0)),IFERROR(INDEX('Pending Putaway'!$D$2:$D$255,MATCH(SUBSTITUTE($A3," SS","  SS"),'Pending Putaway'!$A$2:$A$255,0)),"NA"))</f>
        <v>4603</v>
      </c>
      <c r="J3" s="54" t="n">
        <f aca="false" t="array" ref="J3:J3">IFERROR(INDEX('Pending Putaway'!$K$2:$K$255,MATCH($A3,'Pending Putaway'!$A$2:$A$255,0)),IFERROR(INDEX('Pending Putaway'!$K$2:$K$255,MATCH(SUBSTITUTE($A3," SS","  SS"),'Pending Putaway'!$A$2:$A$255,0)),"NA"))</f>
        <v>4154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customFormat="false" ht="15" hidden="false" customHeight="false" outlineLevel="0" collapsed="false">
      <c r="A4" s="54" t="s">
        <v>295</v>
      </c>
      <c r="B4" s="54" t="str">
        <f aca="false" t="array" ref="B4:B4">IFERROR(INDEX('CLM &amp; IM Mapping'!$B$2:$B$270,MATCH($A4,'CLM &amp; IM Mapping'!$A$2:$A$270,0)),"Not Mapped")</f>
        <v>Saddam Hussain</v>
      </c>
      <c r="C4" s="54" t="str">
        <f aca="false" t="array" ref="C4:C4">IFERROR(INDEX('CLM &amp; IM Mapping'!$C$2:$C$270,MATCH($A4,'CLM &amp; IM Mapping'!$A$2:$A$270,0)),"Not Mapped")</f>
        <v>Un Mapped</v>
      </c>
      <c r="D4" s="55" t="n">
        <f aca="false" t="array" ref="D4:D4">IFERROR(INDEX(Shrinkage!$O$2:$O$260,MATCH($A4,Shrinkage!$C$2:$C$260,0)),IFERROR(INDEX(Shrinkage!$O$2:$O$260,MATCH(SUBSTITUTE($A4," SS","  SS"),Shrinkage!$C$2:$C$260,0)),"NA"))</f>
        <v>-36730</v>
      </c>
      <c r="E4" s="56" t="n">
        <f aca="false" t="array" ref="E4:E4">IFERROR(INDEX('Inventory Hygiene'!$I$2:$I$252,MATCH($A4,'Inventory Hygiene'!$A$2:$A$252,0)),IFERROR(INDEX('Inventory Hygiene'!$I$2:$I$252,MATCH(SUBSTITUTE($A4," SS","  SS"),'Inventory Hygiene'!$A$2:$A$252,0)),"NA"))</f>
        <v>0.96</v>
      </c>
      <c r="F4" s="54" t="n">
        <f aca="false" t="array" ref="F4:F4">IFERROR(INDEX('Bad Bins'!$J$2:$J$252,MATCH($A4,'Bad Bins'!$A$2:$A$252,0)),IFERROR(INDEX('Bad Bins'!$J$2:$J$252,MATCH(SUBSTITUTE($A4," SS","  SS"),'Bad Bins'!$A$2:$A$252,0)),"NA"))</f>
        <v>61</v>
      </c>
      <c r="G4" s="54" t="str">
        <f aca="false" t="array" ref="G4:G4">IFERROR(INDEX('RSTO &gt; 48hrs'!$G$2:$G$134,MATCH($A4,'RSTO &gt; 48hrs'!$A$2:$A$134,0)),IFERROR(INDEX('RSTO &gt; 48hrs'!$G$2:$G$134,MATCH(SUBSTITUTE($A4," SS","  SS"),'RSTO &gt; 48hrs'!$A$2:$A$134,0)),"NA"))</f>
        <v>NA</v>
      </c>
      <c r="H4" s="54" t="str">
        <f aca="false" t="array" ref="H4:H4">IFERROR(INDEX('Recirculation &gt; 24 hrs'!$J$2:$J$150,MATCH($A4,'Recirculation &gt; 24 hrs'!$A$2:$A$150,0)),IFERROR(INDEX('Recirculation &gt; 24 hrs'!$J$2:$J$150,MATCH(SUBSTITUTE($A4," SS","  SS"),'Recirculation &gt; 24 hrs'!$A$2:$A$150,0)),"NA"))</f>
        <v>NA</v>
      </c>
      <c r="I4" s="54" t="n">
        <f aca="false" t="array" ref="I4:I4">IFERROR(INDEX('Pending Putaway'!$D$2:$D$255,MATCH($A4,'Pending Putaway'!$A$2:$A$255,0)),IFERROR(INDEX('Pending Putaway'!$D$2:$D$255,MATCH(SUBSTITUTE($A4," SS","  SS"),'Pending Putaway'!$A$2:$A$255,0)),"NA"))</f>
        <v>1452</v>
      </c>
      <c r="J4" s="54" t="n">
        <f aca="false" t="array" ref="J4:J4">IFERROR(INDEX('Pending Putaway'!$K$2:$K$255,MATCH($A4,'Pending Putaway'!$A$2:$A$255,0)),IFERROR(INDEX('Pending Putaway'!$K$2:$K$255,MATCH(SUBSTITUTE($A4," SS","  SS"),'Pending Putaway'!$A$2:$A$255,0)),"NA"))</f>
        <v>1452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customFormat="false" ht="15" hidden="false" customHeight="false" outlineLevel="0" collapsed="false">
      <c r="A5" s="54" t="s">
        <v>168</v>
      </c>
      <c r="B5" s="54" t="str">
        <f aca="false" t="array" ref="B5:B5">IFERROR(INDEX('CLM &amp; IM Mapping'!$B$2:$B$270,MATCH($A5,'CLM &amp; IM Mapping'!$A$2:$A$270,0)),"Not Mapped")</f>
        <v>Saddam Hussain</v>
      </c>
      <c r="C5" s="54" t="str">
        <f aca="false" t="array" ref="C5:C5">IFERROR(INDEX('CLM &amp; IM Mapping'!$C$2:$C$270,MATCH($A5,'CLM &amp; IM Mapping'!$A$2:$A$270,0)),"Not Mapped")</f>
        <v>Un Mapped</v>
      </c>
      <c r="D5" s="55" t="n">
        <f aca="false" t="array" ref="D5:D5">IFERROR(INDEX(Shrinkage!$O$2:$O$260,MATCH($A5,Shrinkage!$C$2:$C$260,0)),IFERROR(INDEX(Shrinkage!$O$2:$O$260,MATCH(SUBSTITUTE($A5," SS","  SS"),Shrinkage!$C$2:$C$260,0)),"NA"))</f>
        <v>1817</v>
      </c>
      <c r="E5" s="56" t="n">
        <f aca="false" t="array" ref="E5:E5">IFERROR(INDEX('Inventory Hygiene'!$I$2:$I$252,MATCH($A5,'Inventory Hygiene'!$A$2:$A$252,0)),IFERROR(INDEX('Inventory Hygiene'!$I$2:$I$252,MATCH(SUBSTITUTE($A5," SS","  SS"),'Inventory Hygiene'!$A$2:$A$252,0)),"NA"))</f>
        <v>0.65</v>
      </c>
      <c r="F5" s="54" t="n">
        <f aca="false" t="array" ref="F5:F5">IFERROR(INDEX('Bad Bins'!$J$2:$J$252,MATCH($A5,'Bad Bins'!$A$2:$A$252,0)),IFERROR(INDEX('Bad Bins'!$J$2:$J$252,MATCH(SUBSTITUTE($A5," SS","  SS"),'Bad Bins'!$A$2:$A$252,0)),"NA"))</f>
        <v>229</v>
      </c>
      <c r="G5" s="54" t="n">
        <f aca="false" t="array" ref="G5:G5">IFERROR(INDEX('RSTO &gt; 48hrs'!$G$2:$G$134,MATCH($A5,'RSTO &gt; 48hrs'!$A$2:$A$134,0)),IFERROR(INDEX('RSTO &gt; 48hrs'!$G$2:$G$134,MATCH(SUBSTITUTE($A5," SS","  SS"),'RSTO &gt; 48hrs'!$A$2:$A$134,0)),"NA"))</f>
        <v>11</v>
      </c>
      <c r="H5" s="54" t="str">
        <f aca="false" t="array" ref="H5:H5">IFERROR(INDEX('Recirculation &gt; 24 hrs'!$J$2:$J$150,MATCH($A5,'Recirculation &gt; 24 hrs'!$A$2:$A$150,0)),IFERROR(INDEX('Recirculation &gt; 24 hrs'!$J$2:$J$150,MATCH(SUBSTITUTE($A5," SS","  SS"),'Recirculation &gt; 24 hrs'!$A$2:$A$150,0)),"NA"))</f>
        <v>NA</v>
      </c>
      <c r="I5" s="54" t="n">
        <f aca="false" t="array" ref="I5:I5">IFERROR(INDEX('Pending Putaway'!$D$2:$D$255,MATCH($A5,'Pending Putaway'!$A$2:$A$255,0)),IFERROR(INDEX('Pending Putaway'!$D$2:$D$255,MATCH(SUBSTITUTE($A5," SS","  SS"),'Pending Putaway'!$A$2:$A$255,0)),"NA"))</f>
        <v>2</v>
      </c>
      <c r="J5" s="54" t="n">
        <f aca="false" t="array" ref="J5:J5">IFERROR(INDEX('Pending Putaway'!$K$2:$K$255,MATCH($A5,'Pending Putaway'!$A$2:$A$255,0)),IFERROR(INDEX('Pending Putaway'!$K$2:$K$255,MATCH(SUBSTITUTE($A5," SS","  SS"),'Pending Putaway'!$A$2:$A$255,0)),"NA"))</f>
        <v>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customFormat="false" ht="15" hidden="false" customHeight="false" outlineLevel="0" collapsed="false">
      <c r="A6" s="54" t="s">
        <v>45</v>
      </c>
      <c r="B6" s="54" t="str">
        <f aca="false" t="array" ref="B6:B6">IFERROR(INDEX('CLM &amp; IM Mapping'!$B$2:$B$270,MATCH($A6,'CLM &amp; IM Mapping'!$A$2:$A$270,0)),"Not Mapped")</f>
        <v>Sundaresh S</v>
      </c>
      <c r="C6" s="54" t="str">
        <f aca="false" t="array" ref="C6:C6">IFERROR(INDEX('CLM &amp; IM Mapping'!$C$2:$C$270,MATCH($A6,'CLM &amp; IM Mapping'!$A$2:$A$270,0)),"Not Mapped")</f>
        <v>Un Mapped</v>
      </c>
      <c r="D6" s="55" t="n">
        <f aca="false" t="array" ref="D6:D6">IFERROR(INDEX(Shrinkage!$O$2:$O$260,MATCH($A6,Shrinkage!$C$2:$C$260,0)),IFERROR(INDEX(Shrinkage!$O$2:$O$260,MATCH(SUBSTITUTE($A6," SS","  SS"),Shrinkage!$C$2:$C$260,0)),"NA"))</f>
        <v>47218</v>
      </c>
      <c r="E6" s="56" t="n">
        <f aca="false" t="array" ref="E6:E6">IFERROR(INDEX('Inventory Hygiene'!$I$2:$I$252,MATCH($A6,'Inventory Hygiene'!$A$2:$A$252,0)),IFERROR(INDEX('Inventory Hygiene'!$I$2:$I$252,MATCH(SUBSTITUTE($A6," SS","  SS"),'Inventory Hygiene'!$A$2:$A$252,0)),"NA"))</f>
        <v>0.34</v>
      </c>
      <c r="F6" s="54" t="n">
        <f aca="false" t="array" ref="F6:F6">IFERROR(INDEX('Bad Bins'!$J$2:$J$252,MATCH($A6,'Bad Bins'!$A$2:$A$252,0)),IFERROR(INDEX('Bad Bins'!$J$2:$J$252,MATCH(SUBSTITUTE($A6," SS","  SS"),'Bad Bins'!$A$2:$A$252,0)),"NA"))</f>
        <v>239</v>
      </c>
      <c r="G6" s="54" t="n">
        <f aca="false" t="array" ref="G6:G6">IFERROR(INDEX('RSTO &gt; 48hrs'!$G$2:$G$134,MATCH($A6,'RSTO &gt; 48hrs'!$A$2:$A$134,0)),IFERROR(INDEX('RSTO &gt; 48hrs'!$G$2:$G$134,MATCH(SUBSTITUTE($A6," SS","  SS"),'RSTO &gt; 48hrs'!$A$2:$A$134,0)),"NA"))</f>
        <v>38</v>
      </c>
      <c r="H6" s="54" t="str">
        <f aca="false" t="array" ref="H6:H6">IFERROR(INDEX('Recirculation &gt; 24 hrs'!$J$2:$J$150,MATCH($A6,'Recirculation &gt; 24 hrs'!$A$2:$A$150,0)),IFERROR(INDEX('Recirculation &gt; 24 hrs'!$J$2:$J$150,MATCH(SUBSTITUTE($A6," SS","  SS"),'Recirculation &gt; 24 hrs'!$A$2:$A$150,0)),"NA"))</f>
        <v>NA</v>
      </c>
      <c r="I6" s="54" t="n">
        <f aca="false" t="array" ref="I6:I6">IFERROR(INDEX('Pending Putaway'!$D$2:$D$255,MATCH($A6,'Pending Putaway'!$A$2:$A$255,0)),IFERROR(INDEX('Pending Putaway'!$D$2:$D$255,MATCH(SUBSTITUTE($A6," SS","  SS"),'Pending Putaway'!$A$2:$A$255,0)),"NA"))</f>
        <v>1863</v>
      </c>
      <c r="J6" s="54" t="n">
        <f aca="false" t="array" ref="J6:J6">IFERROR(INDEX('Pending Putaway'!$K$2:$K$255,MATCH($A6,'Pending Putaway'!$A$2:$A$255,0)),IFERROR(INDEX('Pending Putaway'!$K$2:$K$255,MATCH(SUBSTITUTE($A6," SS","  SS"),'Pending Putaway'!$A$2:$A$255,0)),"NA"))</f>
        <v>1863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customFormat="false" ht="15" hidden="false" customHeight="false" outlineLevel="0" collapsed="false">
      <c r="A7" s="54" t="s">
        <v>190</v>
      </c>
      <c r="B7" s="54" t="str">
        <f aca="false" t="array" ref="B7:B7">IFERROR(INDEX('CLM &amp; IM Mapping'!$B$2:$B$270,MATCH($A7,'CLM &amp; IM Mapping'!$A$2:$A$270,0)),"Not Mapped")</f>
        <v>Sundaresh S</v>
      </c>
      <c r="C7" s="54" t="str">
        <f aca="false" t="array" ref="C7:C7">IFERROR(INDEX('CLM &amp; IM Mapping'!$C$2:$C$270,MATCH($A7,'CLM &amp; IM Mapping'!$A$2:$A$270,0)),"Not Mapped")</f>
        <v>Un Mapped</v>
      </c>
      <c r="D7" s="55" t="n">
        <f aca="false" t="array" ref="D7:D7">IFERROR(INDEX(Shrinkage!$O$2:$O$260,MATCH($A7,Shrinkage!$C$2:$C$260,0)),IFERROR(INDEX(Shrinkage!$O$2:$O$260,MATCH(SUBSTITUTE($A7," SS","  SS"),Shrinkage!$C$2:$C$260,0)),"NA"))</f>
        <v>-465</v>
      </c>
      <c r="E7" s="56" t="n">
        <f aca="false" t="array" ref="E7:E7">IFERROR(INDEX('Inventory Hygiene'!$I$2:$I$252,MATCH($A7,'Inventory Hygiene'!$A$2:$A$252,0)),IFERROR(INDEX('Inventory Hygiene'!$I$2:$I$252,MATCH(SUBSTITUTE($A7," SS","  SS"),'Inventory Hygiene'!$A$2:$A$252,0)),"NA"))</f>
        <v>0.67</v>
      </c>
      <c r="F7" s="54" t="n">
        <f aca="false" t="array" ref="F7:F7">IFERROR(INDEX('Bad Bins'!$J$2:$J$252,MATCH($A7,'Bad Bins'!$A$2:$A$252,0)),IFERROR(INDEX('Bad Bins'!$J$2:$J$252,MATCH(SUBSTITUTE($A7," SS","  SS"),'Bad Bins'!$A$2:$A$252,0)),"NA"))</f>
        <v>73</v>
      </c>
      <c r="G7" s="54" t="n">
        <f aca="false" t="array" ref="G7:G7">IFERROR(INDEX('RSTO &gt; 48hrs'!$G$2:$G$134,MATCH($A7,'RSTO &gt; 48hrs'!$A$2:$A$134,0)),IFERROR(INDEX('RSTO &gt; 48hrs'!$G$2:$G$134,MATCH(SUBSTITUTE($A7," SS","  SS"),'RSTO &gt; 48hrs'!$A$2:$A$134,0)),"NA"))</f>
        <v>2</v>
      </c>
      <c r="H7" s="54" t="str">
        <f aca="false" t="array" ref="H7:H7">IFERROR(INDEX('Recirculation &gt; 24 hrs'!$J$2:$J$150,MATCH($A7,'Recirculation &gt; 24 hrs'!$A$2:$A$150,0)),IFERROR(INDEX('Recirculation &gt; 24 hrs'!$J$2:$J$150,MATCH(SUBSTITUTE($A7," SS","  SS"),'Recirculation &gt; 24 hrs'!$A$2:$A$150,0)),"NA"))</f>
        <v>NA</v>
      </c>
      <c r="I7" s="54" t="n">
        <f aca="false" t="array" ref="I7:I7">IFERROR(INDEX('Pending Putaway'!$D$2:$D$255,MATCH($A7,'Pending Putaway'!$A$2:$A$255,0)),IFERROR(INDEX('Pending Putaway'!$D$2:$D$255,MATCH(SUBSTITUTE($A7," SS","  SS"),'Pending Putaway'!$A$2:$A$255,0)),"NA"))</f>
        <v>858</v>
      </c>
      <c r="J7" s="54" t="n">
        <f aca="false" t="array" ref="J7:J7">IFERROR(INDEX('Pending Putaway'!$K$2:$K$255,MATCH($A7,'Pending Putaway'!$A$2:$A$255,0)),IFERROR(INDEX('Pending Putaway'!$K$2:$K$255,MATCH(SUBSTITUTE($A7," SS","  SS"),'Pending Putaway'!$A$2:$A$255,0)),"NA"))</f>
        <v>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customFormat="false" ht="15" hidden="false" customHeight="false" outlineLevel="0" collapsed="false">
      <c r="A8" s="54" t="s">
        <v>189</v>
      </c>
      <c r="B8" s="54" t="str">
        <f aca="false" t="array" ref="B8:B8">IFERROR(INDEX('CLM &amp; IM Mapping'!$B$2:$B$270,MATCH($A8,'CLM &amp; IM Mapping'!$A$2:$A$270,0)),"Not Mapped")</f>
        <v>Saddam Hussain</v>
      </c>
      <c r="C8" s="54" t="str">
        <f aca="false" t="array" ref="C8:C8">IFERROR(INDEX('CLM &amp; IM Mapping'!$C$2:$C$270,MATCH($A8,'CLM &amp; IM Mapping'!$A$2:$A$270,0)),"Not Mapped")</f>
        <v>Un Mapped</v>
      </c>
      <c r="D8" s="55" t="n">
        <f aca="false" t="array" ref="D8:D8">IFERROR(INDEX(Shrinkage!$O$2:$O$260,MATCH($A8,Shrinkage!$C$2:$C$260,0)),IFERROR(INDEX(Shrinkage!$O$2:$O$260,MATCH(SUBSTITUTE($A8," SS","  SS"),Shrinkage!$C$2:$C$260,0)),"NA"))</f>
        <v>-358</v>
      </c>
      <c r="E8" s="56" t="n">
        <f aca="false" t="array" ref="E8:E8">IFERROR(INDEX('Inventory Hygiene'!$I$2:$I$252,MATCH($A8,'Inventory Hygiene'!$A$2:$A$252,0)),IFERROR(INDEX('Inventory Hygiene'!$I$2:$I$252,MATCH(SUBSTITUTE($A8," SS","  SS"),'Inventory Hygiene'!$A$2:$A$252,0)),"NA"))</f>
        <v>0.38</v>
      </c>
      <c r="F8" s="54" t="n">
        <f aca="false" t="array" ref="F8:F8">IFERROR(INDEX('Bad Bins'!$J$2:$J$252,MATCH($A8,'Bad Bins'!$A$2:$A$252,0)),IFERROR(INDEX('Bad Bins'!$J$2:$J$252,MATCH(SUBSTITUTE($A8," SS","  SS"),'Bad Bins'!$A$2:$A$252,0)),"NA"))</f>
        <v>150</v>
      </c>
      <c r="G8" s="54" t="str">
        <f aca="false" t="array" ref="G8:G8">IFERROR(INDEX('RSTO &gt; 48hrs'!$G$2:$G$134,MATCH($A8,'RSTO &gt; 48hrs'!$A$2:$A$134,0)),IFERROR(INDEX('RSTO &gt; 48hrs'!$G$2:$G$134,MATCH(SUBSTITUTE($A8," SS","  SS"),'RSTO &gt; 48hrs'!$A$2:$A$134,0)),"NA"))</f>
        <v>NA</v>
      </c>
      <c r="H8" s="54" t="n">
        <f aca="false" t="array" ref="H8:H8">IFERROR(INDEX('Recirculation &gt; 24 hrs'!$J$2:$J$150,MATCH($A8,'Recirculation &gt; 24 hrs'!$A$2:$A$150,0)),IFERROR(INDEX('Recirculation &gt; 24 hrs'!$J$2:$J$150,MATCH(SUBSTITUTE($A8," SS","  SS"),'Recirculation &gt; 24 hrs'!$A$2:$A$150,0)),"NA"))</f>
        <v>2</v>
      </c>
      <c r="I8" s="54" t="n">
        <f aca="false" t="array" ref="I8:I8">IFERROR(INDEX('Pending Putaway'!$D$2:$D$255,MATCH($A8,'Pending Putaway'!$A$2:$A$255,0)),IFERROR(INDEX('Pending Putaway'!$D$2:$D$255,MATCH(SUBSTITUTE($A8," SS","  SS"),'Pending Putaway'!$A$2:$A$255,0)),"NA"))</f>
        <v>3064</v>
      </c>
      <c r="J8" s="54" t="n">
        <f aca="false" t="array" ref="J8:J8">IFERROR(INDEX('Pending Putaway'!$K$2:$K$255,MATCH($A8,'Pending Putaway'!$A$2:$A$255,0)),IFERROR(INDEX('Pending Putaway'!$K$2:$K$255,MATCH(SUBSTITUTE($A8," SS","  SS"),'Pending Putaway'!$A$2:$A$255,0)),"NA"))</f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customFormat="false" ht="15" hidden="false" customHeight="false" outlineLevel="0" collapsed="false">
      <c r="A9" s="54" t="s">
        <v>132</v>
      </c>
      <c r="B9" s="54" t="str">
        <f aca="false" t="array" ref="B9:B9">IFERROR(INDEX('CLM &amp; IM Mapping'!$B$2:$B$270,MATCH($A9,'CLM &amp; IM Mapping'!$A$2:$A$270,0)),"Not Mapped")</f>
        <v>Rizwan Ahmed</v>
      </c>
      <c r="C9" s="54" t="str">
        <f aca="false" t="array" ref="C9:C9">IFERROR(INDEX('CLM &amp; IM Mapping'!$C$2:$C$270,MATCH($A9,'CLM &amp; IM Mapping'!$A$2:$A$270,0)),"Not Mapped")</f>
        <v>Un Mapped</v>
      </c>
      <c r="D9" s="55" t="n">
        <f aca="false" t="array" ref="D9:D9">IFERROR(INDEX(Shrinkage!$O$2:$O$260,MATCH($A9,Shrinkage!$C$2:$C$260,0)),IFERROR(INDEX(Shrinkage!$O$2:$O$260,MATCH(SUBSTITUTE($A9," SS","  SS"),Shrinkage!$C$2:$C$260,0)),"NA"))</f>
        <v>8152</v>
      </c>
      <c r="E9" s="56" t="n">
        <f aca="false" t="array" ref="E9:E9">IFERROR(INDEX('Inventory Hygiene'!$I$2:$I$252,MATCH($A9,'Inventory Hygiene'!$A$2:$A$252,0)),IFERROR(INDEX('Inventory Hygiene'!$I$2:$I$252,MATCH(SUBSTITUTE($A9," SS","  SS"),'Inventory Hygiene'!$A$2:$A$252,0)),"NA"))</f>
        <v>0.62</v>
      </c>
      <c r="F9" s="54" t="n">
        <f aca="false" t="array" ref="F9:F9">IFERROR(INDEX('Bad Bins'!$J$2:$J$252,MATCH($A9,'Bad Bins'!$A$2:$A$252,0)),IFERROR(INDEX('Bad Bins'!$J$2:$J$252,MATCH(SUBSTITUTE($A9," SS","  SS"),'Bad Bins'!$A$2:$A$252,0)),"NA"))</f>
        <v>82</v>
      </c>
      <c r="G9" s="54" t="str">
        <f aca="false" t="array" ref="G9:G9">IFERROR(INDEX('RSTO &gt; 48hrs'!$G$2:$G$134,MATCH($A9,'RSTO &gt; 48hrs'!$A$2:$A$134,0)),IFERROR(INDEX('RSTO &gt; 48hrs'!$G$2:$G$134,MATCH(SUBSTITUTE($A9," SS","  SS"),'RSTO &gt; 48hrs'!$A$2:$A$134,0)),"NA"))</f>
        <v>NA</v>
      </c>
      <c r="H9" s="54" t="str">
        <f aca="false" t="array" ref="H9:H9">IFERROR(INDEX('Recirculation &gt; 24 hrs'!$J$2:$J$150,MATCH($A9,'Recirculation &gt; 24 hrs'!$A$2:$A$150,0)),IFERROR(INDEX('Recirculation &gt; 24 hrs'!$J$2:$J$150,MATCH(SUBSTITUTE($A9," SS","  SS"),'Recirculation &gt; 24 hrs'!$A$2:$A$150,0)),"NA"))</f>
        <v>NA</v>
      </c>
      <c r="I9" s="54" t="n">
        <f aca="false" t="array" ref="I9:I9">IFERROR(INDEX('Pending Putaway'!$D$2:$D$255,MATCH($A9,'Pending Putaway'!$A$2:$A$255,0)),IFERROR(INDEX('Pending Putaway'!$D$2:$D$255,MATCH(SUBSTITUTE($A9," SS","  SS"),'Pending Putaway'!$A$2:$A$255,0)),"NA"))</f>
        <v>2015</v>
      </c>
      <c r="J9" s="54" t="n">
        <f aca="false" t="array" ref="J9:J9">IFERROR(INDEX('Pending Putaway'!$K$2:$K$255,MATCH($A9,'Pending Putaway'!$A$2:$A$255,0)),IFERROR(INDEX('Pending Putaway'!$K$2:$K$255,MATCH(SUBSTITUTE($A9," SS","  SS"),'Pending Putaway'!$A$2:$A$255,0)),"NA"))</f>
        <v>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customFormat="false" ht="15" hidden="false" customHeight="false" outlineLevel="0" collapsed="false">
      <c r="A10" s="54" t="s">
        <v>30</v>
      </c>
      <c r="B10" s="54" t="str">
        <f aca="false" t="array" ref="B10:B10">IFERROR(INDEX('CLM &amp; IM Mapping'!$B$2:$B$270,MATCH($A10,'CLM &amp; IM Mapping'!$A$2:$A$270,0)),"Not Mapped")</f>
        <v>Rizwan Ahmed</v>
      </c>
      <c r="C10" s="54" t="str">
        <f aca="false" t="array" ref="C10:C10">IFERROR(INDEX('CLM &amp; IM Mapping'!$C$2:$C$270,MATCH($A10,'CLM &amp; IM Mapping'!$A$2:$A$270,0)),"Not Mapped")</f>
        <v>Un Mapped</v>
      </c>
      <c r="D10" s="55" t="n">
        <f aca="false" t="array" ref="D10:D10">IFERROR(INDEX(Shrinkage!$O$2:$O$260,MATCH($A10,Shrinkage!$C$2:$C$260,0)),IFERROR(INDEX(Shrinkage!$O$2:$O$260,MATCH(SUBSTITUTE($A10," SS","  SS"),Shrinkage!$C$2:$C$260,0)),"NA"))</f>
        <v>94456</v>
      </c>
      <c r="E10" s="56" t="n">
        <f aca="false" t="array" ref="E10:E10">IFERROR(INDEX('Inventory Hygiene'!$I$2:$I$252,MATCH($A10,'Inventory Hygiene'!$A$2:$A$252,0)),IFERROR(INDEX('Inventory Hygiene'!$I$2:$I$252,MATCH(SUBSTITUTE($A10," SS","  SS"),'Inventory Hygiene'!$A$2:$A$252,0)),"NA"))</f>
        <v>0.54</v>
      </c>
      <c r="F10" s="54" t="n">
        <f aca="false" t="array" ref="F10:F10">IFERROR(INDEX('Bad Bins'!$J$2:$J$252,MATCH($A10,'Bad Bins'!$A$2:$A$252,0)),IFERROR(INDEX('Bad Bins'!$J$2:$J$252,MATCH(SUBSTITUTE($A10," SS","  SS"),'Bad Bins'!$A$2:$A$252,0)),"NA"))</f>
        <v>103</v>
      </c>
      <c r="G10" s="54" t="n">
        <f aca="false" t="array" ref="G10:G10">IFERROR(INDEX('RSTO &gt; 48hrs'!$G$2:$G$134,MATCH($A10,'RSTO &gt; 48hrs'!$A$2:$A$134,0)),IFERROR(INDEX('RSTO &gt; 48hrs'!$G$2:$G$134,MATCH(SUBSTITUTE($A10," SS","  SS"),'RSTO &gt; 48hrs'!$A$2:$A$134,0)),"NA"))</f>
        <v>546</v>
      </c>
      <c r="H10" s="54" t="n">
        <f aca="false" t="array" ref="H10:H10">IFERROR(INDEX('Recirculation &gt; 24 hrs'!$J$2:$J$150,MATCH($A10,'Recirculation &gt; 24 hrs'!$A$2:$A$150,0)),IFERROR(INDEX('Recirculation &gt; 24 hrs'!$J$2:$J$150,MATCH(SUBSTITUTE($A10," SS","  SS"),'Recirculation &gt; 24 hrs'!$A$2:$A$150,0)),"NA"))</f>
        <v>2</v>
      </c>
      <c r="I10" s="54" t="n">
        <f aca="false" t="array" ref="I10:I10">IFERROR(INDEX('Pending Putaway'!$D$2:$D$255,MATCH($A10,'Pending Putaway'!$A$2:$A$255,0)),IFERROR(INDEX('Pending Putaway'!$D$2:$D$255,MATCH(SUBSTITUTE($A10," SS","  SS"),'Pending Putaway'!$A$2:$A$255,0)),"NA"))</f>
        <v>3647</v>
      </c>
      <c r="J10" s="54" t="n">
        <f aca="false" t="array" ref="J10:J10">IFERROR(INDEX('Pending Putaway'!$K$2:$K$255,MATCH($A10,'Pending Putaway'!$A$2:$A$255,0)),IFERROR(INDEX('Pending Putaway'!$K$2:$K$255,MATCH(SUBSTITUTE($A10," SS","  SS"),'Pending Putaway'!$A$2:$A$255,0)),"NA"))</f>
        <v>80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 customFormat="false" ht="15" hidden="false" customHeight="false" outlineLevel="0" collapsed="false">
      <c r="A11" s="54" t="s">
        <v>248</v>
      </c>
      <c r="B11" s="54" t="str">
        <f aca="false" t="array" ref="B11:B11">IFERROR(INDEX('CLM &amp; IM Mapping'!$B$2:$B$270,MATCH($A11,'CLM &amp; IM Mapping'!$A$2:$A$270,0)),"Not Mapped")</f>
        <v>Rizwan Ahmed</v>
      </c>
      <c r="C11" s="54" t="str">
        <f aca="false" t="array" ref="C11:C11">IFERROR(INDEX('CLM &amp; IM Mapping'!$C$2:$C$270,MATCH($A11,'CLM &amp; IM Mapping'!$A$2:$A$270,0)),"Not Mapped")</f>
        <v>Un Mapped</v>
      </c>
      <c r="D11" s="55" t="n">
        <f aca="false" t="array" ref="D11:D11">IFERROR(INDEX(Shrinkage!$O$2:$O$260,MATCH($A11,Shrinkage!$C$2:$C$260,0)),IFERROR(INDEX(Shrinkage!$O$2:$O$260,MATCH(SUBSTITUTE($A11," SS","  SS"),Shrinkage!$C$2:$C$260,0)),"NA"))</f>
        <v>-6830</v>
      </c>
      <c r="E11" s="56" t="n">
        <f aca="false" t="array" ref="E11:E11">IFERROR(INDEX('Inventory Hygiene'!$I$2:$I$252,MATCH($A11,'Inventory Hygiene'!$A$2:$A$252,0)),IFERROR(INDEX('Inventory Hygiene'!$I$2:$I$252,MATCH(SUBSTITUTE($A11," SS","  SS"),'Inventory Hygiene'!$A$2:$A$252,0)),"NA"))</f>
        <v>0.54</v>
      </c>
      <c r="F11" s="54" t="n">
        <f aca="false" t="array" ref="F11:F11">IFERROR(INDEX('Bad Bins'!$J$2:$J$252,MATCH($A11,'Bad Bins'!$A$2:$A$252,0)),IFERROR(INDEX('Bad Bins'!$J$2:$J$252,MATCH(SUBSTITUTE($A11," SS","  SS"),'Bad Bins'!$A$2:$A$252,0)),"NA"))</f>
        <v>95</v>
      </c>
      <c r="G11" s="54" t="n">
        <f aca="false" t="array" ref="G11:G11">IFERROR(INDEX('RSTO &gt; 48hrs'!$G$2:$G$134,MATCH($A11,'RSTO &gt; 48hrs'!$A$2:$A$134,0)),IFERROR(INDEX('RSTO &gt; 48hrs'!$G$2:$G$134,MATCH(SUBSTITUTE($A11," SS","  SS"),'RSTO &gt; 48hrs'!$A$2:$A$134,0)),"NA"))</f>
        <v>69</v>
      </c>
      <c r="H11" s="54" t="n">
        <f aca="false" t="array" ref="H11:H11">IFERROR(INDEX('Recirculation &gt; 24 hrs'!$J$2:$J$150,MATCH($A11,'Recirculation &gt; 24 hrs'!$A$2:$A$150,0)),IFERROR(INDEX('Recirculation &gt; 24 hrs'!$J$2:$J$150,MATCH(SUBSTITUTE($A11," SS","  SS"),'Recirculation &gt; 24 hrs'!$A$2:$A$150,0)),"NA"))</f>
        <v>13</v>
      </c>
      <c r="I11" s="54" t="n">
        <f aca="false" t="array" ref="I11:I11">IFERROR(INDEX('Pending Putaway'!$D$2:$D$255,MATCH($A11,'Pending Putaway'!$A$2:$A$255,0)),IFERROR(INDEX('Pending Putaway'!$D$2:$D$255,MATCH(SUBSTITUTE($A11," SS","  SS"),'Pending Putaway'!$A$2:$A$255,0)),"NA"))</f>
        <v>1715</v>
      </c>
      <c r="J11" s="54" t="n">
        <f aca="false" t="array" ref="J11:J11">IFERROR(INDEX('Pending Putaway'!$K$2:$K$255,MATCH($A11,'Pending Putaway'!$A$2:$A$255,0)),IFERROR(INDEX('Pending Putaway'!$K$2:$K$255,MATCH(SUBSTITUTE($A11," SS","  SS"),'Pending Putaway'!$A$2:$A$255,0)),"NA"))</f>
        <v>1715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 customFormat="false" ht="15" hidden="false" customHeight="false" outlineLevel="0" collapsed="false">
      <c r="A12" s="54" t="s">
        <v>40</v>
      </c>
      <c r="B12" s="54" t="str">
        <f aca="false" t="array" ref="B12:B12">IFERROR(INDEX('CLM &amp; IM Mapping'!$B$2:$B$270,MATCH($A12,'CLM &amp; IM Mapping'!$A$2:$A$270,0)),"Not Mapped")</f>
        <v>Rizwan Ahmed</v>
      </c>
      <c r="C12" s="54" t="str">
        <f aca="false" t="array" ref="C12:C12">IFERROR(INDEX('CLM &amp; IM Mapping'!$C$2:$C$270,MATCH($A12,'CLM &amp; IM Mapping'!$A$2:$A$270,0)),"Not Mapped")</f>
        <v>Un Mapped</v>
      </c>
      <c r="D12" s="55" t="n">
        <f aca="false" t="array" ref="D12:D12">IFERROR(INDEX(Shrinkage!$O$2:$O$260,MATCH($A12,Shrinkage!$C$2:$C$260,0)),IFERROR(INDEX(Shrinkage!$O$2:$O$260,MATCH(SUBSTITUTE($A12," SS","  SS"),Shrinkage!$C$2:$C$260,0)),"NA"))</f>
        <v>48871</v>
      </c>
      <c r="E12" s="56" t="n">
        <f aca="false" t="array" ref="E12:E12">IFERROR(INDEX('Inventory Hygiene'!$I$2:$I$252,MATCH($A12,'Inventory Hygiene'!$A$2:$A$252,0)),IFERROR(INDEX('Inventory Hygiene'!$I$2:$I$252,MATCH(SUBSTITUTE($A12," SS","  SS"),'Inventory Hygiene'!$A$2:$A$252,0)),"NA"))</f>
        <v>0.78</v>
      </c>
      <c r="F12" s="54" t="n">
        <f aca="false" t="array" ref="F12:F12">IFERROR(INDEX('Bad Bins'!$J$2:$J$252,MATCH($A12,'Bad Bins'!$A$2:$A$252,0)),IFERROR(INDEX('Bad Bins'!$J$2:$J$252,MATCH(SUBSTITUTE($A12," SS","  SS"),'Bad Bins'!$A$2:$A$252,0)),"NA"))</f>
        <v>441</v>
      </c>
      <c r="G12" s="54" t="n">
        <f aca="false" t="array" ref="G12:G12">IFERROR(INDEX('RSTO &gt; 48hrs'!$G$2:$G$134,MATCH($A12,'RSTO &gt; 48hrs'!$A$2:$A$134,0)),IFERROR(INDEX('RSTO &gt; 48hrs'!$G$2:$G$134,MATCH(SUBSTITUTE($A12," SS","  SS"),'RSTO &gt; 48hrs'!$A$2:$A$134,0)),"NA"))</f>
        <v>1166</v>
      </c>
      <c r="H12" s="54" t="n">
        <f aca="false" t="array" ref="H12:H12">IFERROR(INDEX('Recirculation &gt; 24 hrs'!$J$2:$J$150,MATCH($A12,'Recirculation &gt; 24 hrs'!$A$2:$A$150,0)),IFERROR(INDEX('Recirculation &gt; 24 hrs'!$J$2:$J$150,MATCH(SUBSTITUTE($A12," SS","  SS"),'Recirculation &gt; 24 hrs'!$A$2:$A$150,0)),"NA"))</f>
        <v>6</v>
      </c>
      <c r="I12" s="54" t="n">
        <f aca="false" t="array" ref="I12:I12">IFERROR(INDEX('Pending Putaway'!$D$2:$D$255,MATCH($A12,'Pending Putaway'!$A$2:$A$255,0)),IFERROR(INDEX('Pending Putaway'!$D$2:$D$255,MATCH(SUBSTITUTE($A12," SS","  SS"),'Pending Putaway'!$A$2:$A$255,0)),"NA"))</f>
        <v>8633</v>
      </c>
      <c r="J12" s="54" t="n">
        <f aca="false" t="array" ref="J12:J12">IFERROR(INDEX('Pending Putaway'!$K$2:$K$255,MATCH($A12,'Pending Putaway'!$A$2:$A$255,0)),IFERROR(INDEX('Pending Putaway'!$K$2:$K$255,MATCH(SUBSTITUTE($A12," SS","  SS"),'Pending Putaway'!$A$2:$A$255,0)),"NA"))</f>
        <v>342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customFormat="false" ht="15" hidden="false" customHeight="false" outlineLevel="0" collapsed="false">
      <c r="A13" s="54" t="s">
        <v>213</v>
      </c>
      <c r="B13" s="54" t="str">
        <f aca="false" t="array" ref="B13:B13">IFERROR(INDEX('CLM &amp; IM Mapping'!$B$2:$B$270,MATCH($A13,'CLM &amp; IM Mapping'!$A$2:$A$270,0)),"Not Mapped")</f>
        <v>Rizwan Ahmed</v>
      </c>
      <c r="C13" s="54" t="str">
        <f aca="false" t="array" ref="C13:C13">IFERROR(INDEX('CLM &amp; IM Mapping'!$C$2:$C$270,MATCH($A13,'CLM &amp; IM Mapping'!$A$2:$A$270,0)),"Not Mapped")</f>
        <v>Un Mapped</v>
      </c>
      <c r="D13" s="55" t="n">
        <f aca="false" t="array" ref="D13:D13">IFERROR(INDEX(Shrinkage!$O$2:$O$260,MATCH($A13,Shrinkage!$C$2:$C$260,0)),IFERROR(INDEX(Shrinkage!$O$2:$O$260,MATCH(SUBSTITUTE($A13," SS","  SS"),Shrinkage!$C$2:$C$260,0)),"NA"))</f>
        <v>-2738</v>
      </c>
      <c r="E13" s="56" t="n">
        <f aca="false" t="array" ref="E13:E13">IFERROR(INDEX('Inventory Hygiene'!$I$2:$I$252,MATCH($A13,'Inventory Hygiene'!$A$2:$A$252,0)),IFERROR(INDEX('Inventory Hygiene'!$I$2:$I$252,MATCH(SUBSTITUTE($A13," SS","  SS"),'Inventory Hygiene'!$A$2:$A$252,0)),"NA"))</f>
        <v>0.46</v>
      </c>
      <c r="F13" s="54" t="n">
        <f aca="false" t="array" ref="F13:F13">IFERROR(INDEX('Bad Bins'!$J$2:$J$252,MATCH($A13,'Bad Bins'!$A$2:$A$252,0)),IFERROR(INDEX('Bad Bins'!$J$2:$J$252,MATCH(SUBSTITUTE($A13," SS","  SS"),'Bad Bins'!$A$2:$A$252,0)),"NA"))</f>
        <v>80</v>
      </c>
      <c r="G13" s="54" t="str">
        <f aca="false" t="array" ref="G13:G13">IFERROR(INDEX('RSTO &gt; 48hrs'!$G$2:$G$134,MATCH($A13,'RSTO &gt; 48hrs'!$A$2:$A$134,0)),IFERROR(INDEX('RSTO &gt; 48hrs'!$G$2:$G$134,MATCH(SUBSTITUTE($A13," SS","  SS"),'RSTO &gt; 48hrs'!$A$2:$A$134,0)),"NA"))</f>
        <v>NA</v>
      </c>
      <c r="H13" s="54" t="str">
        <f aca="false" t="array" ref="H13:H13">IFERROR(INDEX('Recirculation &gt; 24 hrs'!$J$2:$J$150,MATCH($A13,'Recirculation &gt; 24 hrs'!$A$2:$A$150,0)),IFERROR(INDEX('Recirculation &gt; 24 hrs'!$J$2:$J$150,MATCH(SUBSTITUTE($A13," SS","  SS"),'Recirculation &gt; 24 hrs'!$A$2:$A$150,0)),"NA"))</f>
        <v>NA</v>
      </c>
      <c r="I13" s="54" t="n">
        <f aca="false" t="array" ref="I13:I13">IFERROR(INDEX('Pending Putaway'!$D$2:$D$255,MATCH($A13,'Pending Putaway'!$A$2:$A$255,0)),IFERROR(INDEX('Pending Putaway'!$D$2:$D$255,MATCH(SUBSTITUTE($A13," SS","  SS"),'Pending Putaway'!$A$2:$A$255,0)),"NA"))</f>
        <v>0</v>
      </c>
      <c r="J13" s="54" t="n">
        <f aca="false" t="array" ref="J13:J13">IFERROR(INDEX('Pending Putaway'!$K$2:$K$255,MATCH($A13,'Pending Putaway'!$A$2:$A$255,0)),IFERROR(INDEX('Pending Putaway'!$K$2:$K$255,MATCH(SUBSTITUTE($A13," SS","  SS"),'Pending Putaway'!$A$2:$A$255,0)),"NA"))</f>
        <v>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customFormat="false" ht="15" hidden="false" customHeight="false" outlineLevel="0" collapsed="false">
      <c r="A14" s="54" t="s">
        <v>75</v>
      </c>
      <c r="B14" s="54" t="str">
        <f aca="false" t="array" ref="B14:B14">IFERROR(INDEX('CLM &amp; IM Mapping'!$B$2:$B$270,MATCH($A14,'CLM &amp; IM Mapping'!$A$2:$A$270,0)),"Not Mapped")</f>
        <v>Rizwan Ahmed</v>
      </c>
      <c r="C14" s="54" t="str">
        <f aca="false" t="array" ref="C14:C14">IFERROR(INDEX('CLM &amp; IM Mapping'!$C$2:$C$270,MATCH($A14,'CLM &amp; IM Mapping'!$A$2:$A$270,0)),"Not Mapped")</f>
        <v>Un Mapped</v>
      </c>
      <c r="D14" s="55" t="n">
        <f aca="false" t="array" ref="D14:D14">IFERROR(INDEX(Shrinkage!$O$2:$O$260,MATCH($A14,Shrinkage!$C$2:$C$260,0)),IFERROR(INDEX(Shrinkage!$O$2:$O$260,MATCH(SUBSTITUTE($A14," SS","  SS"),Shrinkage!$C$2:$C$260,0)),"NA"))</f>
        <v>31497</v>
      </c>
      <c r="E14" s="56" t="n">
        <f aca="false" t="array" ref="E14:E14">IFERROR(INDEX('Inventory Hygiene'!$I$2:$I$252,MATCH($A14,'Inventory Hygiene'!$A$2:$A$252,0)),IFERROR(INDEX('Inventory Hygiene'!$I$2:$I$252,MATCH(SUBSTITUTE($A14," SS","  SS"),'Inventory Hygiene'!$A$2:$A$252,0)),"NA"))</f>
        <v>0.41</v>
      </c>
      <c r="F14" s="54" t="n">
        <f aca="false" t="array" ref="F14:F14">IFERROR(INDEX('Bad Bins'!$J$2:$J$252,MATCH($A14,'Bad Bins'!$A$2:$A$252,0)),IFERROR(INDEX('Bad Bins'!$J$2:$J$252,MATCH(SUBSTITUTE($A14," SS","  SS"),'Bad Bins'!$A$2:$A$252,0)),"NA"))</f>
        <v>166</v>
      </c>
      <c r="G14" s="54" t="n">
        <f aca="false" t="array" ref="G14:G14">IFERROR(INDEX('RSTO &gt; 48hrs'!$G$2:$G$134,MATCH($A14,'RSTO &gt; 48hrs'!$A$2:$A$134,0)),IFERROR(INDEX('RSTO &gt; 48hrs'!$G$2:$G$134,MATCH(SUBSTITUTE($A14," SS","  SS"),'RSTO &gt; 48hrs'!$A$2:$A$134,0)),"NA"))</f>
        <v>5</v>
      </c>
      <c r="H14" s="54" t="n">
        <f aca="false" t="array" ref="H14:H14">IFERROR(INDEX('Recirculation &gt; 24 hrs'!$J$2:$J$150,MATCH($A14,'Recirculation &gt; 24 hrs'!$A$2:$A$150,0)),IFERROR(INDEX('Recirculation &gt; 24 hrs'!$J$2:$J$150,MATCH(SUBSTITUTE($A14," SS","  SS"),'Recirculation &gt; 24 hrs'!$A$2:$A$150,0)),"NA"))</f>
        <v>9</v>
      </c>
      <c r="I14" s="54" t="n">
        <f aca="false" t="array" ref="I14:I14">IFERROR(INDEX('Pending Putaway'!$D$2:$D$255,MATCH($A14,'Pending Putaway'!$A$2:$A$255,0)),IFERROR(INDEX('Pending Putaway'!$D$2:$D$255,MATCH(SUBSTITUTE($A14," SS","  SS"),'Pending Putaway'!$A$2:$A$255,0)),"NA"))</f>
        <v>802</v>
      </c>
      <c r="J14" s="54" t="n">
        <f aca="false" t="array" ref="J14:J14">IFERROR(INDEX('Pending Putaway'!$K$2:$K$255,MATCH($A14,'Pending Putaway'!$A$2:$A$255,0)),IFERROR(INDEX('Pending Putaway'!$K$2:$K$255,MATCH(SUBSTITUTE($A14," SS","  SS"),'Pending Putaway'!$A$2:$A$255,0)),"NA"))</f>
        <v>802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</row>
    <row r="15" customFormat="false" ht="15" hidden="false" customHeight="false" outlineLevel="0" collapsed="false">
      <c r="A15" s="54" t="s">
        <v>31</v>
      </c>
      <c r="B15" s="54" t="str">
        <f aca="false" t="array" ref="B15:B15">IFERROR(INDEX('CLM &amp; IM Mapping'!$B$2:$B$270,MATCH($A15,'CLM &amp; IM Mapping'!$A$2:$A$270,0)),"Not Mapped")</f>
        <v>Rizwan Ahmed</v>
      </c>
      <c r="C15" s="54" t="str">
        <f aca="false" t="array" ref="C15:C15">IFERROR(INDEX('CLM &amp; IM Mapping'!$C$2:$C$270,MATCH($A15,'CLM &amp; IM Mapping'!$A$2:$A$270,0)),"Not Mapped")</f>
        <v>Un Mapped</v>
      </c>
      <c r="D15" s="55" t="n">
        <f aca="false" t="array" ref="D15:D15">IFERROR(INDEX(Shrinkage!$O$2:$O$260,MATCH($A15,Shrinkage!$C$2:$C$260,0)),IFERROR(INDEX(Shrinkage!$O$2:$O$260,MATCH(SUBSTITUTE($A15," SS","  SS"),Shrinkage!$C$2:$C$260,0)),"NA"))</f>
        <v>83180</v>
      </c>
      <c r="E15" s="56" t="n">
        <f aca="false" t="array" ref="E15:E15">IFERROR(INDEX('Inventory Hygiene'!$I$2:$I$252,MATCH($A15,'Inventory Hygiene'!$A$2:$A$252,0)),IFERROR(INDEX('Inventory Hygiene'!$I$2:$I$252,MATCH(SUBSTITUTE($A15," SS","  SS"),'Inventory Hygiene'!$A$2:$A$252,0)),"NA"))</f>
        <v>0.88</v>
      </c>
      <c r="F15" s="54" t="n">
        <f aca="false" t="array" ref="F15:F15">IFERROR(INDEX('Bad Bins'!$J$2:$J$252,MATCH($A15,'Bad Bins'!$A$2:$A$252,0)),IFERROR(INDEX('Bad Bins'!$J$2:$J$252,MATCH(SUBSTITUTE($A15," SS","  SS"),'Bad Bins'!$A$2:$A$252,0)),"NA"))</f>
        <v>280</v>
      </c>
      <c r="G15" s="54" t="str">
        <f aca="false" t="array" ref="G15:G15">IFERROR(INDEX('RSTO &gt; 48hrs'!$G$2:$G$134,MATCH($A15,'RSTO &gt; 48hrs'!$A$2:$A$134,0)),IFERROR(INDEX('RSTO &gt; 48hrs'!$G$2:$G$134,MATCH(SUBSTITUTE($A15," SS","  SS"),'RSTO &gt; 48hrs'!$A$2:$A$134,0)),"NA"))</f>
        <v>NA</v>
      </c>
      <c r="H15" s="54" t="str">
        <f aca="false" t="array" ref="H15:H15">IFERROR(INDEX('Recirculation &gt; 24 hrs'!$J$2:$J$150,MATCH($A15,'Recirculation &gt; 24 hrs'!$A$2:$A$150,0)),IFERROR(INDEX('Recirculation &gt; 24 hrs'!$J$2:$J$150,MATCH(SUBSTITUTE($A15," SS","  SS"),'Recirculation &gt; 24 hrs'!$A$2:$A$150,0)),"NA"))</f>
        <v>NA</v>
      </c>
      <c r="I15" s="54" t="n">
        <f aca="false" t="array" ref="I15:I15">IFERROR(INDEX('Pending Putaway'!$D$2:$D$255,MATCH($A15,'Pending Putaway'!$A$2:$A$255,0)),IFERROR(INDEX('Pending Putaway'!$D$2:$D$255,MATCH(SUBSTITUTE($A15," SS","  SS"),'Pending Putaway'!$A$2:$A$255,0)),"NA"))</f>
        <v>1937</v>
      </c>
      <c r="J15" s="54" t="n">
        <f aca="false" t="array" ref="J15:J15">IFERROR(INDEX('Pending Putaway'!$K$2:$K$255,MATCH($A15,'Pending Putaway'!$A$2:$A$255,0)),IFERROR(INDEX('Pending Putaway'!$K$2:$K$255,MATCH(SUBSTITUTE($A15," SS","  SS"),'Pending Putaway'!$A$2:$A$255,0)),"NA"))</f>
        <v>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 customFormat="false" ht="15" hidden="false" customHeight="false" outlineLevel="0" collapsed="false">
      <c r="A16" s="54" t="s">
        <v>91</v>
      </c>
      <c r="B16" s="54" t="str">
        <f aca="false" t="array" ref="B16:B16">IFERROR(INDEX('CLM &amp; IM Mapping'!$B$2:$B$270,MATCH($A16,'CLM &amp; IM Mapping'!$A$2:$A$270,0)),"Not Mapped")</f>
        <v>Girish N</v>
      </c>
      <c r="C16" s="54" t="str">
        <f aca="false" t="array" ref="C16:C16">IFERROR(INDEX('CLM &amp; IM Mapping'!$C$2:$C$270,MATCH($A16,'CLM &amp; IM Mapping'!$A$2:$A$270,0)),"Not Mapped")</f>
        <v>Un Mapped</v>
      </c>
      <c r="D16" s="55" t="n">
        <f aca="false" t="array" ref="D16:D16">IFERROR(INDEX(Shrinkage!$O$2:$O$260,MATCH($A16,Shrinkage!$C$2:$C$260,0)),IFERROR(INDEX(Shrinkage!$O$2:$O$260,MATCH(SUBSTITUTE($A16," SS","  SS"),Shrinkage!$C$2:$C$260,0)),"NA"))</f>
        <v>24812</v>
      </c>
      <c r="E16" s="56" t="n">
        <f aca="false" t="array" ref="E16:E16">IFERROR(INDEX('Inventory Hygiene'!$I$2:$I$252,MATCH($A16,'Inventory Hygiene'!$A$2:$A$252,0)),IFERROR(INDEX('Inventory Hygiene'!$I$2:$I$252,MATCH(SUBSTITUTE($A16," SS","  SS"),'Inventory Hygiene'!$A$2:$A$252,0)),"NA"))</f>
        <v>0.67</v>
      </c>
      <c r="F16" s="54" t="n">
        <f aca="false" t="array" ref="F16:F16">IFERROR(INDEX('Bad Bins'!$J$2:$J$252,MATCH($A16,'Bad Bins'!$A$2:$A$252,0)),IFERROR(INDEX('Bad Bins'!$J$2:$J$252,MATCH(SUBSTITUTE($A16," SS","  SS"),'Bad Bins'!$A$2:$A$252,0)),"NA"))</f>
        <v>156</v>
      </c>
      <c r="G16" s="54" t="str">
        <f aca="false" t="array" ref="G16:G16">IFERROR(INDEX('RSTO &gt; 48hrs'!$G$2:$G$134,MATCH($A16,'RSTO &gt; 48hrs'!$A$2:$A$134,0)),IFERROR(INDEX('RSTO &gt; 48hrs'!$G$2:$G$134,MATCH(SUBSTITUTE($A16," SS","  SS"),'RSTO &gt; 48hrs'!$A$2:$A$134,0)),"NA"))</f>
        <v>NA</v>
      </c>
      <c r="H16" s="54" t="str">
        <f aca="false" t="array" ref="H16:H16">IFERROR(INDEX('Recirculation &gt; 24 hrs'!$J$2:$J$150,MATCH($A16,'Recirculation &gt; 24 hrs'!$A$2:$A$150,0)),IFERROR(INDEX('Recirculation &gt; 24 hrs'!$J$2:$J$150,MATCH(SUBSTITUTE($A16," SS","  SS"),'Recirculation &gt; 24 hrs'!$A$2:$A$150,0)),"NA"))</f>
        <v>NA</v>
      </c>
      <c r="I16" s="54" t="n">
        <f aca="false" t="array" ref="I16:I16">IFERROR(INDEX('Pending Putaway'!$D$2:$D$255,MATCH($A16,'Pending Putaway'!$A$2:$A$255,0)),IFERROR(INDEX('Pending Putaway'!$D$2:$D$255,MATCH(SUBSTITUTE($A16," SS","  SS"),'Pending Putaway'!$A$2:$A$255,0)),"NA"))</f>
        <v>4539</v>
      </c>
      <c r="J16" s="54" t="n">
        <f aca="false" t="array" ref="J16:J16">IFERROR(INDEX('Pending Putaway'!$K$2:$K$255,MATCH($A16,'Pending Putaway'!$A$2:$A$255,0)),IFERROR(INDEX('Pending Putaway'!$K$2:$K$255,MATCH(SUBSTITUTE($A16," SS","  SS"),'Pending Putaway'!$A$2:$A$255,0)),"NA"))</f>
        <v>4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customFormat="false" ht="15" hidden="false" customHeight="false" outlineLevel="0" collapsed="false">
      <c r="A17" s="54" t="s">
        <v>39</v>
      </c>
      <c r="B17" s="54" t="str">
        <f aca="false" t="array" ref="B17:B17">IFERROR(INDEX('CLM &amp; IM Mapping'!$B$2:$B$270,MATCH($A17,'CLM &amp; IM Mapping'!$A$2:$A$270,0)),"Not Mapped")</f>
        <v>Girish N</v>
      </c>
      <c r="C17" s="54" t="str">
        <f aca="false" t="array" ref="C17:C17">IFERROR(INDEX('CLM &amp; IM Mapping'!$C$2:$C$270,MATCH($A17,'CLM &amp; IM Mapping'!$A$2:$A$270,0)),"Not Mapped")</f>
        <v>Un Mapped</v>
      </c>
      <c r="D17" s="55" t="n">
        <f aca="false" t="array" ref="D17:D17">IFERROR(INDEX(Shrinkage!$O$2:$O$260,MATCH($A17,Shrinkage!$C$2:$C$260,0)),IFERROR(INDEX(Shrinkage!$O$2:$O$260,MATCH(SUBSTITUTE($A17," SS","  SS"),Shrinkage!$C$2:$C$260,0)),"NA"))</f>
        <v>49497</v>
      </c>
      <c r="E17" s="56" t="n">
        <f aca="false" t="array" ref="E17:E17">IFERROR(INDEX('Inventory Hygiene'!$I$2:$I$252,MATCH($A17,'Inventory Hygiene'!$A$2:$A$252,0)),IFERROR(INDEX('Inventory Hygiene'!$I$2:$I$252,MATCH(SUBSTITUTE($A17," SS","  SS"),'Inventory Hygiene'!$A$2:$A$252,0)),"NA"))</f>
        <v>0.55</v>
      </c>
      <c r="F17" s="54" t="n">
        <f aca="false" t="array" ref="F17:F17">IFERROR(INDEX('Bad Bins'!$J$2:$J$252,MATCH($A17,'Bad Bins'!$A$2:$A$252,0)),IFERROR(INDEX('Bad Bins'!$J$2:$J$252,MATCH(SUBSTITUTE($A17," SS","  SS"),'Bad Bins'!$A$2:$A$252,0)),"NA"))</f>
        <v>80</v>
      </c>
      <c r="G17" s="54" t="str">
        <f aca="false" t="array" ref="G17:G17">IFERROR(INDEX('RSTO &gt; 48hrs'!$G$2:$G$134,MATCH($A17,'RSTO &gt; 48hrs'!$A$2:$A$134,0)),IFERROR(INDEX('RSTO &gt; 48hrs'!$G$2:$G$134,MATCH(SUBSTITUTE($A17," SS","  SS"),'RSTO &gt; 48hrs'!$A$2:$A$134,0)),"NA"))</f>
        <v>NA</v>
      </c>
      <c r="H17" s="54" t="str">
        <f aca="false" t="array" ref="H17:H17">IFERROR(INDEX('Recirculation &gt; 24 hrs'!$J$2:$J$150,MATCH($A17,'Recirculation &gt; 24 hrs'!$A$2:$A$150,0)),IFERROR(INDEX('Recirculation &gt; 24 hrs'!$J$2:$J$150,MATCH(SUBSTITUTE($A17," SS","  SS"),'Recirculation &gt; 24 hrs'!$A$2:$A$150,0)),"NA"))</f>
        <v>NA</v>
      </c>
      <c r="I17" s="54" t="n">
        <f aca="false" t="array" ref="I17:I17">IFERROR(INDEX('Pending Putaway'!$D$2:$D$255,MATCH($A17,'Pending Putaway'!$A$2:$A$255,0)),IFERROR(INDEX('Pending Putaway'!$D$2:$D$255,MATCH(SUBSTITUTE($A17," SS","  SS"),'Pending Putaway'!$A$2:$A$255,0)),"NA"))</f>
        <v>4763</v>
      </c>
      <c r="J17" s="54" t="n">
        <f aca="false" t="array" ref="J17:J17">IFERROR(INDEX('Pending Putaway'!$K$2:$K$255,MATCH($A17,'Pending Putaway'!$A$2:$A$255,0)),IFERROR(INDEX('Pending Putaway'!$K$2:$K$255,MATCH(SUBSTITUTE($A17," SS","  SS"),'Pending Putaway'!$A$2:$A$255,0)),"NA"))</f>
        <v>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customFormat="false" ht="15.75" hidden="false" customHeight="true" outlineLevel="0" collapsed="false">
      <c r="A18" s="54" t="s">
        <v>53</v>
      </c>
      <c r="B18" s="54" t="str">
        <f aca="false" t="array" ref="B18:B18">IFERROR(INDEX('CLM &amp; IM Mapping'!$B$2:$B$270,MATCH($A18,'CLM &amp; IM Mapping'!$A$2:$A$270,0)),"Not Mapped")</f>
        <v>Girish N</v>
      </c>
      <c r="C18" s="54" t="str">
        <f aca="false" t="array" ref="C18:C18">IFERROR(INDEX('CLM &amp; IM Mapping'!$C$2:$C$270,MATCH($A18,'CLM &amp; IM Mapping'!$A$2:$A$270,0)),"Not Mapped")</f>
        <v>Un Mapped</v>
      </c>
      <c r="D18" s="55" t="n">
        <f aca="false" t="array" ref="D18:D18">IFERROR(INDEX(Shrinkage!$O$2:$O$260,MATCH($A18,Shrinkage!$C$2:$C$260,0)),IFERROR(INDEX(Shrinkage!$O$2:$O$260,MATCH(SUBSTITUTE($A18," SS","  SS"),Shrinkage!$C$2:$C$260,0)),"NA"))</f>
        <v>42776</v>
      </c>
      <c r="E18" s="56" t="n">
        <f aca="false" t="array" ref="E18:E18">IFERROR(INDEX('Inventory Hygiene'!$I$2:$I$252,MATCH($A18,'Inventory Hygiene'!$A$2:$A$252,0)),IFERROR(INDEX('Inventory Hygiene'!$I$2:$I$252,MATCH(SUBSTITUTE($A18," SS","  SS"),'Inventory Hygiene'!$A$2:$A$252,0)),"NA"))</f>
        <v>0.16</v>
      </c>
      <c r="F18" s="54" t="n">
        <f aca="false" t="array" ref="F18:F18">IFERROR(INDEX('Bad Bins'!$J$2:$J$252,MATCH($A18,'Bad Bins'!$A$2:$A$252,0)),IFERROR(INDEX('Bad Bins'!$J$2:$J$252,MATCH(SUBSTITUTE($A18," SS","  SS"),'Bad Bins'!$A$2:$A$252,0)),"NA"))</f>
        <v>48</v>
      </c>
      <c r="G18" s="54" t="str">
        <f aca="false" t="array" ref="G18:G18">IFERROR(INDEX('RSTO &gt; 48hrs'!$G$2:$G$134,MATCH($A18,'RSTO &gt; 48hrs'!$A$2:$A$134,0)),IFERROR(INDEX('RSTO &gt; 48hrs'!$G$2:$G$134,MATCH(SUBSTITUTE($A18," SS","  SS"),'RSTO &gt; 48hrs'!$A$2:$A$134,0)),"NA"))</f>
        <v>NA</v>
      </c>
      <c r="H18" s="54" t="n">
        <f aca="false" t="array" ref="H18:H18">IFERROR(INDEX('Recirculation &gt; 24 hrs'!$J$2:$J$150,MATCH($A18,'Recirculation &gt; 24 hrs'!$A$2:$A$150,0)),IFERROR(INDEX('Recirculation &gt; 24 hrs'!$J$2:$J$150,MATCH(SUBSTITUTE($A18," SS","  SS"),'Recirculation &gt; 24 hrs'!$A$2:$A$150,0)),"NA"))</f>
        <v>2</v>
      </c>
      <c r="I18" s="54" t="n">
        <f aca="false" t="array" ref="I18:I18">IFERROR(INDEX('Pending Putaway'!$D$2:$D$255,MATCH($A18,'Pending Putaway'!$A$2:$A$255,0)),IFERROR(INDEX('Pending Putaway'!$D$2:$D$255,MATCH(SUBSTITUTE($A18," SS","  SS"),'Pending Putaway'!$A$2:$A$255,0)),"NA"))</f>
        <v>1731</v>
      </c>
      <c r="J18" s="54" t="n">
        <f aca="false" t="array" ref="J18:J18">IFERROR(INDEX('Pending Putaway'!$K$2:$K$255,MATCH($A18,'Pending Putaway'!$A$2:$A$255,0)),IFERROR(INDEX('Pending Putaway'!$K$2:$K$255,MATCH(SUBSTITUTE($A18," SS","  SS"),'Pending Putaway'!$A$2:$A$255,0)),"NA"))</f>
        <v>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customFormat="false" ht="15.75" hidden="false" customHeight="true" outlineLevel="0" collapsed="false">
      <c r="A19" s="54" t="s">
        <v>89</v>
      </c>
      <c r="B19" s="54" t="str">
        <f aca="false" t="array" ref="B19:B19">IFERROR(INDEX('CLM &amp; IM Mapping'!$B$2:$B$270,MATCH($A19,'CLM &amp; IM Mapping'!$A$2:$A$270,0)),"Not Mapped")</f>
        <v>Girish N</v>
      </c>
      <c r="C19" s="54" t="str">
        <f aca="false" t="array" ref="C19:C19">IFERROR(INDEX('CLM &amp; IM Mapping'!$C$2:$C$270,MATCH($A19,'CLM &amp; IM Mapping'!$A$2:$A$270,0)),"Not Mapped")</f>
        <v>Un Mapped</v>
      </c>
      <c r="D19" s="55" t="n">
        <f aca="false" t="array" ref="D19:D19">IFERROR(INDEX(Shrinkage!$O$2:$O$260,MATCH($A19,Shrinkage!$C$2:$C$260,0)),IFERROR(INDEX(Shrinkage!$O$2:$O$260,MATCH(SUBSTITUTE($A19," SS","  SS"),Shrinkage!$C$2:$C$260,0)),"NA"))</f>
        <v>25896</v>
      </c>
      <c r="E19" s="56" t="n">
        <f aca="false" t="array" ref="E19:E19">IFERROR(INDEX('Inventory Hygiene'!$I$2:$I$252,MATCH($A19,'Inventory Hygiene'!$A$2:$A$252,0)),IFERROR(INDEX('Inventory Hygiene'!$I$2:$I$252,MATCH(SUBSTITUTE($A19," SS","  SS"),'Inventory Hygiene'!$A$2:$A$252,0)),"NA"))</f>
        <v>0.43</v>
      </c>
      <c r="F19" s="54" t="n">
        <f aca="false" t="array" ref="F19:F19">IFERROR(INDEX('Bad Bins'!$J$2:$J$252,MATCH($A19,'Bad Bins'!$A$2:$A$252,0)),IFERROR(INDEX('Bad Bins'!$J$2:$J$252,MATCH(SUBSTITUTE($A19," SS","  SS"),'Bad Bins'!$A$2:$A$252,0)),"NA"))</f>
        <v>89</v>
      </c>
      <c r="G19" s="54" t="n">
        <f aca="false" t="array" ref="G19:G19">IFERROR(INDEX('RSTO &gt; 48hrs'!$G$2:$G$134,MATCH($A19,'RSTO &gt; 48hrs'!$A$2:$A$134,0)),IFERROR(INDEX('RSTO &gt; 48hrs'!$G$2:$G$134,MATCH(SUBSTITUTE($A19," SS","  SS"),'RSTO &gt; 48hrs'!$A$2:$A$134,0)),"NA"))</f>
        <v>9</v>
      </c>
      <c r="H19" s="54" t="n">
        <f aca="false" t="array" ref="H19:H19">IFERROR(INDEX('Recirculation &gt; 24 hrs'!$J$2:$J$150,MATCH($A19,'Recirculation &gt; 24 hrs'!$A$2:$A$150,0)),IFERROR(INDEX('Recirculation &gt; 24 hrs'!$J$2:$J$150,MATCH(SUBSTITUTE($A19," SS","  SS"),'Recirculation &gt; 24 hrs'!$A$2:$A$150,0)),"NA"))</f>
        <v>499</v>
      </c>
      <c r="I19" s="54" t="n">
        <f aca="false" t="array" ref="I19:I19">IFERROR(INDEX('Pending Putaway'!$D$2:$D$255,MATCH($A19,'Pending Putaway'!$A$2:$A$255,0)),IFERROR(INDEX('Pending Putaway'!$D$2:$D$255,MATCH(SUBSTITUTE($A19," SS","  SS"),'Pending Putaway'!$A$2:$A$255,0)),"NA"))</f>
        <v>3429</v>
      </c>
      <c r="J19" s="54" t="n">
        <f aca="false" t="array" ref="J19:J19">IFERROR(INDEX('Pending Putaway'!$K$2:$K$255,MATCH($A19,'Pending Putaway'!$A$2:$A$255,0)),IFERROR(INDEX('Pending Putaway'!$K$2:$K$255,MATCH(SUBSTITUTE($A19," SS","  SS"),'Pending Putaway'!$A$2:$A$255,0)),"NA"))</f>
        <v>398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customFormat="false" ht="15.75" hidden="false" customHeight="true" outlineLevel="0" collapsed="false">
      <c r="A20" s="54" t="s">
        <v>220</v>
      </c>
      <c r="B20" s="54" t="str">
        <f aca="false" t="array" ref="B20:B20">IFERROR(INDEX('CLM &amp; IM Mapping'!$B$2:$B$270,MATCH($A20,'CLM &amp; IM Mapping'!$A$2:$A$270,0)),"Not Mapped")</f>
        <v>Girish N</v>
      </c>
      <c r="C20" s="54" t="str">
        <f aca="false" t="array" ref="C20:C20">IFERROR(INDEX('CLM &amp; IM Mapping'!$C$2:$C$270,MATCH($A20,'CLM &amp; IM Mapping'!$A$2:$A$270,0)),"Not Mapped")</f>
        <v>Un Mapped</v>
      </c>
      <c r="D20" s="55" t="n">
        <f aca="false" t="array" ref="D20:D20">IFERROR(INDEX(Shrinkage!$O$2:$O$260,MATCH($A20,Shrinkage!$C$2:$C$260,0)),IFERROR(INDEX(Shrinkage!$O$2:$O$260,MATCH(SUBSTITUTE($A20," SS","  SS"),Shrinkage!$C$2:$C$260,0)),"NA"))</f>
        <v>-3852</v>
      </c>
      <c r="E20" s="56" t="n">
        <f aca="false" t="array" ref="E20:E20">IFERROR(INDEX('Inventory Hygiene'!$I$2:$I$252,MATCH($A20,'Inventory Hygiene'!$A$2:$A$252,0)),IFERROR(INDEX('Inventory Hygiene'!$I$2:$I$252,MATCH(SUBSTITUTE($A20," SS","  SS"),'Inventory Hygiene'!$A$2:$A$252,0)),"NA"))</f>
        <v>0.64</v>
      </c>
      <c r="F20" s="54" t="n">
        <f aca="false" t="array" ref="F20:F20">IFERROR(INDEX('Bad Bins'!$J$2:$J$252,MATCH($A20,'Bad Bins'!$A$2:$A$252,0)),IFERROR(INDEX('Bad Bins'!$J$2:$J$252,MATCH(SUBSTITUTE($A20," SS","  SS"),'Bad Bins'!$A$2:$A$252,0)),"NA"))</f>
        <v>110</v>
      </c>
      <c r="G20" s="54" t="str">
        <f aca="false" t="array" ref="G20:G20">IFERROR(INDEX('RSTO &gt; 48hrs'!$G$2:$G$134,MATCH($A20,'RSTO &gt; 48hrs'!$A$2:$A$134,0)),IFERROR(INDEX('RSTO &gt; 48hrs'!$G$2:$G$134,MATCH(SUBSTITUTE($A20," SS","  SS"),'RSTO &gt; 48hrs'!$A$2:$A$134,0)),"NA"))</f>
        <v>NA</v>
      </c>
      <c r="H20" s="54" t="str">
        <f aca="false" t="array" ref="H20:H20">IFERROR(INDEX('Recirculation &gt; 24 hrs'!$J$2:$J$150,MATCH($A20,'Recirculation &gt; 24 hrs'!$A$2:$A$150,0)),IFERROR(INDEX('Recirculation &gt; 24 hrs'!$J$2:$J$150,MATCH(SUBSTITUTE($A20," SS","  SS"),'Recirculation &gt; 24 hrs'!$A$2:$A$150,0)),"NA"))</f>
        <v>NA</v>
      </c>
      <c r="I20" s="54" t="n">
        <f aca="false" t="array" ref="I20:I20">IFERROR(INDEX('Pending Putaway'!$D$2:$D$255,MATCH($A20,'Pending Putaway'!$A$2:$A$255,0)),IFERROR(INDEX('Pending Putaway'!$D$2:$D$255,MATCH(SUBSTITUTE($A20," SS","  SS"),'Pending Putaway'!$A$2:$A$255,0)),"NA"))</f>
        <v>3443</v>
      </c>
      <c r="J20" s="54" t="n">
        <f aca="false" t="array" ref="J20:J20">IFERROR(INDEX('Pending Putaway'!$K$2:$K$255,MATCH($A20,'Pending Putaway'!$A$2:$A$255,0)),IFERROR(INDEX('Pending Putaway'!$K$2:$K$255,MATCH(SUBSTITUTE($A20," SS","  SS"),'Pending Putaway'!$A$2:$A$255,0)),"NA"))</f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</row>
    <row r="21" customFormat="false" ht="15.75" hidden="false" customHeight="true" outlineLevel="0" collapsed="false">
      <c r="A21" s="54" t="s">
        <v>63</v>
      </c>
      <c r="B21" s="54" t="str">
        <f aca="false" t="array" ref="B21:B21">IFERROR(INDEX('CLM &amp; IM Mapping'!$B$2:$B$270,MATCH($A21,'CLM &amp; IM Mapping'!$A$2:$A$270,0)),"Not Mapped")</f>
        <v>Girish N</v>
      </c>
      <c r="C21" s="54" t="str">
        <f aca="false" t="array" ref="C21:C21">IFERROR(INDEX('CLM &amp; IM Mapping'!$C$2:$C$270,MATCH($A21,'CLM &amp; IM Mapping'!$A$2:$A$270,0)),"Not Mapped")</f>
        <v>Un Mapped</v>
      </c>
      <c r="D21" s="55" t="n">
        <f aca="false" t="array" ref="D21:D21">IFERROR(INDEX(Shrinkage!$O$2:$O$260,MATCH($A21,Shrinkage!$C$2:$C$260,0)),IFERROR(INDEX(Shrinkage!$O$2:$O$260,MATCH(SUBSTITUTE($A21," SS","  SS"),Shrinkage!$C$2:$C$260,0)),"NA"))</f>
        <v>39906</v>
      </c>
      <c r="E21" s="56" t="n">
        <f aca="false" t="array" ref="E21:E21">IFERROR(INDEX('Inventory Hygiene'!$I$2:$I$252,MATCH($A21,'Inventory Hygiene'!$A$2:$A$252,0)),IFERROR(INDEX('Inventory Hygiene'!$I$2:$I$252,MATCH(SUBSTITUTE($A21," SS","  SS"),'Inventory Hygiene'!$A$2:$A$252,0)),"NA"))</f>
        <v>0.35</v>
      </c>
      <c r="F21" s="54" t="n">
        <f aca="false" t="array" ref="F21:F21">IFERROR(INDEX('Bad Bins'!$J$2:$J$252,MATCH($A21,'Bad Bins'!$A$2:$A$252,0)),IFERROR(INDEX('Bad Bins'!$J$2:$J$252,MATCH(SUBSTITUTE($A21," SS","  SS"),'Bad Bins'!$A$2:$A$252,0)),"NA"))</f>
        <v>47</v>
      </c>
      <c r="G21" s="54" t="str">
        <f aca="false" t="array" ref="G21:G21">IFERROR(INDEX('RSTO &gt; 48hrs'!$G$2:$G$134,MATCH($A21,'RSTO &gt; 48hrs'!$A$2:$A$134,0)),IFERROR(INDEX('RSTO &gt; 48hrs'!$G$2:$G$134,MATCH(SUBSTITUTE($A21," SS","  SS"),'RSTO &gt; 48hrs'!$A$2:$A$134,0)),"NA"))</f>
        <v>NA</v>
      </c>
      <c r="H21" s="54" t="n">
        <f aca="false" t="array" ref="H21:H21">IFERROR(INDEX('Recirculation &gt; 24 hrs'!$J$2:$J$150,MATCH($A21,'Recirculation &gt; 24 hrs'!$A$2:$A$150,0)),IFERROR(INDEX('Recirculation &gt; 24 hrs'!$J$2:$J$150,MATCH(SUBSTITUTE($A21," SS","  SS"),'Recirculation &gt; 24 hrs'!$A$2:$A$150,0)),"NA"))</f>
        <v>2</v>
      </c>
      <c r="I21" s="54" t="n">
        <f aca="false" t="array" ref="I21:I21">IFERROR(INDEX('Pending Putaway'!$D$2:$D$255,MATCH($A21,'Pending Putaway'!$A$2:$A$255,0)),IFERROR(INDEX('Pending Putaway'!$D$2:$D$255,MATCH(SUBSTITUTE($A21," SS","  SS"),'Pending Putaway'!$A$2:$A$255,0)),"NA"))</f>
        <v>261</v>
      </c>
      <c r="J21" s="54" t="n">
        <f aca="false" t="array" ref="J21:J21">IFERROR(INDEX('Pending Putaway'!$K$2:$K$255,MATCH($A21,'Pending Putaway'!$A$2:$A$255,0)),IFERROR(INDEX('Pending Putaway'!$K$2:$K$255,MATCH(SUBSTITUTE($A21," SS","  SS"),'Pending Putaway'!$A$2:$A$255,0)),"NA"))</f>
        <v>261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customFormat="false" ht="15.75" hidden="false" customHeight="true" outlineLevel="0" collapsed="false">
      <c r="A22" s="54" t="s">
        <v>225</v>
      </c>
      <c r="B22" s="54" t="str">
        <f aca="false" t="array" ref="B22:B22">IFERROR(INDEX('CLM &amp; IM Mapping'!$B$2:$B$270,MATCH($A22,'CLM &amp; IM Mapping'!$A$2:$A$270,0)),"Not Mapped")</f>
        <v>Manjunatha V</v>
      </c>
      <c r="C22" s="54" t="str">
        <f aca="false" t="array" ref="C22:C22">IFERROR(INDEX('CLM &amp; IM Mapping'!$C$2:$C$270,MATCH($A22,'CLM &amp; IM Mapping'!$A$2:$A$270,0)),"Not Mapped")</f>
        <v>Un Mapped</v>
      </c>
      <c r="D22" s="55" t="n">
        <f aca="false" t="array" ref="D22:D22">IFERROR(INDEX(Shrinkage!$O$2:$O$260,MATCH($A22,Shrinkage!$C$2:$C$260,0)),IFERROR(INDEX(Shrinkage!$O$2:$O$260,MATCH(SUBSTITUTE($A22," SS","  SS"),Shrinkage!$C$2:$C$260,0)),"NA"))</f>
        <v>-4667</v>
      </c>
      <c r="E22" s="56" t="n">
        <f aca="false" t="array" ref="E22:E22">IFERROR(INDEX('Inventory Hygiene'!$I$2:$I$252,MATCH($A22,'Inventory Hygiene'!$A$2:$A$252,0)),IFERROR(INDEX('Inventory Hygiene'!$I$2:$I$252,MATCH(SUBSTITUTE($A22," SS","  SS"),'Inventory Hygiene'!$A$2:$A$252,0)),"NA"))</f>
        <v>0.52</v>
      </c>
      <c r="F22" s="54" t="n">
        <f aca="false" t="array" ref="F22:F22">IFERROR(INDEX('Bad Bins'!$J$2:$J$252,MATCH($A22,'Bad Bins'!$A$2:$A$252,0)),IFERROR(INDEX('Bad Bins'!$J$2:$J$252,MATCH(SUBSTITUTE($A22," SS","  SS"),'Bad Bins'!$A$2:$A$252,0)),"NA"))</f>
        <v>240</v>
      </c>
      <c r="G22" s="54" t="n">
        <f aca="false" t="array" ref="G22:G22">IFERROR(INDEX('RSTO &gt; 48hrs'!$G$2:$G$134,MATCH($A22,'RSTO &gt; 48hrs'!$A$2:$A$134,0)),IFERROR(INDEX('RSTO &gt; 48hrs'!$G$2:$G$134,MATCH(SUBSTITUTE($A22," SS","  SS"),'RSTO &gt; 48hrs'!$A$2:$A$134,0)),"NA"))</f>
        <v>4</v>
      </c>
      <c r="H22" s="54" t="str">
        <f aca="false" t="array" ref="H22:H22">IFERROR(INDEX('Recirculation &gt; 24 hrs'!$J$2:$J$150,MATCH($A22,'Recirculation &gt; 24 hrs'!$A$2:$A$150,0)),IFERROR(INDEX('Recirculation &gt; 24 hrs'!$J$2:$J$150,MATCH(SUBSTITUTE($A22," SS","  SS"),'Recirculation &gt; 24 hrs'!$A$2:$A$150,0)),"NA"))</f>
        <v>NA</v>
      </c>
      <c r="I22" s="54" t="n">
        <f aca="false" t="array" ref="I22:I22">IFERROR(INDEX('Pending Putaway'!$D$2:$D$255,MATCH($A22,'Pending Putaway'!$A$2:$A$255,0)),IFERROR(INDEX('Pending Putaway'!$D$2:$D$255,MATCH(SUBSTITUTE($A22," SS","  SS"),'Pending Putaway'!$A$2:$A$255,0)),"NA"))</f>
        <v>33</v>
      </c>
      <c r="J22" s="54" t="n">
        <f aca="false" t="array" ref="J22:J22">IFERROR(INDEX('Pending Putaway'!$K$2:$K$255,MATCH($A22,'Pending Putaway'!$A$2:$A$255,0)),IFERROR(INDEX('Pending Putaway'!$K$2:$K$255,MATCH(SUBSTITUTE($A22," SS","  SS"),'Pending Putaway'!$A$2:$A$255,0)),"NA"))</f>
        <v>33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customFormat="false" ht="15.75" hidden="false" customHeight="true" outlineLevel="0" collapsed="false">
      <c r="A23" s="54" t="s">
        <v>93</v>
      </c>
      <c r="B23" s="54" t="str">
        <f aca="false" t="array" ref="B23:B23">IFERROR(INDEX('CLM &amp; IM Mapping'!$B$2:$B$270,MATCH($A23,'CLM &amp; IM Mapping'!$A$2:$A$270,0)),"Not Mapped")</f>
        <v>Manjunatha V</v>
      </c>
      <c r="C23" s="54" t="str">
        <f aca="false" t="array" ref="C23:C23">IFERROR(INDEX('CLM &amp; IM Mapping'!$C$2:$C$270,MATCH($A23,'CLM &amp; IM Mapping'!$A$2:$A$270,0)),"Not Mapped")</f>
        <v>Un Mapped</v>
      </c>
      <c r="D23" s="55" t="n">
        <f aca="false" t="array" ref="D23:D23">IFERROR(INDEX(Shrinkage!$O$2:$O$260,MATCH($A23,Shrinkage!$C$2:$C$260,0)),IFERROR(INDEX(Shrinkage!$O$2:$O$260,MATCH(SUBSTITUTE($A23," SS","  SS"),Shrinkage!$C$2:$C$260,0)),"NA"))</f>
        <v>22131</v>
      </c>
      <c r="E23" s="56" t="n">
        <f aca="false" t="array" ref="E23:E23">IFERROR(INDEX('Inventory Hygiene'!$I$2:$I$252,MATCH($A23,'Inventory Hygiene'!$A$2:$A$252,0)),IFERROR(INDEX('Inventory Hygiene'!$I$2:$I$252,MATCH(SUBSTITUTE($A23," SS","  SS"),'Inventory Hygiene'!$A$2:$A$252,0)),"NA"))</f>
        <v>0.78</v>
      </c>
      <c r="F23" s="54" t="n">
        <f aca="false" t="array" ref="F23:F23">IFERROR(INDEX('Bad Bins'!$J$2:$J$252,MATCH($A23,'Bad Bins'!$A$2:$A$252,0)),IFERROR(INDEX('Bad Bins'!$J$2:$J$252,MATCH(SUBSTITUTE($A23," SS","  SS"),'Bad Bins'!$A$2:$A$252,0)),"NA"))</f>
        <v>350</v>
      </c>
      <c r="G23" s="54" t="n">
        <f aca="false" t="array" ref="G23:G23">IFERROR(INDEX('RSTO &gt; 48hrs'!$G$2:$G$134,MATCH($A23,'RSTO &gt; 48hrs'!$A$2:$A$134,0)),IFERROR(INDEX('RSTO &gt; 48hrs'!$G$2:$G$134,MATCH(SUBSTITUTE($A23," SS","  SS"),'RSTO &gt; 48hrs'!$A$2:$A$134,0)),"NA"))</f>
        <v>647</v>
      </c>
      <c r="H23" s="54" t="n">
        <f aca="false" t="array" ref="H23:H23">IFERROR(INDEX('Recirculation &gt; 24 hrs'!$J$2:$J$150,MATCH($A23,'Recirculation &gt; 24 hrs'!$A$2:$A$150,0)),IFERROR(INDEX('Recirculation &gt; 24 hrs'!$J$2:$J$150,MATCH(SUBSTITUTE($A23," SS","  SS"),'Recirculation &gt; 24 hrs'!$A$2:$A$150,0)),"NA"))</f>
        <v>44</v>
      </c>
      <c r="I23" s="54" t="n">
        <f aca="false" t="array" ref="I23:I23">IFERROR(INDEX('Pending Putaway'!$D$2:$D$255,MATCH($A23,'Pending Putaway'!$A$2:$A$255,0)),IFERROR(INDEX('Pending Putaway'!$D$2:$D$255,MATCH(SUBSTITUTE($A23," SS","  SS"),'Pending Putaway'!$A$2:$A$255,0)),"NA"))</f>
        <v>2387</v>
      </c>
      <c r="J23" s="54" t="n">
        <f aca="false" t="array" ref="J23:J23">IFERROR(INDEX('Pending Putaway'!$K$2:$K$255,MATCH($A23,'Pending Putaway'!$A$2:$A$255,0)),IFERROR(INDEX('Pending Putaway'!$K$2:$K$255,MATCH(SUBSTITUTE($A23," SS","  SS"),'Pending Putaway'!$A$2:$A$255,0)),"NA"))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customFormat="false" ht="15.75" hidden="false" customHeight="true" outlineLevel="0" collapsed="false">
      <c r="A24" s="54" t="s">
        <v>150</v>
      </c>
      <c r="B24" s="54" t="str">
        <f aca="false" t="array" ref="B24:B24">IFERROR(INDEX('CLM &amp; IM Mapping'!$B$2:$B$270,MATCH($A24,'CLM &amp; IM Mapping'!$A$2:$A$270,0)),"Not Mapped")</f>
        <v>Manjunatha V</v>
      </c>
      <c r="C24" s="54" t="str">
        <f aca="false" t="array" ref="C24:C24">IFERROR(INDEX('CLM &amp; IM Mapping'!$C$2:$C$270,MATCH($A24,'CLM &amp; IM Mapping'!$A$2:$A$270,0)),"Not Mapped")</f>
        <v>Un Mapped</v>
      </c>
      <c r="D24" s="55" t="n">
        <f aca="false" t="array" ref="D24:D24">IFERROR(INDEX(Shrinkage!$O$2:$O$260,MATCH($A24,Shrinkage!$C$2:$C$260,0)),IFERROR(INDEX(Shrinkage!$O$2:$O$260,MATCH(SUBSTITUTE($A24," SS","  SS"),Shrinkage!$C$2:$C$260,0)),"NA"))</f>
        <v>4627</v>
      </c>
      <c r="E24" s="56" t="n">
        <f aca="false" t="array" ref="E24:E24">IFERROR(INDEX('Inventory Hygiene'!$I$2:$I$252,MATCH($A24,'Inventory Hygiene'!$A$2:$A$252,0)),IFERROR(INDEX('Inventory Hygiene'!$I$2:$I$252,MATCH(SUBSTITUTE($A24," SS","  SS"),'Inventory Hygiene'!$A$2:$A$252,0)),"NA"))</f>
        <v>0.59</v>
      </c>
      <c r="F24" s="54" t="n">
        <f aca="false" t="array" ref="F24:F24">IFERROR(INDEX('Bad Bins'!$J$2:$J$252,MATCH($A24,'Bad Bins'!$A$2:$A$252,0)),IFERROR(INDEX('Bad Bins'!$J$2:$J$252,MATCH(SUBSTITUTE($A24," SS","  SS"),'Bad Bins'!$A$2:$A$252,0)),"NA"))</f>
        <v>99</v>
      </c>
      <c r="G24" s="54" t="n">
        <f aca="false" t="array" ref="G24:G24">IFERROR(INDEX('RSTO &gt; 48hrs'!$G$2:$G$134,MATCH($A24,'RSTO &gt; 48hrs'!$A$2:$A$134,0)),IFERROR(INDEX('RSTO &gt; 48hrs'!$G$2:$G$134,MATCH(SUBSTITUTE($A24," SS","  SS"),'RSTO &gt; 48hrs'!$A$2:$A$134,0)),"NA"))</f>
        <v>7</v>
      </c>
      <c r="H24" s="54" t="n">
        <f aca="false" t="array" ref="H24:H24">IFERROR(INDEX('Recirculation &gt; 24 hrs'!$J$2:$J$150,MATCH($A24,'Recirculation &gt; 24 hrs'!$A$2:$A$150,0)),IFERROR(INDEX('Recirculation &gt; 24 hrs'!$J$2:$J$150,MATCH(SUBSTITUTE($A24," SS","  SS"),'Recirculation &gt; 24 hrs'!$A$2:$A$150,0)),"NA"))</f>
        <v>6</v>
      </c>
      <c r="I24" s="54" t="n">
        <f aca="false" t="array" ref="I24:I24">IFERROR(INDEX('Pending Putaway'!$D$2:$D$255,MATCH($A24,'Pending Putaway'!$A$2:$A$255,0)),IFERROR(INDEX('Pending Putaway'!$D$2:$D$255,MATCH(SUBSTITUTE($A24," SS","  SS"),'Pending Putaway'!$A$2:$A$255,0)),"NA"))</f>
        <v>7054</v>
      </c>
      <c r="J24" s="54" t="n">
        <f aca="false" t="array" ref="J24:J24">IFERROR(INDEX('Pending Putaway'!$K$2:$K$255,MATCH($A24,'Pending Putaway'!$A$2:$A$255,0)),IFERROR(INDEX('Pending Putaway'!$K$2:$K$255,MATCH(SUBSTITUTE($A24," SS","  SS"),'Pending Putaway'!$A$2:$A$255,0)),"NA"))</f>
        <v>433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customFormat="false" ht="15.75" hidden="false" customHeight="true" outlineLevel="0" collapsed="false">
      <c r="A25" s="54" t="s">
        <v>271</v>
      </c>
      <c r="B25" s="54" t="str">
        <f aca="false" t="array" ref="B25:B25">IFERROR(INDEX('CLM &amp; IM Mapping'!$B$2:$B$270,MATCH($A25,'CLM &amp; IM Mapping'!$A$2:$A$270,0)),"Not Mapped")</f>
        <v>Manjunatha V</v>
      </c>
      <c r="C25" s="54" t="str">
        <f aca="false" t="array" ref="C25:C25">IFERROR(INDEX('CLM &amp; IM Mapping'!$C$2:$C$270,MATCH($A25,'CLM &amp; IM Mapping'!$A$2:$A$270,0)),"Not Mapped")</f>
        <v>Un Mapped</v>
      </c>
      <c r="D25" s="55" t="n">
        <f aca="false" t="array" ref="D25:D25">IFERROR(INDEX(Shrinkage!$O$2:$O$260,MATCH($A25,Shrinkage!$C$2:$C$260,0)),IFERROR(INDEX(Shrinkage!$O$2:$O$260,MATCH(SUBSTITUTE($A25," SS","  SS"),Shrinkage!$C$2:$C$260,0)),"NA"))</f>
        <v>-11570</v>
      </c>
      <c r="E25" s="56" t="n">
        <f aca="false" t="array" ref="E25:E25">IFERROR(INDEX('Inventory Hygiene'!$I$2:$I$252,MATCH($A25,'Inventory Hygiene'!$A$2:$A$252,0)),IFERROR(INDEX('Inventory Hygiene'!$I$2:$I$252,MATCH(SUBSTITUTE($A25," SS","  SS"),'Inventory Hygiene'!$A$2:$A$252,0)),"NA"))</f>
        <v>0.5</v>
      </c>
      <c r="F25" s="54" t="n">
        <f aca="false" t="array" ref="F25:F25">IFERROR(INDEX('Bad Bins'!$J$2:$J$252,MATCH($A25,'Bad Bins'!$A$2:$A$252,0)),IFERROR(INDEX('Bad Bins'!$J$2:$J$252,MATCH(SUBSTITUTE($A25," SS","  SS"),'Bad Bins'!$A$2:$A$252,0)),"NA"))</f>
        <v>356</v>
      </c>
      <c r="G25" s="54" t="str">
        <f aca="false" t="array" ref="G25:G25">IFERROR(INDEX('RSTO &gt; 48hrs'!$G$2:$G$134,MATCH($A25,'RSTO &gt; 48hrs'!$A$2:$A$134,0)),IFERROR(INDEX('RSTO &gt; 48hrs'!$G$2:$G$134,MATCH(SUBSTITUTE($A25," SS","  SS"),'RSTO &gt; 48hrs'!$A$2:$A$134,0)),"NA"))</f>
        <v>NA</v>
      </c>
      <c r="H25" s="54" t="n">
        <f aca="false" t="array" ref="H25:H25">IFERROR(INDEX('Recirculation &gt; 24 hrs'!$J$2:$J$150,MATCH($A25,'Recirculation &gt; 24 hrs'!$A$2:$A$150,0)),IFERROR(INDEX('Recirculation &gt; 24 hrs'!$J$2:$J$150,MATCH(SUBSTITUTE($A25," SS","  SS"),'Recirculation &gt; 24 hrs'!$A$2:$A$150,0)),"NA"))</f>
        <v>1982</v>
      </c>
      <c r="I25" s="54" t="n">
        <f aca="false" t="array" ref="I25:I25">IFERROR(INDEX('Pending Putaway'!$D$2:$D$255,MATCH($A25,'Pending Putaway'!$A$2:$A$255,0)),IFERROR(INDEX('Pending Putaway'!$D$2:$D$255,MATCH(SUBSTITUTE($A25," SS","  SS"),'Pending Putaway'!$A$2:$A$255,0)),"NA"))</f>
        <v>1544</v>
      </c>
      <c r="J25" s="54" t="n">
        <f aca="false" t="array" ref="J25:J25">IFERROR(INDEX('Pending Putaway'!$K$2:$K$255,MATCH($A25,'Pending Putaway'!$A$2:$A$255,0)),IFERROR(INDEX('Pending Putaway'!$K$2:$K$255,MATCH(SUBSTITUTE($A25," SS","  SS"),'Pending Putaway'!$A$2:$A$255,0)),"NA"))</f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customFormat="false" ht="15.75" hidden="false" customHeight="true" outlineLevel="0" collapsed="false">
      <c r="A26" s="54" t="s">
        <v>284</v>
      </c>
      <c r="B26" s="54" t="str">
        <f aca="false" t="array" ref="B26:B26">IFERROR(INDEX('CLM &amp; IM Mapping'!$B$2:$B$270,MATCH($A26,'CLM &amp; IM Mapping'!$A$2:$A$270,0)),"Not Mapped")</f>
        <v>Manjunatha V</v>
      </c>
      <c r="C26" s="54" t="str">
        <f aca="false" t="array" ref="C26:C26">IFERROR(INDEX('CLM &amp; IM Mapping'!$C$2:$C$270,MATCH($A26,'CLM &amp; IM Mapping'!$A$2:$A$270,0)),"Not Mapped")</f>
        <v>Un Mapped</v>
      </c>
      <c r="D26" s="55" t="n">
        <f aca="false" t="array" ref="D26:D26">IFERROR(INDEX(Shrinkage!$O$2:$O$260,MATCH($A26,Shrinkage!$C$2:$C$260,0)),IFERROR(INDEX(Shrinkage!$O$2:$O$260,MATCH(SUBSTITUTE($A26," SS","  SS"),Shrinkage!$C$2:$C$260,0)),"NA"))</f>
        <v>-18324</v>
      </c>
      <c r="E26" s="56" t="n">
        <f aca="false" t="array" ref="E26:E26">IFERROR(INDEX('Inventory Hygiene'!$I$2:$I$252,MATCH($A26,'Inventory Hygiene'!$A$2:$A$252,0)),IFERROR(INDEX('Inventory Hygiene'!$I$2:$I$252,MATCH(SUBSTITUTE($A26," SS","  SS"),'Inventory Hygiene'!$A$2:$A$252,0)),"NA"))</f>
        <v>0.65</v>
      </c>
      <c r="F26" s="54" t="n">
        <f aca="false" t="array" ref="F26:F26">IFERROR(INDEX('Bad Bins'!$J$2:$J$252,MATCH($A26,'Bad Bins'!$A$2:$A$252,0)),IFERROR(INDEX('Bad Bins'!$J$2:$J$252,MATCH(SUBSTITUTE($A26," SS","  SS"),'Bad Bins'!$A$2:$A$252,0)),"NA"))</f>
        <v>153</v>
      </c>
      <c r="G26" s="54" t="str">
        <f aca="false" t="array" ref="G26:G26">IFERROR(INDEX('RSTO &gt; 48hrs'!$G$2:$G$134,MATCH($A26,'RSTO &gt; 48hrs'!$A$2:$A$134,0)),IFERROR(INDEX('RSTO &gt; 48hrs'!$G$2:$G$134,MATCH(SUBSTITUTE($A26," SS","  SS"),'RSTO &gt; 48hrs'!$A$2:$A$134,0)),"NA"))</f>
        <v>NA</v>
      </c>
      <c r="H26" s="54" t="str">
        <f aca="false" t="array" ref="H26:H26">IFERROR(INDEX('Recirculation &gt; 24 hrs'!$J$2:$J$150,MATCH($A26,'Recirculation &gt; 24 hrs'!$A$2:$A$150,0)),IFERROR(INDEX('Recirculation &gt; 24 hrs'!$J$2:$J$150,MATCH(SUBSTITUTE($A26," SS","  SS"),'Recirculation &gt; 24 hrs'!$A$2:$A$150,0)),"NA"))</f>
        <v>NA</v>
      </c>
      <c r="I26" s="54" t="n">
        <f aca="false" t="array" ref="I26:I26">IFERROR(INDEX('Pending Putaway'!$D$2:$D$255,MATCH($A26,'Pending Putaway'!$A$2:$A$255,0)),IFERROR(INDEX('Pending Putaway'!$D$2:$D$255,MATCH(SUBSTITUTE($A26," SS","  SS"),'Pending Putaway'!$A$2:$A$255,0)),"NA"))</f>
        <v>1430</v>
      </c>
      <c r="J26" s="54" t="n">
        <f aca="false" t="array" ref="J26:J26">IFERROR(INDEX('Pending Putaway'!$K$2:$K$255,MATCH($A26,'Pending Putaway'!$A$2:$A$255,0)),IFERROR(INDEX('Pending Putaway'!$K$2:$K$255,MATCH(SUBSTITUTE($A26," SS","  SS"),'Pending Putaway'!$A$2:$A$255,0)),"NA"))</f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customFormat="false" ht="15.75" hidden="false" customHeight="true" outlineLevel="0" collapsed="false">
      <c r="A27" s="54" t="s">
        <v>147</v>
      </c>
      <c r="B27" s="54" t="str">
        <f aca="false" t="array" ref="B27:B27">IFERROR(INDEX('CLM &amp; IM Mapping'!$B$2:$B$270,MATCH($A27,'CLM &amp; IM Mapping'!$A$2:$A$270,0)),"Not Mapped")</f>
        <v>Manjunatha V</v>
      </c>
      <c r="C27" s="54" t="str">
        <f aca="false" t="array" ref="C27:C27">IFERROR(INDEX('CLM &amp; IM Mapping'!$C$2:$C$270,MATCH($A27,'CLM &amp; IM Mapping'!$A$2:$A$270,0)),"Not Mapped")</f>
        <v>Un Mapped</v>
      </c>
      <c r="D27" s="55" t="n">
        <f aca="false" t="array" ref="D27:D27">IFERROR(INDEX(Shrinkage!$O$2:$O$260,MATCH($A27,Shrinkage!$C$2:$C$260,0)),IFERROR(INDEX(Shrinkage!$O$2:$O$260,MATCH(SUBSTITUTE($A27," SS","  SS"),Shrinkage!$C$2:$C$260,0)),"NA"))</f>
        <v>5314</v>
      </c>
      <c r="E27" s="56" t="n">
        <f aca="false" t="array" ref="E27:E27">IFERROR(INDEX('Inventory Hygiene'!$I$2:$I$252,MATCH($A27,'Inventory Hygiene'!$A$2:$A$252,0)),IFERROR(INDEX('Inventory Hygiene'!$I$2:$I$252,MATCH(SUBSTITUTE($A27," SS","  SS"),'Inventory Hygiene'!$A$2:$A$252,0)),"NA"))</f>
        <v>0.32</v>
      </c>
      <c r="F27" s="54" t="n">
        <f aca="false" t="array" ref="F27:F27">IFERROR(INDEX('Bad Bins'!$J$2:$J$252,MATCH($A27,'Bad Bins'!$A$2:$A$252,0)),IFERROR(INDEX('Bad Bins'!$J$2:$J$252,MATCH(SUBSTITUTE($A27," SS","  SS"),'Bad Bins'!$A$2:$A$252,0)),"NA"))</f>
        <v>498</v>
      </c>
      <c r="G27" s="54" t="n">
        <f aca="false" t="array" ref="G27:G27">IFERROR(INDEX('RSTO &gt; 48hrs'!$G$2:$G$134,MATCH($A27,'RSTO &gt; 48hrs'!$A$2:$A$134,0)),IFERROR(INDEX('RSTO &gt; 48hrs'!$G$2:$G$134,MATCH(SUBSTITUTE($A27," SS","  SS"),'RSTO &gt; 48hrs'!$A$2:$A$134,0)),"NA"))</f>
        <v>94</v>
      </c>
      <c r="H27" s="54" t="n">
        <f aca="false" t="array" ref="H27:H27">IFERROR(INDEX('Recirculation &gt; 24 hrs'!$J$2:$J$150,MATCH($A27,'Recirculation &gt; 24 hrs'!$A$2:$A$150,0)),IFERROR(INDEX('Recirculation &gt; 24 hrs'!$J$2:$J$150,MATCH(SUBSTITUTE($A27," SS","  SS"),'Recirculation &gt; 24 hrs'!$A$2:$A$150,0)),"NA"))</f>
        <v>95</v>
      </c>
      <c r="I27" s="54" t="n">
        <f aca="false" t="array" ref="I27:I27">IFERROR(INDEX('Pending Putaway'!$D$2:$D$255,MATCH($A27,'Pending Putaway'!$A$2:$A$255,0)),IFERROR(INDEX('Pending Putaway'!$D$2:$D$255,MATCH(SUBSTITUTE($A27," SS","  SS"),'Pending Putaway'!$A$2:$A$255,0)),"NA"))</f>
        <v>2555</v>
      </c>
      <c r="J27" s="54" t="n">
        <f aca="false" t="array" ref="J27:J27">IFERROR(INDEX('Pending Putaway'!$K$2:$K$255,MATCH($A27,'Pending Putaway'!$A$2:$A$255,0)),IFERROR(INDEX('Pending Putaway'!$K$2:$K$255,MATCH(SUBSTITUTE($A27," SS","  SS"),'Pending Putaway'!$A$2:$A$255,0)),"NA"))</f>
        <v>169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customFormat="false" ht="15.75" hidden="false" customHeight="true" outlineLevel="0" collapsed="false">
      <c r="A28" s="54" t="s">
        <v>243</v>
      </c>
      <c r="B28" s="54" t="str">
        <f aca="false" t="array" ref="B28:B28">IFERROR(INDEX('CLM &amp; IM Mapping'!$B$2:$B$270,MATCH($A28,'CLM &amp; IM Mapping'!$A$2:$A$270,0)),"Not Mapped")</f>
        <v>Manjunatha V</v>
      </c>
      <c r="C28" s="54" t="str">
        <f aca="false" t="array" ref="C28:C28">IFERROR(INDEX('CLM &amp; IM Mapping'!$C$2:$C$270,MATCH($A28,'CLM &amp; IM Mapping'!$A$2:$A$270,0)),"Not Mapped")</f>
        <v>Un Mapped</v>
      </c>
      <c r="D28" s="55" t="n">
        <f aca="false" t="array" ref="D28:D28">IFERROR(INDEX(Shrinkage!$O$2:$O$260,MATCH($A28,Shrinkage!$C$2:$C$260,0)),IFERROR(INDEX(Shrinkage!$O$2:$O$260,MATCH(SUBSTITUTE($A28," SS","  SS"),Shrinkage!$C$2:$C$260,0)),"NA"))</f>
        <v>-6403</v>
      </c>
      <c r="E28" s="56" t="n">
        <f aca="false" t="array" ref="E28:E28">IFERROR(INDEX('Inventory Hygiene'!$I$2:$I$252,MATCH($A28,'Inventory Hygiene'!$A$2:$A$252,0)),IFERROR(INDEX('Inventory Hygiene'!$I$2:$I$252,MATCH(SUBSTITUTE($A28," SS","  SS"),'Inventory Hygiene'!$A$2:$A$252,0)),"NA"))</f>
        <v>0.84</v>
      </c>
      <c r="F28" s="54" t="n">
        <f aca="false" t="array" ref="F28:F28">IFERROR(INDEX('Bad Bins'!$J$2:$J$252,MATCH($A28,'Bad Bins'!$A$2:$A$252,0)),IFERROR(INDEX('Bad Bins'!$J$2:$J$252,MATCH(SUBSTITUTE($A28," SS","  SS"),'Bad Bins'!$A$2:$A$252,0)),"NA"))</f>
        <v>70</v>
      </c>
      <c r="G28" s="54" t="n">
        <f aca="false" t="array" ref="G28:G28">IFERROR(INDEX('RSTO &gt; 48hrs'!$G$2:$G$134,MATCH($A28,'RSTO &gt; 48hrs'!$A$2:$A$134,0)),IFERROR(INDEX('RSTO &gt; 48hrs'!$G$2:$G$134,MATCH(SUBSTITUTE($A28," SS","  SS"),'RSTO &gt; 48hrs'!$A$2:$A$134,0)),"NA"))</f>
        <v>3</v>
      </c>
      <c r="H28" s="54" t="str">
        <f aca="false" t="array" ref="H28:H28">IFERROR(INDEX('Recirculation &gt; 24 hrs'!$J$2:$J$150,MATCH($A28,'Recirculation &gt; 24 hrs'!$A$2:$A$150,0)),IFERROR(INDEX('Recirculation &gt; 24 hrs'!$J$2:$J$150,MATCH(SUBSTITUTE($A28," SS","  SS"),'Recirculation &gt; 24 hrs'!$A$2:$A$150,0)),"NA"))</f>
        <v>NA</v>
      </c>
      <c r="I28" s="54" t="n">
        <f aca="false" t="array" ref="I28:I28">IFERROR(INDEX('Pending Putaway'!$D$2:$D$255,MATCH($A28,'Pending Putaway'!$A$2:$A$255,0)),IFERROR(INDEX('Pending Putaway'!$D$2:$D$255,MATCH(SUBSTITUTE($A28," SS","  SS"),'Pending Putaway'!$A$2:$A$255,0)),"NA"))</f>
        <v>4247</v>
      </c>
      <c r="J28" s="54" t="n">
        <f aca="false" t="array" ref="J28:J28">IFERROR(INDEX('Pending Putaway'!$K$2:$K$255,MATCH($A28,'Pending Putaway'!$A$2:$A$255,0)),IFERROR(INDEX('Pending Putaway'!$K$2:$K$255,MATCH(SUBSTITUTE($A28," SS","  SS"),'Pending Putaway'!$A$2:$A$255,0)),"NA"))</f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customFormat="false" ht="15.75" hidden="false" customHeight="true" outlineLevel="0" collapsed="false">
      <c r="A29" s="54" t="s">
        <v>279</v>
      </c>
      <c r="B29" s="54" t="str">
        <f aca="false" t="array" ref="B29:B29">IFERROR(INDEX('CLM &amp; IM Mapping'!$B$2:$B$270,MATCH($A29,'CLM &amp; IM Mapping'!$A$2:$A$270,0)),"Not Mapped")</f>
        <v>Manjunatha V</v>
      </c>
      <c r="C29" s="54" t="str">
        <f aca="false" t="array" ref="C29:C29">IFERROR(INDEX('CLM &amp; IM Mapping'!$C$2:$C$270,MATCH($A29,'CLM &amp; IM Mapping'!$A$2:$A$270,0)),"Not Mapped")</f>
        <v>Un Mapped</v>
      </c>
      <c r="D29" s="55" t="n">
        <f aca="false" t="array" ref="D29:D29">IFERROR(INDEX(Shrinkage!$O$2:$O$260,MATCH($A29,Shrinkage!$C$2:$C$260,0)),IFERROR(INDEX(Shrinkage!$O$2:$O$260,MATCH(SUBSTITUTE($A29," SS","  SS"),Shrinkage!$C$2:$C$260,0)),"NA"))</f>
        <v>-15274</v>
      </c>
      <c r="E29" s="56" t="str">
        <f aca="false" t="array" ref="E29:E29">IFERROR(INDEX('Inventory Hygiene'!$I$2:$I$252,MATCH($A29,'Inventory Hygiene'!$A$2:$A$252,0)),IFERROR(INDEX('Inventory Hygiene'!$I$2:$I$252,MATCH(SUBSTITUTE($A29," SS","  SS"),'Inventory Hygiene'!$A$2:$A$252,0)),"NA"))</f>
        <v>NA</v>
      </c>
      <c r="F29" s="54" t="str">
        <f aca="false" t="array" ref="F29:F29">IFERROR(INDEX('Bad Bins'!$J$2:$J$252,MATCH($A29,'Bad Bins'!$A$2:$A$252,0)),IFERROR(INDEX('Bad Bins'!$J$2:$J$252,MATCH(SUBSTITUTE($A29," SS","  SS"),'Bad Bins'!$A$2:$A$252,0)),"NA"))</f>
        <v>NA</v>
      </c>
      <c r="G29" s="54" t="n">
        <f aca="false" t="array" ref="G29:G29">IFERROR(INDEX('RSTO &gt; 48hrs'!$G$2:$G$134,MATCH($A29,'RSTO &gt; 48hrs'!$A$2:$A$134,0)),IFERROR(INDEX('RSTO &gt; 48hrs'!$G$2:$G$134,MATCH(SUBSTITUTE($A29," SS","  SS"),'RSTO &gt; 48hrs'!$A$2:$A$134,0)),"NA"))</f>
        <v>267</v>
      </c>
      <c r="H29" s="54" t="n">
        <f aca="false" t="array" ref="H29:H29">IFERROR(INDEX('Recirculation &gt; 24 hrs'!$J$2:$J$150,MATCH($A29,'Recirculation &gt; 24 hrs'!$A$2:$A$150,0)),IFERROR(INDEX('Recirculation &gt; 24 hrs'!$J$2:$J$150,MATCH(SUBSTITUTE($A29," SS","  SS"),'Recirculation &gt; 24 hrs'!$A$2:$A$150,0)),"NA"))</f>
        <v>22</v>
      </c>
      <c r="I29" s="54" t="str">
        <f aca="false" t="array" ref="I29:I29">IFERROR(INDEX('Pending Putaway'!$D$2:$D$255,MATCH($A29,'Pending Putaway'!$A$2:$A$255,0)),IFERROR(INDEX('Pending Putaway'!$D$2:$D$255,MATCH(SUBSTITUTE($A29," SS","  SS"),'Pending Putaway'!$A$2:$A$255,0)),"NA"))</f>
        <v>NA</v>
      </c>
      <c r="J29" s="54" t="str">
        <f aca="false" t="array" ref="J29:J29">IFERROR(INDEX('Pending Putaway'!$K$2:$K$255,MATCH($A29,'Pending Putaway'!$A$2:$A$255,0)),IFERROR(INDEX('Pending Putaway'!$K$2:$K$255,MATCH(SUBSTITUTE($A29," SS","  SS"),'Pending Putaway'!$A$2:$A$255,0)),"NA"))</f>
        <v>NA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customFormat="false" ht="15.75" hidden="false" customHeight="true" outlineLevel="0" collapsed="false">
      <c r="A30" s="54" t="s">
        <v>230</v>
      </c>
      <c r="B30" s="54" t="str">
        <f aca="false" t="array" ref="B30:B30">IFERROR(INDEX('CLM &amp; IM Mapping'!$B$2:$B$270,MATCH($A30,'CLM &amp; IM Mapping'!$A$2:$A$270,0)),"Not Mapped")</f>
        <v>Manjunatha V</v>
      </c>
      <c r="C30" s="54" t="str">
        <f aca="false" t="array" ref="C30:C30">IFERROR(INDEX('CLM &amp; IM Mapping'!$C$2:$C$270,MATCH($A30,'CLM &amp; IM Mapping'!$A$2:$A$270,0)),"Not Mapped")</f>
        <v>Un Mapped</v>
      </c>
      <c r="D30" s="55" t="n">
        <f aca="false" t="array" ref="D30:D30">IFERROR(INDEX(Shrinkage!$O$2:$O$260,MATCH($A30,Shrinkage!$C$2:$C$260,0)),IFERROR(INDEX(Shrinkage!$O$2:$O$260,MATCH(SUBSTITUTE($A30," SS","  SS"),Shrinkage!$C$2:$C$260,0)),"NA"))</f>
        <v>-5025</v>
      </c>
      <c r="E30" s="56" t="n">
        <f aca="false" t="array" ref="E30:E30">IFERROR(INDEX('Inventory Hygiene'!$I$2:$I$252,MATCH($A30,'Inventory Hygiene'!$A$2:$A$252,0)),IFERROR(INDEX('Inventory Hygiene'!$I$2:$I$252,MATCH(SUBSTITUTE($A30," SS","  SS"),'Inventory Hygiene'!$A$2:$A$252,0)),"NA"))</f>
        <v>0.85</v>
      </c>
      <c r="F30" s="54" t="n">
        <f aca="false" t="array" ref="F30:F30">IFERROR(INDEX('Bad Bins'!$J$2:$J$252,MATCH($A30,'Bad Bins'!$A$2:$A$252,0)),IFERROR(INDEX('Bad Bins'!$J$2:$J$252,MATCH(SUBSTITUTE($A30," SS","  SS"),'Bad Bins'!$A$2:$A$252,0)),"NA"))</f>
        <v>64</v>
      </c>
      <c r="G30" s="54" t="str">
        <f aca="false" t="array" ref="G30:G30">IFERROR(INDEX('RSTO &gt; 48hrs'!$G$2:$G$134,MATCH($A30,'RSTO &gt; 48hrs'!$A$2:$A$134,0)),IFERROR(INDEX('RSTO &gt; 48hrs'!$G$2:$G$134,MATCH(SUBSTITUTE($A30," SS","  SS"),'RSTO &gt; 48hrs'!$A$2:$A$134,0)),"NA"))</f>
        <v>NA</v>
      </c>
      <c r="H30" s="54" t="str">
        <f aca="false" t="array" ref="H30:H30">IFERROR(INDEX('Recirculation &gt; 24 hrs'!$J$2:$J$150,MATCH($A30,'Recirculation &gt; 24 hrs'!$A$2:$A$150,0)),IFERROR(INDEX('Recirculation &gt; 24 hrs'!$J$2:$J$150,MATCH(SUBSTITUTE($A30," SS","  SS"),'Recirculation &gt; 24 hrs'!$A$2:$A$150,0)),"NA"))</f>
        <v>NA</v>
      </c>
      <c r="I30" s="54" t="n">
        <f aca="false" t="array" ref="I30:I30">IFERROR(INDEX('Pending Putaway'!$D$2:$D$255,MATCH($A30,'Pending Putaway'!$A$2:$A$255,0)),IFERROR(INDEX('Pending Putaway'!$D$2:$D$255,MATCH(SUBSTITUTE($A30," SS","  SS"),'Pending Putaway'!$A$2:$A$255,0)),"NA"))</f>
        <v>396</v>
      </c>
      <c r="J30" s="54" t="n">
        <f aca="false" t="array" ref="J30:J30">IFERROR(INDEX('Pending Putaway'!$K$2:$K$255,MATCH($A30,'Pending Putaway'!$A$2:$A$255,0)),IFERROR(INDEX('Pending Putaway'!$K$2:$K$255,MATCH(SUBSTITUTE($A30," SS","  SS"),'Pending Putaway'!$A$2:$A$255,0)),"NA"))</f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 customFormat="false" ht="15.75" hidden="false" customHeight="true" outlineLevel="0" collapsed="false">
      <c r="A31" s="54" t="s">
        <v>71</v>
      </c>
      <c r="B31" s="54" t="str">
        <f aca="false" t="array" ref="B31:B31">IFERROR(INDEX('CLM &amp; IM Mapping'!$B$2:$B$270,MATCH($A31,'CLM &amp; IM Mapping'!$A$2:$A$270,0)),"Not Mapped")</f>
        <v>Manjunatha V</v>
      </c>
      <c r="C31" s="54" t="str">
        <f aca="false" t="array" ref="C31:C31">IFERROR(INDEX('CLM &amp; IM Mapping'!$C$2:$C$270,MATCH($A31,'CLM &amp; IM Mapping'!$A$2:$A$270,0)),"Not Mapped")</f>
        <v>Un Mapped</v>
      </c>
      <c r="D31" s="55" t="n">
        <f aca="false" t="array" ref="D31:D31">IFERROR(INDEX(Shrinkage!$O$2:$O$260,MATCH($A31,Shrinkage!$C$2:$C$260,0)),IFERROR(INDEX(Shrinkage!$O$2:$O$260,MATCH(SUBSTITUTE($A31," SS","  SS"),Shrinkage!$C$2:$C$260,0)),"NA"))</f>
        <v>33402</v>
      </c>
      <c r="E31" s="56" t="n">
        <f aca="false" t="array" ref="E31:E31">IFERROR(INDEX('Inventory Hygiene'!$I$2:$I$252,MATCH($A31,'Inventory Hygiene'!$A$2:$A$252,0)),IFERROR(INDEX('Inventory Hygiene'!$I$2:$I$252,MATCH(SUBSTITUTE($A31," SS","  SS"),'Inventory Hygiene'!$A$2:$A$252,0)),"NA"))</f>
        <v>0.43</v>
      </c>
      <c r="F31" s="54" t="n">
        <f aca="false" t="array" ref="F31:F31">IFERROR(INDEX('Bad Bins'!$J$2:$J$252,MATCH($A31,'Bad Bins'!$A$2:$A$252,0)),IFERROR(INDEX('Bad Bins'!$J$2:$J$252,MATCH(SUBSTITUTE($A31," SS","  SS"),'Bad Bins'!$A$2:$A$252,0)),"NA"))</f>
        <v>560</v>
      </c>
      <c r="G31" s="54" t="str">
        <f aca="false" t="array" ref="G31:G31">IFERROR(INDEX('RSTO &gt; 48hrs'!$G$2:$G$134,MATCH($A31,'RSTO &gt; 48hrs'!$A$2:$A$134,0)),IFERROR(INDEX('RSTO &gt; 48hrs'!$G$2:$G$134,MATCH(SUBSTITUTE($A31," SS","  SS"),'RSTO &gt; 48hrs'!$A$2:$A$134,0)),"NA"))</f>
        <v>NA</v>
      </c>
      <c r="H31" s="54" t="n">
        <f aca="false" t="array" ref="H31:H31">IFERROR(INDEX('Recirculation &gt; 24 hrs'!$J$2:$J$150,MATCH($A31,'Recirculation &gt; 24 hrs'!$A$2:$A$150,0)),IFERROR(INDEX('Recirculation &gt; 24 hrs'!$J$2:$J$150,MATCH(SUBSTITUTE($A31," SS","  SS"),'Recirculation &gt; 24 hrs'!$A$2:$A$150,0)),"NA"))</f>
        <v>1822</v>
      </c>
      <c r="I31" s="54" t="n">
        <f aca="false" t="array" ref="I31:I31">IFERROR(INDEX('Pending Putaway'!$D$2:$D$255,MATCH($A31,'Pending Putaway'!$A$2:$A$255,0)),IFERROR(INDEX('Pending Putaway'!$D$2:$D$255,MATCH(SUBSTITUTE($A31," SS","  SS"),'Pending Putaway'!$A$2:$A$255,0)),"NA"))</f>
        <v>7293</v>
      </c>
      <c r="J31" s="54" t="n">
        <f aca="false" t="array" ref="J31:J31">IFERROR(INDEX('Pending Putaway'!$K$2:$K$255,MATCH($A31,'Pending Putaway'!$A$2:$A$255,0)),IFERROR(INDEX('Pending Putaway'!$K$2:$K$255,MATCH(SUBSTITUTE($A31," SS","  SS"),'Pending Putaway'!$A$2:$A$255,0)),"NA"))</f>
        <v>1151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customFormat="false" ht="15.75" hidden="false" customHeight="true" outlineLevel="0" collapsed="false">
      <c r="A32" s="54" t="s">
        <v>32</v>
      </c>
      <c r="B32" s="54" t="str">
        <f aca="false" t="array" ref="B32:B32">IFERROR(INDEX('CLM &amp; IM Mapping'!$B$2:$B$270,MATCH($A32,'CLM &amp; IM Mapping'!$A$2:$A$270,0)),"Not Mapped")</f>
        <v>Saddam Hussain</v>
      </c>
      <c r="C32" s="54" t="str">
        <f aca="false" t="array" ref="C32:C32">IFERROR(INDEX('CLM &amp; IM Mapping'!$C$2:$C$270,MATCH($A32,'CLM &amp; IM Mapping'!$A$2:$A$270,0)),"Not Mapped")</f>
        <v>Un Mapped</v>
      </c>
      <c r="D32" s="55" t="n">
        <f aca="false" t="array" ref="D32:D32">IFERROR(INDEX(Shrinkage!$O$2:$O$260,MATCH($A32,Shrinkage!$C$2:$C$260,0)),IFERROR(INDEX(Shrinkage!$O$2:$O$260,MATCH(SUBSTITUTE($A32," SS","  SS"),Shrinkage!$C$2:$C$260,0)),"NA"))</f>
        <v>67844</v>
      </c>
      <c r="E32" s="56" t="n">
        <f aca="false" t="array" ref="E32:E32">IFERROR(INDEX('Inventory Hygiene'!$I$2:$I$252,MATCH($A32,'Inventory Hygiene'!$A$2:$A$252,0)),IFERROR(INDEX('Inventory Hygiene'!$I$2:$I$252,MATCH(SUBSTITUTE($A32," SS","  SS"),'Inventory Hygiene'!$A$2:$A$252,0)),"NA"))</f>
        <v>0.68</v>
      </c>
      <c r="F32" s="54" t="n">
        <f aca="false" t="array" ref="F32:F32">IFERROR(INDEX('Bad Bins'!$J$2:$J$252,MATCH($A32,'Bad Bins'!$A$2:$A$252,0)),IFERROR(INDEX('Bad Bins'!$J$2:$J$252,MATCH(SUBSTITUTE($A32," SS","  SS"),'Bad Bins'!$A$2:$A$252,0)),"NA"))</f>
        <v>382</v>
      </c>
      <c r="G32" s="54" t="n">
        <f aca="false" t="array" ref="G32:G32">IFERROR(INDEX('RSTO &gt; 48hrs'!$G$2:$G$134,MATCH($A32,'RSTO &gt; 48hrs'!$A$2:$A$134,0)),IFERROR(INDEX('RSTO &gt; 48hrs'!$G$2:$G$134,MATCH(SUBSTITUTE($A32," SS","  SS"),'RSTO &gt; 48hrs'!$A$2:$A$134,0)),"NA"))</f>
        <v>19</v>
      </c>
      <c r="H32" s="54" t="str">
        <f aca="false" t="array" ref="H32:H32">IFERROR(INDEX('Recirculation &gt; 24 hrs'!$J$2:$J$150,MATCH($A32,'Recirculation &gt; 24 hrs'!$A$2:$A$150,0)),IFERROR(INDEX('Recirculation &gt; 24 hrs'!$J$2:$J$150,MATCH(SUBSTITUTE($A32," SS","  SS"),'Recirculation &gt; 24 hrs'!$A$2:$A$150,0)),"NA"))</f>
        <v>NA</v>
      </c>
      <c r="I32" s="54" t="n">
        <f aca="false" t="array" ref="I32:I32">IFERROR(INDEX('Pending Putaway'!$D$2:$D$255,MATCH($A32,'Pending Putaway'!$A$2:$A$255,0)),IFERROR(INDEX('Pending Putaway'!$D$2:$D$255,MATCH(SUBSTITUTE($A32," SS","  SS"),'Pending Putaway'!$A$2:$A$255,0)),"NA"))</f>
        <v>5095</v>
      </c>
      <c r="J32" s="54" t="n">
        <f aca="false" t="array" ref="J32:J32">IFERROR(INDEX('Pending Putaway'!$K$2:$K$255,MATCH($A32,'Pending Putaway'!$A$2:$A$255,0)),IFERROR(INDEX('Pending Putaway'!$K$2:$K$255,MATCH(SUBSTITUTE($A32," SS","  SS"),'Pending Putaway'!$A$2:$A$255,0)),"NA"))</f>
        <v>1929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customFormat="false" ht="15.75" hidden="false" customHeight="true" outlineLevel="0" collapsed="false">
      <c r="A33" s="54" t="s">
        <v>275</v>
      </c>
      <c r="B33" s="54" t="str">
        <f aca="false" t="array" ref="B33:B33">IFERROR(INDEX('CLM &amp; IM Mapping'!$B$2:$B$270,MATCH($A33,'CLM &amp; IM Mapping'!$A$2:$A$270,0)),"Not Mapped")</f>
        <v>Keshav G</v>
      </c>
      <c r="C33" s="54" t="str">
        <f aca="false" t="array" ref="C33:C33">IFERROR(INDEX('CLM &amp; IM Mapping'!$C$2:$C$270,MATCH($A33,'CLM &amp; IM Mapping'!$A$2:$A$270,0)),"Not Mapped")</f>
        <v>Un Mapped</v>
      </c>
      <c r="D33" s="55" t="n">
        <f aca="false" t="array" ref="D33:D33">IFERROR(INDEX(Shrinkage!$O$2:$O$260,MATCH($A33,Shrinkage!$C$2:$C$260,0)),IFERROR(INDEX(Shrinkage!$O$2:$O$260,MATCH(SUBSTITUTE($A33," SS","  SS"),Shrinkage!$C$2:$C$260,0)),"NA"))</f>
        <v>-12536</v>
      </c>
      <c r="E33" s="56" t="n">
        <f aca="false" t="array" ref="E33:E33">IFERROR(INDEX('Inventory Hygiene'!$I$2:$I$252,MATCH($A33,'Inventory Hygiene'!$A$2:$A$252,0)),IFERROR(INDEX('Inventory Hygiene'!$I$2:$I$252,MATCH(SUBSTITUTE($A33," SS","  SS"),'Inventory Hygiene'!$A$2:$A$252,0)),"NA"))</f>
        <v>0.53</v>
      </c>
      <c r="F33" s="54" t="n">
        <f aca="false" t="array" ref="F33:F33">IFERROR(INDEX('Bad Bins'!$J$2:$J$252,MATCH($A33,'Bad Bins'!$A$2:$A$252,0)),IFERROR(INDEX('Bad Bins'!$J$2:$J$252,MATCH(SUBSTITUTE($A33," SS","  SS"),'Bad Bins'!$A$2:$A$252,0)),"NA"))</f>
        <v>454</v>
      </c>
      <c r="G33" s="54" t="str">
        <f aca="false" t="array" ref="G33:G33">IFERROR(INDEX('RSTO &gt; 48hrs'!$G$2:$G$134,MATCH($A33,'RSTO &gt; 48hrs'!$A$2:$A$134,0)),IFERROR(INDEX('RSTO &gt; 48hrs'!$G$2:$G$134,MATCH(SUBSTITUTE($A33," SS","  SS"),'RSTO &gt; 48hrs'!$A$2:$A$134,0)),"NA"))</f>
        <v>NA</v>
      </c>
      <c r="H33" s="54" t="str">
        <f aca="false" t="array" ref="H33:H33">IFERROR(INDEX('Recirculation &gt; 24 hrs'!$J$2:$J$150,MATCH($A33,'Recirculation &gt; 24 hrs'!$A$2:$A$150,0)),IFERROR(INDEX('Recirculation &gt; 24 hrs'!$J$2:$J$150,MATCH(SUBSTITUTE($A33," SS","  SS"),'Recirculation &gt; 24 hrs'!$A$2:$A$150,0)),"NA"))</f>
        <v>NA</v>
      </c>
      <c r="I33" s="54" t="n">
        <f aca="false" t="array" ref="I33:I33">IFERROR(INDEX('Pending Putaway'!$D$2:$D$255,MATCH($A33,'Pending Putaway'!$A$2:$A$255,0)),IFERROR(INDEX('Pending Putaway'!$D$2:$D$255,MATCH(SUBSTITUTE($A33," SS","  SS"),'Pending Putaway'!$A$2:$A$255,0)),"NA"))</f>
        <v>0</v>
      </c>
      <c r="J33" s="54" t="n">
        <f aca="false" t="array" ref="J33:J33">IFERROR(INDEX('Pending Putaway'!$K$2:$K$255,MATCH($A33,'Pending Putaway'!$A$2:$A$255,0)),IFERROR(INDEX('Pending Putaway'!$K$2:$K$255,MATCH(SUBSTITUTE($A33," SS","  SS"),'Pending Putaway'!$A$2:$A$255,0)),"NA"))</f>
        <v>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 customFormat="false" ht="15.75" hidden="false" customHeight="true" outlineLevel="0" collapsed="false">
      <c r="A34" s="54" t="s">
        <v>35</v>
      </c>
      <c r="B34" s="54" t="str">
        <f aca="false" t="array" ref="B34:B34">IFERROR(INDEX('CLM &amp; IM Mapping'!$B$2:$B$270,MATCH($A34,'CLM &amp; IM Mapping'!$A$2:$A$270,0)),"Not Mapped")</f>
        <v>Keshav G</v>
      </c>
      <c r="C34" s="54" t="str">
        <f aca="false" t="array" ref="C34:C34">IFERROR(INDEX('CLM &amp; IM Mapping'!$C$2:$C$270,MATCH($A34,'CLM &amp; IM Mapping'!$A$2:$A$270,0)),"Not Mapped")</f>
        <v>Un Mapped</v>
      </c>
      <c r="D34" s="55" t="n">
        <f aca="false" t="array" ref="D34:D34">IFERROR(INDEX(Shrinkage!$O$2:$O$260,MATCH($A34,Shrinkage!$C$2:$C$260,0)),IFERROR(INDEX(Shrinkage!$O$2:$O$260,MATCH(SUBSTITUTE($A34," SS","  SS"),Shrinkage!$C$2:$C$260,0)),"NA"))</f>
        <v>54150</v>
      </c>
      <c r="E34" s="56" t="n">
        <f aca="false" t="array" ref="E34:E34">IFERROR(INDEX('Inventory Hygiene'!$I$2:$I$252,MATCH($A34,'Inventory Hygiene'!$A$2:$A$252,0)),IFERROR(INDEX('Inventory Hygiene'!$I$2:$I$252,MATCH(SUBSTITUTE($A34," SS","  SS"),'Inventory Hygiene'!$A$2:$A$252,0)),"NA"))</f>
        <v>0.25</v>
      </c>
      <c r="F34" s="54" t="n">
        <f aca="false" t="array" ref="F34:F34">IFERROR(INDEX('Bad Bins'!$J$2:$J$252,MATCH($A34,'Bad Bins'!$A$2:$A$252,0)),IFERROR(INDEX('Bad Bins'!$J$2:$J$252,MATCH(SUBSTITUTE($A34," SS","  SS"),'Bad Bins'!$A$2:$A$252,0)),"NA"))</f>
        <v>219</v>
      </c>
      <c r="G34" s="54" t="str">
        <f aca="false" t="array" ref="G34:G34">IFERROR(INDEX('RSTO &gt; 48hrs'!$G$2:$G$134,MATCH($A34,'RSTO &gt; 48hrs'!$A$2:$A$134,0)),IFERROR(INDEX('RSTO &gt; 48hrs'!$G$2:$G$134,MATCH(SUBSTITUTE($A34," SS","  SS"),'RSTO &gt; 48hrs'!$A$2:$A$134,0)),"NA"))</f>
        <v>NA</v>
      </c>
      <c r="H34" s="54" t="str">
        <f aca="false" t="array" ref="H34:H34">IFERROR(INDEX('Recirculation &gt; 24 hrs'!$J$2:$J$150,MATCH($A34,'Recirculation &gt; 24 hrs'!$A$2:$A$150,0)),IFERROR(INDEX('Recirculation &gt; 24 hrs'!$J$2:$J$150,MATCH(SUBSTITUTE($A34," SS","  SS"),'Recirculation &gt; 24 hrs'!$A$2:$A$150,0)),"NA"))</f>
        <v>NA</v>
      </c>
      <c r="I34" s="54" t="n">
        <f aca="false" t="array" ref="I34:I34">IFERROR(INDEX('Pending Putaway'!$D$2:$D$255,MATCH($A34,'Pending Putaway'!$A$2:$A$255,0)),IFERROR(INDEX('Pending Putaway'!$D$2:$D$255,MATCH(SUBSTITUTE($A34," SS","  SS"),'Pending Putaway'!$A$2:$A$255,0)),"NA"))</f>
        <v>3868</v>
      </c>
      <c r="J34" s="54" t="n">
        <f aca="false" t="array" ref="J34:J34">IFERROR(INDEX('Pending Putaway'!$K$2:$K$255,MATCH($A34,'Pending Putaway'!$A$2:$A$255,0)),IFERROR(INDEX('Pending Putaway'!$K$2:$K$255,MATCH(SUBSTITUTE($A34," SS","  SS"),'Pending Putaway'!$A$2:$A$255,0)),"NA"))</f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customFormat="false" ht="15.75" hidden="false" customHeight="true" outlineLevel="0" collapsed="false">
      <c r="A35" s="54" t="s">
        <v>249</v>
      </c>
      <c r="B35" s="54" t="str">
        <f aca="false" t="array" ref="B35:B35">IFERROR(INDEX('CLM &amp; IM Mapping'!$B$2:$B$270,MATCH($A35,'CLM &amp; IM Mapping'!$A$2:$A$270,0)),"Not Mapped")</f>
        <v>Saddam Hussain</v>
      </c>
      <c r="C35" s="54" t="str">
        <f aca="false" t="array" ref="C35:C35">IFERROR(INDEX('CLM &amp; IM Mapping'!$C$2:$C$270,MATCH($A35,'CLM &amp; IM Mapping'!$A$2:$A$270,0)),"Not Mapped")</f>
        <v>Un Mapped</v>
      </c>
      <c r="D35" s="55" t="n">
        <f aca="false" t="array" ref="D35:D35">IFERROR(INDEX(Shrinkage!$O$2:$O$260,MATCH($A35,Shrinkage!$C$2:$C$260,0)),IFERROR(INDEX(Shrinkage!$O$2:$O$260,MATCH(SUBSTITUTE($A35," SS","  SS"),Shrinkage!$C$2:$C$260,0)),"NA"))</f>
        <v>-6850</v>
      </c>
      <c r="E35" s="56" t="n">
        <f aca="false" t="array" ref="E35:E35">IFERROR(INDEX('Inventory Hygiene'!$I$2:$I$252,MATCH($A35,'Inventory Hygiene'!$A$2:$A$252,0)),IFERROR(INDEX('Inventory Hygiene'!$I$2:$I$252,MATCH(SUBSTITUTE($A35," SS","  SS"),'Inventory Hygiene'!$A$2:$A$252,0)),"NA"))</f>
        <v>0.95</v>
      </c>
      <c r="F35" s="54" t="n">
        <f aca="false" t="array" ref="F35:F35">IFERROR(INDEX('Bad Bins'!$J$2:$J$252,MATCH($A35,'Bad Bins'!$A$2:$A$252,0)),IFERROR(INDEX('Bad Bins'!$J$2:$J$252,MATCH(SUBSTITUTE($A35," SS","  SS"),'Bad Bins'!$A$2:$A$252,0)),"NA"))</f>
        <v>17</v>
      </c>
      <c r="G35" s="54" t="str">
        <f aca="false" t="array" ref="G35:G35">IFERROR(INDEX('RSTO &gt; 48hrs'!$G$2:$G$134,MATCH($A35,'RSTO &gt; 48hrs'!$A$2:$A$134,0)),IFERROR(INDEX('RSTO &gt; 48hrs'!$G$2:$G$134,MATCH(SUBSTITUTE($A35," SS","  SS"),'RSTO &gt; 48hrs'!$A$2:$A$134,0)),"NA"))</f>
        <v>NA</v>
      </c>
      <c r="H35" s="54" t="str">
        <f aca="false" t="array" ref="H35:H35">IFERROR(INDEX('Recirculation &gt; 24 hrs'!$J$2:$J$150,MATCH($A35,'Recirculation &gt; 24 hrs'!$A$2:$A$150,0)),IFERROR(INDEX('Recirculation &gt; 24 hrs'!$J$2:$J$150,MATCH(SUBSTITUTE($A35," SS","  SS"),'Recirculation &gt; 24 hrs'!$A$2:$A$150,0)),"NA"))</f>
        <v>NA</v>
      </c>
      <c r="I35" s="54" t="n">
        <f aca="false" t="array" ref="I35:I35">IFERROR(INDEX('Pending Putaway'!$D$2:$D$255,MATCH($A35,'Pending Putaway'!$A$2:$A$255,0)),IFERROR(INDEX('Pending Putaway'!$D$2:$D$255,MATCH(SUBSTITUTE($A35," SS","  SS"),'Pending Putaway'!$A$2:$A$255,0)),"NA"))</f>
        <v>0</v>
      </c>
      <c r="J35" s="54" t="n">
        <f aca="false" t="array" ref="J35:J35">IFERROR(INDEX('Pending Putaway'!$K$2:$K$255,MATCH($A35,'Pending Putaway'!$A$2:$A$255,0)),IFERROR(INDEX('Pending Putaway'!$K$2:$K$255,MATCH(SUBSTITUTE($A35," SS","  SS"),'Pending Putaway'!$A$2:$A$255,0)),"NA"))</f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customFormat="false" ht="15.75" hidden="false" customHeight="true" outlineLevel="0" collapsed="false">
      <c r="A36" s="54" t="s">
        <v>298</v>
      </c>
      <c r="B36" s="54" t="str">
        <f aca="false" t="array" ref="B36:B36">IFERROR(INDEX('CLM &amp; IM Mapping'!$B$2:$B$270,MATCH($A36,'CLM &amp; IM Mapping'!$A$2:$A$270,0)),"Not Mapped")</f>
        <v>Saddam Hussain</v>
      </c>
      <c r="C36" s="54" t="str">
        <f aca="false" t="array" ref="C36:C36">IFERROR(INDEX('CLM &amp; IM Mapping'!$C$2:$C$270,MATCH($A36,'CLM &amp; IM Mapping'!$A$2:$A$270,0)),"Not Mapped")</f>
        <v>Un Mapped</v>
      </c>
      <c r="D36" s="55" t="n">
        <f aca="false" t="array" ref="D36:D36">IFERROR(INDEX(Shrinkage!$O$2:$O$260,MATCH($A36,Shrinkage!$C$2:$C$260,0)),IFERROR(INDEX(Shrinkage!$O$2:$O$260,MATCH(SUBSTITUTE($A36," SS","  SS"),Shrinkage!$C$2:$C$260,0)),"NA"))</f>
        <v>-44378</v>
      </c>
      <c r="E36" s="56" t="n">
        <f aca="false" t="array" ref="E36:E36">IFERROR(INDEX('Inventory Hygiene'!$I$2:$I$252,MATCH($A36,'Inventory Hygiene'!$A$2:$A$252,0)),IFERROR(INDEX('Inventory Hygiene'!$I$2:$I$252,MATCH(SUBSTITUTE($A36," SS","  SS"),'Inventory Hygiene'!$A$2:$A$252,0)),"NA"))</f>
        <v>0.39</v>
      </c>
      <c r="F36" s="54" t="n">
        <f aca="false" t="array" ref="F36:F36">IFERROR(INDEX('Bad Bins'!$J$2:$J$252,MATCH($A36,'Bad Bins'!$A$2:$A$252,0)),IFERROR(INDEX('Bad Bins'!$J$2:$J$252,MATCH(SUBSTITUTE($A36," SS","  SS"),'Bad Bins'!$A$2:$A$252,0)),"NA"))</f>
        <v>236</v>
      </c>
      <c r="G36" s="54" t="str">
        <f aca="false" t="array" ref="G36:G36">IFERROR(INDEX('RSTO &gt; 48hrs'!$G$2:$G$134,MATCH($A36,'RSTO &gt; 48hrs'!$A$2:$A$134,0)),IFERROR(INDEX('RSTO &gt; 48hrs'!$G$2:$G$134,MATCH(SUBSTITUTE($A36," SS","  SS"),'RSTO &gt; 48hrs'!$A$2:$A$134,0)),"NA"))</f>
        <v>NA</v>
      </c>
      <c r="H36" s="54" t="str">
        <f aca="false" t="array" ref="H36:H36">IFERROR(INDEX('Recirculation &gt; 24 hrs'!$J$2:$J$150,MATCH($A36,'Recirculation &gt; 24 hrs'!$A$2:$A$150,0)),IFERROR(INDEX('Recirculation &gt; 24 hrs'!$J$2:$J$150,MATCH(SUBSTITUTE($A36," SS","  SS"),'Recirculation &gt; 24 hrs'!$A$2:$A$150,0)),"NA"))</f>
        <v>NA</v>
      </c>
      <c r="I36" s="54" t="n">
        <f aca="false" t="array" ref="I36:I36">IFERROR(INDEX('Pending Putaway'!$D$2:$D$255,MATCH($A36,'Pending Putaway'!$A$2:$A$255,0)),IFERROR(INDEX('Pending Putaway'!$D$2:$D$255,MATCH(SUBSTITUTE($A36," SS","  SS"),'Pending Putaway'!$A$2:$A$255,0)),"NA"))</f>
        <v>0</v>
      </c>
      <c r="J36" s="54" t="n">
        <f aca="false" t="array" ref="J36:J36">IFERROR(INDEX('Pending Putaway'!$K$2:$K$255,MATCH($A36,'Pending Putaway'!$A$2:$A$255,0)),IFERROR(INDEX('Pending Putaway'!$K$2:$K$255,MATCH(SUBSTITUTE($A36," SS","  SS"),'Pending Putaway'!$A$2:$A$255,0)),"NA"))</f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customFormat="false" ht="15.75" hidden="false" customHeight="true" outlineLevel="0" collapsed="false">
      <c r="A37" s="54" t="s">
        <v>171</v>
      </c>
      <c r="B37" s="54" t="str">
        <f aca="false" t="array" ref="B37:B37">IFERROR(INDEX('CLM &amp; IM Mapping'!$B$2:$B$270,MATCH($A37,'CLM &amp; IM Mapping'!$A$2:$A$270,0)),"Not Mapped")</f>
        <v>Saddam Hussain</v>
      </c>
      <c r="C37" s="54" t="str">
        <f aca="false" t="array" ref="C37:C37">IFERROR(INDEX('CLM &amp; IM Mapping'!$C$2:$C$270,MATCH($A37,'CLM &amp; IM Mapping'!$A$2:$A$270,0)),"Not Mapped")</f>
        <v>Un Mapped</v>
      </c>
      <c r="D37" s="55" t="n">
        <f aca="false" t="array" ref="D37:D37">IFERROR(INDEX(Shrinkage!$O$2:$O$260,MATCH($A37,Shrinkage!$C$2:$C$260,0)),IFERROR(INDEX(Shrinkage!$O$2:$O$260,MATCH(SUBSTITUTE($A37," SS","  SS"),Shrinkage!$C$2:$C$260,0)),"NA"))</f>
        <v>1528</v>
      </c>
      <c r="E37" s="56" t="n">
        <f aca="false" t="array" ref="E37:E37">IFERROR(INDEX('Inventory Hygiene'!$I$2:$I$252,MATCH($A37,'Inventory Hygiene'!$A$2:$A$252,0)),IFERROR(INDEX('Inventory Hygiene'!$I$2:$I$252,MATCH(SUBSTITUTE($A37," SS","  SS"),'Inventory Hygiene'!$A$2:$A$252,0)),"NA"))</f>
        <v>0.7</v>
      </c>
      <c r="F37" s="54" t="n">
        <f aca="false" t="array" ref="F37:F37">IFERROR(INDEX('Bad Bins'!$J$2:$J$252,MATCH($A37,'Bad Bins'!$A$2:$A$252,0)),IFERROR(INDEX('Bad Bins'!$J$2:$J$252,MATCH(SUBSTITUTE($A37," SS","  SS"),'Bad Bins'!$A$2:$A$252,0)),"NA"))</f>
        <v>111</v>
      </c>
      <c r="G37" s="54" t="str">
        <f aca="false" t="array" ref="G37:G37">IFERROR(INDEX('RSTO &gt; 48hrs'!$G$2:$G$134,MATCH($A37,'RSTO &gt; 48hrs'!$A$2:$A$134,0)),IFERROR(INDEX('RSTO &gt; 48hrs'!$G$2:$G$134,MATCH(SUBSTITUTE($A37," SS","  SS"),'RSTO &gt; 48hrs'!$A$2:$A$134,0)),"NA"))</f>
        <v>NA</v>
      </c>
      <c r="H37" s="54" t="str">
        <f aca="false" t="array" ref="H37:H37">IFERROR(INDEX('Recirculation &gt; 24 hrs'!$J$2:$J$150,MATCH($A37,'Recirculation &gt; 24 hrs'!$A$2:$A$150,0)),IFERROR(INDEX('Recirculation &gt; 24 hrs'!$J$2:$J$150,MATCH(SUBSTITUTE($A37," SS","  SS"),'Recirculation &gt; 24 hrs'!$A$2:$A$150,0)),"NA"))</f>
        <v>NA</v>
      </c>
      <c r="I37" s="54" t="n">
        <f aca="false" t="array" ref="I37:I37">IFERROR(INDEX('Pending Putaway'!$D$2:$D$255,MATCH($A37,'Pending Putaway'!$A$2:$A$255,0)),IFERROR(INDEX('Pending Putaway'!$D$2:$D$255,MATCH(SUBSTITUTE($A37," SS","  SS"),'Pending Putaway'!$A$2:$A$255,0)),"NA"))</f>
        <v>1848</v>
      </c>
      <c r="J37" s="54" t="n">
        <f aca="false" t="array" ref="J37:J37">IFERROR(INDEX('Pending Putaway'!$K$2:$K$255,MATCH($A37,'Pending Putaway'!$A$2:$A$255,0)),IFERROR(INDEX('Pending Putaway'!$K$2:$K$255,MATCH(SUBSTITUTE($A37," SS","  SS"),'Pending Putaway'!$A$2:$A$255,0)),"NA"))</f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customFormat="false" ht="15.75" hidden="false" customHeight="true" outlineLevel="0" collapsed="false">
      <c r="A38" s="54" t="s">
        <v>285</v>
      </c>
      <c r="B38" s="54" t="str">
        <f aca="false" t="array" ref="B38:B38">IFERROR(INDEX('CLM &amp; IM Mapping'!$B$2:$B$270,MATCH($A38,'CLM &amp; IM Mapping'!$A$2:$A$270,0)),"Not Mapped")</f>
        <v>Saddam Hussain</v>
      </c>
      <c r="C38" s="54" t="str">
        <f aca="false" t="array" ref="C38:C38">IFERROR(INDEX('CLM &amp; IM Mapping'!$C$2:$C$270,MATCH($A38,'CLM &amp; IM Mapping'!$A$2:$A$270,0)),"Not Mapped")</f>
        <v>Un Mapped</v>
      </c>
      <c r="D38" s="55" t="n">
        <f aca="false" t="array" ref="D38:D38">IFERROR(INDEX(Shrinkage!$O$2:$O$260,MATCH($A38,Shrinkage!$C$2:$C$260,0)),IFERROR(INDEX(Shrinkage!$O$2:$O$260,MATCH(SUBSTITUTE($A38," SS","  SS"),Shrinkage!$C$2:$C$260,0)),"NA"))</f>
        <v>-19395</v>
      </c>
      <c r="E38" s="56" t="n">
        <f aca="false" t="array" ref="E38:E38">IFERROR(INDEX('Inventory Hygiene'!$I$2:$I$252,MATCH($A38,'Inventory Hygiene'!$A$2:$A$252,0)),IFERROR(INDEX('Inventory Hygiene'!$I$2:$I$252,MATCH(SUBSTITUTE($A38," SS","  SS"),'Inventory Hygiene'!$A$2:$A$252,0)),"NA"))</f>
        <v>0.71</v>
      </c>
      <c r="F38" s="54" t="n">
        <f aca="false" t="array" ref="F38:F38">IFERROR(INDEX('Bad Bins'!$J$2:$J$252,MATCH($A38,'Bad Bins'!$A$2:$A$252,0)),IFERROR(INDEX('Bad Bins'!$J$2:$J$252,MATCH(SUBSTITUTE($A38," SS","  SS"),'Bad Bins'!$A$2:$A$252,0)),"NA"))</f>
        <v>224</v>
      </c>
      <c r="G38" s="54" t="n">
        <f aca="false" t="array" ref="G38:G38">IFERROR(INDEX('RSTO &gt; 48hrs'!$G$2:$G$134,MATCH($A38,'RSTO &gt; 48hrs'!$A$2:$A$134,0)),IFERROR(INDEX('RSTO &gt; 48hrs'!$G$2:$G$134,MATCH(SUBSTITUTE($A38," SS","  SS"),'RSTO &gt; 48hrs'!$A$2:$A$134,0)),"NA"))</f>
        <v>6</v>
      </c>
      <c r="H38" s="54" t="n">
        <f aca="false" t="array" ref="H38:H38">IFERROR(INDEX('Recirculation &gt; 24 hrs'!$J$2:$J$150,MATCH($A38,'Recirculation &gt; 24 hrs'!$A$2:$A$150,0)),IFERROR(INDEX('Recirculation &gt; 24 hrs'!$J$2:$J$150,MATCH(SUBSTITUTE($A38," SS","  SS"),'Recirculation &gt; 24 hrs'!$A$2:$A$150,0)),"NA"))</f>
        <v>42</v>
      </c>
      <c r="I38" s="54" t="n">
        <f aca="false" t="array" ref="I38:I38">IFERROR(INDEX('Pending Putaway'!$D$2:$D$255,MATCH($A38,'Pending Putaway'!$A$2:$A$255,0)),IFERROR(INDEX('Pending Putaway'!$D$2:$D$255,MATCH(SUBSTITUTE($A38," SS","  SS"),'Pending Putaway'!$A$2:$A$255,0)),"NA"))</f>
        <v>3327</v>
      </c>
      <c r="J38" s="54" t="n">
        <f aca="false" t="array" ref="J38:J38">IFERROR(INDEX('Pending Putaway'!$K$2:$K$255,MATCH($A38,'Pending Putaway'!$A$2:$A$255,0)),IFERROR(INDEX('Pending Putaway'!$K$2:$K$255,MATCH(SUBSTITUTE($A38," SS","  SS"),'Pending Putaway'!$A$2:$A$255,0)),"NA"))</f>
        <v>5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customFormat="false" ht="15.75" hidden="false" customHeight="true" outlineLevel="0" collapsed="false">
      <c r="A39" s="54" t="s">
        <v>36</v>
      </c>
      <c r="B39" s="54" t="str">
        <f aca="false" t="array" ref="B39:B39">IFERROR(INDEX('CLM &amp; IM Mapping'!$B$2:$B$270,MATCH($A39,'CLM &amp; IM Mapping'!$A$2:$A$270,0)),"Not Mapped")</f>
        <v>Saddam Hussain</v>
      </c>
      <c r="C39" s="54" t="str">
        <f aca="false" t="array" ref="C39:C39">IFERROR(INDEX('CLM &amp; IM Mapping'!$C$2:$C$270,MATCH($A39,'CLM &amp; IM Mapping'!$A$2:$A$270,0)),"Not Mapped")</f>
        <v>Un Mapped</v>
      </c>
      <c r="D39" s="55" t="n">
        <f aca="false" t="array" ref="D39:D39">IFERROR(INDEX(Shrinkage!$O$2:$O$260,MATCH($A39,Shrinkage!$C$2:$C$260,0)),IFERROR(INDEX(Shrinkage!$O$2:$O$260,MATCH(SUBSTITUTE($A39," SS","  SS"),Shrinkage!$C$2:$C$260,0)),"NA"))</f>
        <v>54093</v>
      </c>
      <c r="E39" s="56" t="n">
        <f aca="false" t="array" ref="E39:E39">IFERROR(INDEX('Inventory Hygiene'!$I$2:$I$252,MATCH($A39,'Inventory Hygiene'!$A$2:$A$252,0)),IFERROR(INDEX('Inventory Hygiene'!$I$2:$I$252,MATCH(SUBSTITUTE($A39," SS","  SS"),'Inventory Hygiene'!$A$2:$A$252,0)),"NA"))</f>
        <v>0.23</v>
      </c>
      <c r="F39" s="54" t="n">
        <f aca="false" t="array" ref="F39:F39">IFERROR(INDEX('Bad Bins'!$J$2:$J$252,MATCH($A39,'Bad Bins'!$A$2:$A$252,0)),IFERROR(INDEX('Bad Bins'!$J$2:$J$252,MATCH(SUBSTITUTE($A39," SS","  SS"),'Bad Bins'!$A$2:$A$252,0)),"NA"))</f>
        <v>577</v>
      </c>
      <c r="G39" s="54" t="str">
        <f aca="false" t="array" ref="G39:G39">IFERROR(INDEX('RSTO &gt; 48hrs'!$G$2:$G$134,MATCH($A39,'RSTO &gt; 48hrs'!$A$2:$A$134,0)),IFERROR(INDEX('RSTO &gt; 48hrs'!$G$2:$G$134,MATCH(SUBSTITUTE($A39," SS","  SS"),'RSTO &gt; 48hrs'!$A$2:$A$134,0)),"NA"))</f>
        <v>NA</v>
      </c>
      <c r="H39" s="54" t="n">
        <f aca="false" t="array" ref="H39:H39">IFERROR(INDEX('Recirculation &gt; 24 hrs'!$J$2:$J$150,MATCH($A39,'Recirculation &gt; 24 hrs'!$A$2:$A$150,0)),IFERROR(INDEX('Recirculation &gt; 24 hrs'!$J$2:$J$150,MATCH(SUBSTITUTE($A39," SS","  SS"),'Recirculation &gt; 24 hrs'!$A$2:$A$150,0)),"NA"))</f>
        <v>1496</v>
      </c>
      <c r="I39" s="54" t="n">
        <f aca="false" t="array" ref="I39:I39">IFERROR(INDEX('Pending Putaway'!$D$2:$D$255,MATCH($A39,'Pending Putaway'!$A$2:$A$255,0)),IFERROR(INDEX('Pending Putaway'!$D$2:$D$255,MATCH(SUBSTITUTE($A39," SS","  SS"),'Pending Putaway'!$A$2:$A$255,0)),"NA"))</f>
        <v>3</v>
      </c>
      <c r="J39" s="54" t="n">
        <f aca="false" t="array" ref="J39:J39">IFERROR(INDEX('Pending Putaway'!$K$2:$K$255,MATCH($A39,'Pending Putaway'!$A$2:$A$255,0)),IFERROR(INDEX('Pending Putaway'!$K$2:$K$255,MATCH(SUBSTITUTE($A39," SS","  SS"),'Pending Putaway'!$A$2:$A$255,0)),"NA"))</f>
        <v>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customFormat="false" ht="15.75" hidden="false" customHeight="true" outlineLevel="0" collapsed="false">
      <c r="A40" s="54" t="s">
        <v>65</v>
      </c>
      <c r="B40" s="54" t="str">
        <f aca="false" t="array" ref="B40:B40">IFERROR(INDEX('CLM &amp; IM Mapping'!$B$2:$B$270,MATCH($A40,'CLM &amp; IM Mapping'!$A$2:$A$270,0)),"Not Mapped")</f>
        <v>Saddam Hussain</v>
      </c>
      <c r="C40" s="54" t="str">
        <f aca="false" t="array" ref="C40:C40">IFERROR(INDEX('CLM &amp; IM Mapping'!$C$2:$C$270,MATCH($A40,'CLM &amp; IM Mapping'!$A$2:$A$270,0)),"Not Mapped")</f>
        <v>Un Mapped</v>
      </c>
      <c r="D40" s="55" t="n">
        <f aca="false" t="array" ref="D40:D40">IFERROR(INDEX(Shrinkage!$O$2:$O$260,MATCH($A40,Shrinkage!$C$2:$C$260,0)),IFERROR(INDEX(Shrinkage!$O$2:$O$260,MATCH(SUBSTITUTE($A40," SS","  SS"),Shrinkage!$C$2:$C$260,0)),"NA"))</f>
        <v>39440</v>
      </c>
      <c r="E40" s="56" t="n">
        <f aca="false" t="array" ref="E40:E40">IFERROR(INDEX('Inventory Hygiene'!$I$2:$I$252,MATCH($A40,'Inventory Hygiene'!$A$2:$A$252,0)),IFERROR(INDEX('Inventory Hygiene'!$I$2:$I$252,MATCH(SUBSTITUTE($A40," SS","  SS"),'Inventory Hygiene'!$A$2:$A$252,0)),"NA"))</f>
        <v>0.32</v>
      </c>
      <c r="F40" s="54" t="n">
        <f aca="false" t="array" ref="F40:F40">IFERROR(INDEX('Bad Bins'!$J$2:$J$252,MATCH($A40,'Bad Bins'!$A$2:$A$252,0)),IFERROR(INDEX('Bad Bins'!$J$2:$J$252,MATCH(SUBSTITUTE($A40," SS","  SS"),'Bad Bins'!$A$2:$A$252,0)),"NA"))</f>
        <v>94</v>
      </c>
      <c r="G40" s="54" t="n">
        <f aca="false" t="array" ref="G40:G40">IFERROR(INDEX('RSTO &gt; 48hrs'!$G$2:$G$134,MATCH($A40,'RSTO &gt; 48hrs'!$A$2:$A$134,0)),IFERROR(INDEX('RSTO &gt; 48hrs'!$G$2:$G$134,MATCH(SUBSTITUTE($A40," SS","  SS"),'RSTO &gt; 48hrs'!$A$2:$A$134,0)),"NA"))</f>
        <v>3</v>
      </c>
      <c r="H40" s="54" t="str">
        <f aca="false" t="array" ref="H40:H40">IFERROR(INDEX('Recirculation &gt; 24 hrs'!$J$2:$J$150,MATCH($A40,'Recirculation &gt; 24 hrs'!$A$2:$A$150,0)),IFERROR(INDEX('Recirculation &gt; 24 hrs'!$J$2:$J$150,MATCH(SUBSTITUTE($A40," SS","  SS"),'Recirculation &gt; 24 hrs'!$A$2:$A$150,0)),"NA"))</f>
        <v>NA</v>
      </c>
      <c r="I40" s="54" t="n">
        <f aca="false" t="array" ref="I40:I40">IFERROR(INDEX('Pending Putaway'!$D$2:$D$255,MATCH($A40,'Pending Putaway'!$A$2:$A$255,0)),IFERROR(INDEX('Pending Putaway'!$D$2:$D$255,MATCH(SUBSTITUTE($A40," SS","  SS"),'Pending Putaway'!$A$2:$A$255,0)),"NA"))</f>
        <v>677</v>
      </c>
      <c r="J40" s="54" t="n">
        <f aca="false" t="array" ref="J40:J40">IFERROR(INDEX('Pending Putaway'!$K$2:$K$255,MATCH($A40,'Pending Putaway'!$A$2:$A$255,0)),IFERROR(INDEX('Pending Putaway'!$K$2:$K$255,MATCH(SUBSTITUTE($A40," SS","  SS"),'Pending Putaway'!$A$2:$A$255,0)),"NA"))</f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customFormat="false" ht="15.75" hidden="false" customHeight="true" outlineLevel="0" collapsed="false">
      <c r="A41" s="54" t="s">
        <v>196</v>
      </c>
      <c r="B41" s="54" t="str">
        <f aca="false" t="array" ref="B41:B41">IFERROR(INDEX('CLM &amp; IM Mapping'!$B$2:$B$270,MATCH($A41,'CLM &amp; IM Mapping'!$A$2:$A$270,0)),"Not Mapped")</f>
        <v>Saddam Hussain</v>
      </c>
      <c r="C41" s="54" t="str">
        <f aca="false" t="array" ref="C41:C41">IFERROR(INDEX('CLM &amp; IM Mapping'!$C$2:$C$270,MATCH($A41,'CLM &amp; IM Mapping'!$A$2:$A$270,0)),"Not Mapped")</f>
        <v>Un Mapped</v>
      </c>
      <c r="D41" s="55" t="n">
        <f aca="false" t="array" ref="D41:D41">IFERROR(INDEX(Shrinkage!$O$2:$O$260,MATCH($A41,Shrinkage!$C$2:$C$260,0)),IFERROR(INDEX(Shrinkage!$O$2:$O$260,MATCH(SUBSTITUTE($A41," SS","  SS"),Shrinkage!$C$2:$C$260,0)),"NA"))</f>
        <v>-1062</v>
      </c>
      <c r="E41" s="56" t="n">
        <f aca="false" t="array" ref="E41:E41">IFERROR(INDEX('Inventory Hygiene'!$I$2:$I$252,MATCH($A41,'Inventory Hygiene'!$A$2:$A$252,0)),IFERROR(INDEX('Inventory Hygiene'!$I$2:$I$252,MATCH(SUBSTITUTE($A41," SS","  SS"),'Inventory Hygiene'!$A$2:$A$252,0)),"NA"))</f>
        <v>0.64</v>
      </c>
      <c r="F41" s="54" t="n">
        <f aca="false" t="array" ref="F41:F41">IFERROR(INDEX('Bad Bins'!$J$2:$J$252,MATCH($A41,'Bad Bins'!$A$2:$A$252,0)),IFERROR(INDEX('Bad Bins'!$J$2:$J$252,MATCH(SUBSTITUTE($A41," SS","  SS"),'Bad Bins'!$A$2:$A$252,0)),"NA"))</f>
        <v>304</v>
      </c>
      <c r="G41" s="54" t="str">
        <f aca="false" t="array" ref="G41:G41">IFERROR(INDEX('RSTO &gt; 48hrs'!$G$2:$G$134,MATCH($A41,'RSTO &gt; 48hrs'!$A$2:$A$134,0)),IFERROR(INDEX('RSTO &gt; 48hrs'!$G$2:$G$134,MATCH(SUBSTITUTE($A41," SS","  SS"),'RSTO &gt; 48hrs'!$A$2:$A$134,0)),"NA"))</f>
        <v>NA</v>
      </c>
      <c r="H41" s="54" t="str">
        <f aca="false" t="array" ref="H41:H41">IFERROR(INDEX('Recirculation &gt; 24 hrs'!$J$2:$J$150,MATCH($A41,'Recirculation &gt; 24 hrs'!$A$2:$A$150,0)),IFERROR(INDEX('Recirculation &gt; 24 hrs'!$J$2:$J$150,MATCH(SUBSTITUTE($A41," SS","  SS"),'Recirculation &gt; 24 hrs'!$A$2:$A$150,0)),"NA"))</f>
        <v>NA</v>
      </c>
      <c r="I41" s="54" t="n">
        <f aca="false" t="array" ref="I41:I41">IFERROR(INDEX('Pending Putaway'!$D$2:$D$255,MATCH($A41,'Pending Putaway'!$A$2:$A$255,0)),IFERROR(INDEX('Pending Putaway'!$D$2:$D$255,MATCH(SUBSTITUTE($A41," SS","  SS"),'Pending Putaway'!$A$2:$A$255,0)),"NA"))</f>
        <v>374</v>
      </c>
      <c r="J41" s="54" t="n">
        <f aca="false" t="array" ref="J41:J41">IFERROR(INDEX('Pending Putaway'!$K$2:$K$255,MATCH($A41,'Pending Putaway'!$A$2:$A$255,0)),IFERROR(INDEX('Pending Putaway'!$K$2:$K$255,MATCH(SUBSTITUTE($A41," SS","  SS"),'Pending Putaway'!$A$2:$A$255,0)),"NA"))</f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customFormat="false" ht="15.75" hidden="false" customHeight="true" outlineLevel="0" collapsed="false">
      <c r="A42" s="54" t="s">
        <v>135</v>
      </c>
      <c r="B42" s="54" t="str">
        <f aca="false" t="array" ref="B42:B42">IFERROR(INDEX('CLM &amp; IM Mapping'!$B$2:$B$270,MATCH($A42,'CLM &amp; IM Mapping'!$A$2:$A$270,0)),"Not Mapped")</f>
        <v>Sundaresh S</v>
      </c>
      <c r="C42" s="54" t="str">
        <f aca="false" t="array" ref="C42:C42">IFERROR(INDEX('CLM &amp; IM Mapping'!$C$2:$C$270,MATCH($A42,'CLM &amp; IM Mapping'!$A$2:$A$270,0)),"Not Mapped")</f>
        <v>Un Mapped</v>
      </c>
      <c r="D42" s="55" t="n">
        <f aca="false" t="array" ref="D42:D42">IFERROR(INDEX(Shrinkage!$O$2:$O$260,MATCH($A42,Shrinkage!$C$2:$C$260,0)),IFERROR(INDEX(Shrinkage!$O$2:$O$260,MATCH(SUBSTITUTE($A42," SS","  SS"),Shrinkage!$C$2:$C$260,0)),"NA"))</f>
        <v>7336</v>
      </c>
      <c r="E42" s="56" t="n">
        <f aca="false" t="array" ref="E42:E42">IFERROR(INDEX('Inventory Hygiene'!$I$2:$I$252,MATCH($A42,'Inventory Hygiene'!$A$2:$A$252,0)),IFERROR(INDEX('Inventory Hygiene'!$I$2:$I$252,MATCH(SUBSTITUTE($A42," SS","  SS"),'Inventory Hygiene'!$A$2:$A$252,0)),"NA"))</f>
        <v>0.82</v>
      </c>
      <c r="F42" s="54" t="n">
        <f aca="false" t="array" ref="F42:F42">IFERROR(INDEX('Bad Bins'!$J$2:$J$252,MATCH($A42,'Bad Bins'!$A$2:$A$252,0)),IFERROR(INDEX('Bad Bins'!$J$2:$J$252,MATCH(SUBSTITUTE($A42," SS","  SS"),'Bad Bins'!$A$2:$A$252,0)),"NA"))</f>
        <v>109</v>
      </c>
      <c r="G42" s="54" t="str">
        <f aca="false" t="array" ref="G42:G42">IFERROR(INDEX('RSTO &gt; 48hrs'!$G$2:$G$134,MATCH($A42,'RSTO &gt; 48hrs'!$A$2:$A$134,0)),IFERROR(INDEX('RSTO &gt; 48hrs'!$G$2:$G$134,MATCH(SUBSTITUTE($A42," SS","  SS"),'RSTO &gt; 48hrs'!$A$2:$A$134,0)),"NA"))</f>
        <v>NA</v>
      </c>
      <c r="H42" s="54" t="n">
        <f aca="false" t="array" ref="H42:H42">IFERROR(INDEX('Recirculation &gt; 24 hrs'!$J$2:$J$150,MATCH($A42,'Recirculation &gt; 24 hrs'!$A$2:$A$150,0)),IFERROR(INDEX('Recirculation &gt; 24 hrs'!$J$2:$J$150,MATCH(SUBSTITUTE($A42," SS","  SS"),'Recirculation &gt; 24 hrs'!$A$2:$A$150,0)),"NA"))</f>
        <v>2</v>
      </c>
      <c r="I42" s="54" t="n">
        <f aca="false" t="array" ref="I42:I42">IFERROR(INDEX('Pending Putaway'!$D$2:$D$255,MATCH($A42,'Pending Putaway'!$A$2:$A$255,0)),IFERROR(INDEX('Pending Putaway'!$D$2:$D$255,MATCH(SUBSTITUTE($A42," SS","  SS"),'Pending Putaway'!$A$2:$A$255,0)),"NA"))</f>
        <v>3516</v>
      </c>
      <c r="J42" s="54" t="n">
        <f aca="false" t="array" ref="J42:J42">IFERROR(INDEX('Pending Putaway'!$K$2:$K$255,MATCH($A42,'Pending Putaway'!$A$2:$A$255,0)),IFERROR(INDEX('Pending Putaway'!$K$2:$K$255,MATCH(SUBSTITUTE($A42," SS","  SS"),'Pending Putaway'!$A$2:$A$255,0)),"NA"))</f>
        <v>21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customFormat="false" ht="15.75" hidden="false" customHeight="true" outlineLevel="0" collapsed="false">
      <c r="A43" s="54" t="s">
        <v>52</v>
      </c>
      <c r="B43" s="54" t="str">
        <f aca="false" t="array" ref="B43:B43">IFERROR(INDEX('CLM &amp; IM Mapping'!$B$2:$B$270,MATCH($A43,'CLM &amp; IM Mapping'!$A$2:$A$270,0)),"Not Mapped")</f>
        <v>Sundaresh S</v>
      </c>
      <c r="C43" s="54" t="str">
        <f aca="false" t="array" ref="C43:C43">IFERROR(INDEX('CLM &amp; IM Mapping'!$C$2:$C$270,MATCH($A43,'CLM &amp; IM Mapping'!$A$2:$A$270,0)),"Not Mapped")</f>
        <v>Un Mapped</v>
      </c>
      <c r="D43" s="55" t="n">
        <f aca="false" t="array" ref="D43:D43">IFERROR(INDEX(Shrinkage!$O$2:$O$260,MATCH($A43,Shrinkage!$C$2:$C$260,0)),IFERROR(INDEX(Shrinkage!$O$2:$O$260,MATCH(SUBSTITUTE($A43," SS","  SS"),Shrinkage!$C$2:$C$260,0)),"NA"))</f>
        <v>42783</v>
      </c>
      <c r="E43" s="56" t="n">
        <f aca="false" t="array" ref="E43:E43">IFERROR(INDEX('Inventory Hygiene'!$I$2:$I$252,MATCH($A43,'Inventory Hygiene'!$A$2:$A$252,0)),IFERROR(INDEX('Inventory Hygiene'!$I$2:$I$252,MATCH(SUBSTITUTE($A43," SS","  SS"),'Inventory Hygiene'!$A$2:$A$252,0)),"NA"))</f>
        <v>0.29</v>
      </c>
      <c r="F43" s="54" t="n">
        <f aca="false" t="array" ref="F43:F43">IFERROR(INDEX('Bad Bins'!$J$2:$J$252,MATCH($A43,'Bad Bins'!$A$2:$A$252,0)),IFERROR(INDEX('Bad Bins'!$J$2:$J$252,MATCH(SUBSTITUTE($A43," SS","  SS"),'Bad Bins'!$A$2:$A$252,0)),"NA"))</f>
        <v>401</v>
      </c>
      <c r="G43" s="54" t="n">
        <f aca="false" t="array" ref="G43:G43">IFERROR(INDEX('RSTO &gt; 48hrs'!$G$2:$G$134,MATCH($A43,'RSTO &gt; 48hrs'!$A$2:$A$134,0)),IFERROR(INDEX('RSTO &gt; 48hrs'!$G$2:$G$134,MATCH(SUBSTITUTE($A43," SS","  SS"),'RSTO &gt; 48hrs'!$A$2:$A$134,0)),"NA"))</f>
        <v>13</v>
      </c>
      <c r="H43" s="54" t="str">
        <f aca="false" t="array" ref="H43:H43">IFERROR(INDEX('Recirculation &gt; 24 hrs'!$J$2:$J$150,MATCH($A43,'Recirculation &gt; 24 hrs'!$A$2:$A$150,0)),IFERROR(INDEX('Recirculation &gt; 24 hrs'!$J$2:$J$150,MATCH(SUBSTITUTE($A43," SS","  SS"),'Recirculation &gt; 24 hrs'!$A$2:$A$150,0)),"NA"))</f>
        <v>NA</v>
      </c>
      <c r="I43" s="54" t="n">
        <f aca="false" t="array" ref="I43:I43">IFERROR(INDEX('Pending Putaway'!$D$2:$D$255,MATCH($A43,'Pending Putaway'!$A$2:$A$255,0)),IFERROR(INDEX('Pending Putaway'!$D$2:$D$255,MATCH(SUBSTITUTE($A43," SS","  SS"),'Pending Putaway'!$A$2:$A$255,0)),"NA"))</f>
        <v>5704</v>
      </c>
      <c r="J43" s="54" t="n">
        <f aca="false" t="array" ref="J43:J43">IFERROR(INDEX('Pending Putaway'!$K$2:$K$255,MATCH($A43,'Pending Putaway'!$A$2:$A$255,0)),IFERROR(INDEX('Pending Putaway'!$K$2:$K$255,MATCH(SUBSTITUTE($A43," SS","  SS"),'Pending Putaway'!$A$2:$A$255,0)),"NA"))</f>
        <v>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customFormat="false" ht="15.75" hidden="false" customHeight="true" outlineLevel="0" collapsed="false">
      <c r="A44" s="54" t="s">
        <v>269</v>
      </c>
      <c r="B44" s="54" t="str">
        <f aca="false" t="array" ref="B44:B44">IFERROR(INDEX('CLM &amp; IM Mapping'!$B$2:$B$270,MATCH($A44,'CLM &amp; IM Mapping'!$A$2:$A$270,0)),"Not Mapped")</f>
        <v>Sundaresh S</v>
      </c>
      <c r="C44" s="54" t="str">
        <f aca="false" t="array" ref="C44:C44">IFERROR(INDEX('CLM &amp; IM Mapping'!$C$2:$C$270,MATCH($A44,'CLM &amp; IM Mapping'!$A$2:$A$270,0)),"Not Mapped")</f>
        <v>Un Mapped</v>
      </c>
      <c r="D44" s="55" t="n">
        <f aca="false" t="array" ref="D44:D44">IFERROR(INDEX(Shrinkage!$O$2:$O$260,MATCH($A44,Shrinkage!$C$2:$C$260,0)),IFERROR(INDEX(Shrinkage!$O$2:$O$260,MATCH(SUBSTITUTE($A44," SS","  SS"),Shrinkage!$C$2:$C$260,0)),"NA"))</f>
        <v>-11330</v>
      </c>
      <c r="E44" s="56" t="n">
        <f aca="false" t="array" ref="E44:E44">IFERROR(INDEX('Inventory Hygiene'!$I$2:$I$252,MATCH($A44,'Inventory Hygiene'!$A$2:$A$252,0)),IFERROR(INDEX('Inventory Hygiene'!$I$2:$I$252,MATCH(SUBSTITUTE($A44," SS","  SS"),'Inventory Hygiene'!$A$2:$A$252,0)),"NA"))</f>
        <v>0.36</v>
      </c>
      <c r="F44" s="54" t="n">
        <f aca="false" t="array" ref="F44:F44">IFERROR(INDEX('Bad Bins'!$J$2:$J$252,MATCH($A44,'Bad Bins'!$A$2:$A$252,0)),IFERROR(INDEX('Bad Bins'!$J$2:$J$252,MATCH(SUBSTITUTE($A44," SS","  SS"),'Bad Bins'!$A$2:$A$252,0)),"NA"))</f>
        <v>197</v>
      </c>
      <c r="G44" s="54" t="n">
        <f aca="false" t="array" ref="G44:G44">IFERROR(INDEX('RSTO &gt; 48hrs'!$G$2:$G$134,MATCH($A44,'RSTO &gt; 48hrs'!$A$2:$A$134,0)),IFERROR(INDEX('RSTO &gt; 48hrs'!$G$2:$G$134,MATCH(SUBSTITUTE($A44," SS","  SS"),'RSTO &gt; 48hrs'!$A$2:$A$134,0)),"NA"))</f>
        <v>127</v>
      </c>
      <c r="H44" s="54" t="n">
        <f aca="false" t="array" ref="H44:H44">IFERROR(INDEX('Recirculation &gt; 24 hrs'!$J$2:$J$150,MATCH($A44,'Recirculation &gt; 24 hrs'!$A$2:$A$150,0)),IFERROR(INDEX('Recirculation &gt; 24 hrs'!$J$2:$J$150,MATCH(SUBSTITUTE($A44," SS","  SS"),'Recirculation &gt; 24 hrs'!$A$2:$A$150,0)),"NA"))</f>
        <v>5</v>
      </c>
      <c r="I44" s="54" t="n">
        <f aca="false" t="array" ref="I44:I44">IFERROR(INDEX('Pending Putaway'!$D$2:$D$255,MATCH($A44,'Pending Putaway'!$A$2:$A$255,0)),IFERROR(INDEX('Pending Putaway'!$D$2:$D$255,MATCH(SUBSTITUTE($A44," SS","  SS"),'Pending Putaway'!$A$2:$A$255,0)),"NA"))</f>
        <v>2985</v>
      </c>
      <c r="J44" s="54" t="n">
        <f aca="false" t="array" ref="J44:J44">IFERROR(INDEX('Pending Putaway'!$K$2:$K$255,MATCH($A44,'Pending Putaway'!$A$2:$A$255,0)),IFERROR(INDEX('Pending Putaway'!$K$2:$K$255,MATCH(SUBSTITUTE($A44," SS","  SS"),'Pending Putaway'!$A$2:$A$255,0)),"NA"))</f>
        <v>199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customFormat="false" ht="15.75" hidden="false" customHeight="true" outlineLevel="0" collapsed="false">
      <c r="A45" s="54" t="s">
        <v>293</v>
      </c>
      <c r="B45" s="54" t="str">
        <f aca="false" t="array" ref="B45:B45">IFERROR(INDEX('CLM &amp; IM Mapping'!$B$2:$B$270,MATCH($A45,'CLM &amp; IM Mapping'!$A$2:$A$270,0)),"Not Mapped")</f>
        <v>Sundaresh S</v>
      </c>
      <c r="C45" s="54" t="str">
        <f aca="false" t="array" ref="C45:C45">IFERROR(INDEX('CLM &amp; IM Mapping'!$C$2:$C$270,MATCH($A45,'CLM &amp; IM Mapping'!$A$2:$A$270,0)),"Not Mapped")</f>
        <v>Un Mapped</v>
      </c>
      <c r="D45" s="55" t="n">
        <f aca="false" t="array" ref="D45:D45">IFERROR(INDEX(Shrinkage!$O$2:$O$260,MATCH($A45,Shrinkage!$C$2:$C$260,0)),IFERROR(INDEX(Shrinkage!$O$2:$O$260,MATCH(SUBSTITUTE($A45," SS","  SS"),Shrinkage!$C$2:$C$260,0)),"NA"))</f>
        <v>-31262</v>
      </c>
      <c r="E45" s="56" t="n">
        <f aca="false" t="array" ref="E45:E45">IFERROR(INDEX('Inventory Hygiene'!$I$2:$I$252,MATCH($A45,'Inventory Hygiene'!$A$2:$A$252,0)),IFERROR(INDEX('Inventory Hygiene'!$I$2:$I$252,MATCH(SUBSTITUTE($A45," SS","  SS"),'Inventory Hygiene'!$A$2:$A$252,0)),"NA"))</f>
        <v>0.36</v>
      </c>
      <c r="F45" s="54" t="n">
        <f aca="false" t="array" ref="F45:F45">IFERROR(INDEX('Bad Bins'!$J$2:$J$252,MATCH($A45,'Bad Bins'!$A$2:$A$252,0)),IFERROR(INDEX('Bad Bins'!$J$2:$J$252,MATCH(SUBSTITUTE($A45," SS","  SS"),'Bad Bins'!$A$2:$A$252,0)),"NA"))</f>
        <v>158</v>
      </c>
      <c r="G45" s="54" t="str">
        <f aca="false" t="array" ref="G45:G45">IFERROR(INDEX('RSTO &gt; 48hrs'!$G$2:$G$134,MATCH($A45,'RSTO &gt; 48hrs'!$A$2:$A$134,0)),IFERROR(INDEX('RSTO &gt; 48hrs'!$G$2:$G$134,MATCH(SUBSTITUTE($A45," SS","  SS"),'RSTO &gt; 48hrs'!$A$2:$A$134,0)),"NA"))</f>
        <v>NA</v>
      </c>
      <c r="H45" s="54" t="str">
        <f aca="false" t="array" ref="H45:H45">IFERROR(INDEX('Recirculation &gt; 24 hrs'!$J$2:$J$150,MATCH($A45,'Recirculation &gt; 24 hrs'!$A$2:$A$150,0)),IFERROR(INDEX('Recirculation &gt; 24 hrs'!$J$2:$J$150,MATCH(SUBSTITUTE($A45," SS","  SS"),'Recirculation &gt; 24 hrs'!$A$2:$A$150,0)),"NA"))</f>
        <v>NA</v>
      </c>
      <c r="I45" s="54" t="n">
        <f aca="false" t="array" ref="I45:I45">IFERROR(INDEX('Pending Putaway'!$D$2:$D$255,MATCH($A45,'Pending Putaway'!$A$2:$A$255,0)),IFERROR(INDEX('Pending Putaway'!$D$2:$D$255,MATCH(SUBSTITUTE($A45," SS","  SS"),'Pending Putaway'!$A$2:$A$255,0)),"NA"))</f>
        <v>2148</v>
      </c>
      <c r="J45" s="54" t="n">
        <f aca="false" t="array" ref="J45:J45">IFERROR(INDEX('Pending Putaway'!$K$2:$K$255,MATCH($A45,'Pending Putaway'!$A$2:$A$255,0)),IFERROR(INDEX('Pending Putaway'!$K$2:$K$255,MATCH(SUBSTITUTE($A45," SS","  SS"),'Pending Putaway'!$A$2:$A$255,0)),"NA"))</f>
        <v>2148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 customFormat="false" ht="15.75" hidden="false" customHeight="true" outlineLevel="0" collapsed="false">
      <c r="A46" s="54" t="s">
        <v>114</v>
      </c>
      <c r="B46" s="54" t="str">
        <f aca="false" t="array" ref="B46:B46">IFERROR(INDEX('CLM &amp; IM Mapping'!$B$2:$B$270,MATCH($A46,'CLM &amp; IM Mapping'!$A$2:$A$270,0)),"Not Mapped")</f>
        <v>Sundaresh S</v>
      </c>
      <c r="C46" s="54" t="str">
        <f aca="false" t="array" ref="C46:C46">IFERROR(INDEX('CLM &amp; IM Mapping'!$C$2:$C$270,MATCH($A46,'CLM &amp; IM Mapping'!$A$2:$A$270,0)),"Not Mapped")</f>
        <v>Un Mapped</v>
      </c>
      <c r="D46" s="55" t="n">
        <f aca="false" t="array" ref="D46:D46">IFERROR(INDEX(Shrinkage!$O$2:$O$260,MATCH($A46,Shrinkage!$C$2:$C$260,0)),IFERROR(INDEX(Shrinkage!$O$2:$O$260,MATCH(SUBSTITUTE($A46," SS","  SS"),Shrinkage!$C$2:$C$260,0)),"NA"))</f>
        <v>14674</v>
      </c>
      <c r="E46" s="56" t="n">
        <f aca="false" t="array" ref="E46:E46">IFERROR(INDEX('Inventory Hygiene'!$I$2:$I$252,MATCH($A46,'Inventory Hygiene'!$A$2:$A$252,0)),IFERROR(INDEX('Inventory Hygiene'!$I$2:$I$252,MATCH(SUBSTITUTE($A46," SS","  SS"),'Inventory Hygiene'!$A$2:$A$252,0)),"NA"))</f>
        <v>0.6</v>
      </c>
      <c r="F46" s="54" t="n">
        <f aca="false" t="array" ref="F46:F46">IFERROR(INDEX('Bad Bins'!$J$2:$J$252,MATCH($A46,'Bad Bins'!$A$2:$A$252,0)),IFERROR(INDEX('Bad Bins'!$J$2:$J$252,MATCH(SUBSTITUTE($A46," SS","  SS"),'Bad Bins'!$A$2:$A$252,0)),"NA"))</f>
        <v>253</v>
      </c>
      <c r="G46" s="54" t="str">
        <f aca="false" t="array" ref="G46:G46">IFERROR(INDEX('RSTO &gt; 48hrs'!$G$2:$G$134,MATCH($A46,'RSTO &gt; 48hrs'!$A$2:$A$134,0)),IFERROR(INDEX('RSTO &gt; 48hrs'!$G$2:$G$134,MATCH(SUBSTITUTE($A46," SS","  SS"),'RSTO &gt; 48hrs'!$A$2:$A$134,0)),"NA"))</f>
        <v>NA</v>
      </c>
      <c r="H46" s="54" t="str">
        <f aca="false" t="array" ref="H46:H46">IFERROR(INDEX('Recirculation &gt; 24 hrs'!$J$2:$J$150,MATCH($A46,'Recirculation &gt; 24 hrs'!$A$2:$A$150,0)),IFERROR(INDEX('Recirculation &gt; 24 hrs'!$J$2:$J$150,MATCH(SUBSTITUTE($A46," SS","  SS"),'Recirculation &gt; 24 hrs'!$A$2:$A$150,0)),"NA"))</f>
        <v>NA</v>
      </c>
      <c r="I46" s="54" t="n">
        <f aca="false" t="array" ref="I46:I46">IFERROR(INDEX('Pending Putaway'!$D$2:$D$255,MATCH($A46,'Pending Putaway'!$A$2:$A$255,0)),IFERROR(INDEX('Pending Putaway'!$D$2:$D$255,MATCH(SUBSTITUTE($A46," SS","  SS"),'Pending Putaway'!$A$2:$A$255,0)),"NA"))</f>
        <v>2736</v>
      </c>
      <c r="J46" s="54" t="n">
        <f aca="false" t="array" ref="J46:J46">IFERROR(INDEX('Pending Putaway'!$K$2:$K$255,MATCH($A46,'Pending Putaway'!$A$2:$A$255,0)),IFERROR(INDEX('Pending Putaway'!$K$2:$K$255,MATCH(SUBSTITUTE($A46," SS","  SS"),'Pending Putaway'!$A$2:$A$255,0)),"NA"))</f>
        <v>56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customFormat="false" ht="15.75" hidden="false" customHeight="true" outlineLevel="0" collapsed="false">
      <c r="A47" s="54" t="s">
        <v>266</v>
      </c>
      <c r="B47" s="54" t="str">
        <f aca="false" t="array" ref="B47:B47">IFERROR(INDEX('CLM &amp; IM Mapping'!$B$2:$B$270,MATCH($A47,'CLM &amp; IM Mapping'!$A$2:$A$270,0)),"Not Mapped")</f>
        <v>Sundaresh S</v>
      </c>
      <c r="C47" s="54" t="str">
        <f aca="false" t="array" ref="C47:C47">IFERROR(INDEX('CLM &amp; IM Mapping'!$C$2:$C$270,MATCH($A47,'CLM &amp; IM Mapping'!$A$2:$A$270,0)),"Not Mapped")</f>
        <v>Un Mapped</v>
      </c>
      <c r="D47" s="55" t="n">
        <f aca="false" t="array" ref="D47:D47">IFERROR(INDEX(Shrinkage!$O$2:$O$260,MATCH($A47,Shrinkage!$C$2:$C$260,0)),IFERROR(INDEX(Shrinkage!$O$2:$O$260,MATCH(SUBSTITUTE($A47," SS","  SS"),Shrinkage!$C$2:$C$260,0)),"NA"))</f>
        <v>-11098</v>
      </c>
      <c r="E47" s="56" t="n">
        <f aca="false" t="array" ref="E47:E47">IFERROR(INDEX('Inventory Hygiene'!$I$2:$I$252,MATCH($A47,'Inventory Hygiene'!$A$2:$A$252,0)),IFERROR(INDEX('Inventory Hygiene'!$I$2:$I$252,MATCH(SUBSTITUTE($A47," SS","  SS"),'Inventory Hygiene'!$A$2:$A$252,0)),"NA"))</f>
        <v>0.66</v>
      </c>
      <c r="F47" s="54" t="n">
        <f aca="false" t="array" ref="F47:F47">IFERROR(INDEX('Bad Bins'!$J$2:$J$252,MATCH($A47,'Bad Bins'!$A$2:$A$252,0)),IFERROR(INDEX('Bad Bins'!$J$2:$J$252,MATCH(SUBSTITUTE($A47," SS","  SS"),'Bad Bins'!$A$2:$A$252,0)),"NA"))</f>
        <v>122</v>
      </c>
      <c r="G47" s="54" t="n">
        <f aca="false" t="array" ref="G47:G47">IFERROR(INDEX('RSTO &gt; 48hrs'!$G$2:$G$134,MATCH($A47,'RSTO &gt; 48hrs'!$A$2:$A$134,0)),IFERROR(INDEX('RSTO &gt; 48hrs'!$G$2:$G$134,MATCH(SUBSTITUTE($A47," SS","  SS"),'RSTO &gt; 48hrs'!$A$2:$A$134,0)),"NA"))</f>
        <v>13</v>
      </c>
      <c r="H47" s="54" t="n">
        <f aca="false" t="array" ref="H47:H47">IFERROR(INDEX('Recirculation &gt; 24 hrs'!$J$2:$J$150,MATCH($A47,'Recirculation &gt; 24 hrs'!$A$2:$A$150,0)),IFERROR(INDEX('Recirculation &gt; 24 hrs'!$J$2:$J$150,MATCH(SUBSTITUTE($A47," SS","  SS"),'Recirculation &gt; 24 hrs'!$A$2:$A$150,0)),"NA"))</f>
        <v>7</v>
      </c>
      <c r="I47" s="54" t="n">
        <f aca="false" t="array" ref="I47:I47">IFERROR(INDEX('Pending Putaway'!$D$2:$D$255,MATCH($A47,'Pending Putaway'!$A$2:$A$255,0)),IFERROR(INDEX('Pending Putaway'!$D$2:$D$255,MATCH(SUBSTITUTE($A47," SS","  SS"),'Pending Putaway'!$A$2:$A$255,0)),"NA"))</f>
        <v>1621</v>
      </c>
      <c r="J47" s="54" t="n">
        <f aca="false" t="array" ref="J47:J47">IFERROR(INDEX('Pending Putaway'!$K$2:$K$255,MATCH($A47,'Pending Putaway'!$A$2:$A$255,0)),IFERROR(INDEX('Pending Putaway'!$K$2:$K$255,MATCH(SUBSTITUTE($A47," SS","  SS"),'Pending Putaway'!$A$2:$A$255,0)),"NA"))</f>
        <v>1607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customFormat="false" ht="15.75" hidden="false" customHeight="true" outlineLevel="0" collapsed="false">
      <c r="A48" s="54" t="s">
        <v>296</v>
      </c>
      <c r="B48" s="54" t="str">
        <f aca="false" t="array" ref="B48:B48">IFERROR(INDEX('CLM &amp; IM Mapping'!$B$2:$B$270,MATCH($A48,'CLM &amp; IM Mapping'!$A$2:$A$270,0)),"Not Mapped")</f>
        <v>Sundaresh S</v>
      </c>
      <c r="C48" s="54" t="str">
        <f aca="false" t="array" ref="C48:C48">IFERROR(INDEX('CLM &amp; IM Mapping'!$C$2:$C$270,MATCH($A48,'CLM &amp; IM Mapping'!$A$2:$A$270,0)),"Not Mapped")</f>
        <v>Un Mapped</v>
      </c>
      <c r="D48" s="55" t="n">
        <f aca="false" t="array" ref="D48:D48">IFERROR(INDEX(Shrinkage!$O$2:$O$260,MATCH($A48,Shrinkage!$C$2:$C$260,0)),IFERROR(INDEX(Shrinkage!$O$2:$O$260,MATCH(SUBSTITUTE($A48," SS","  SS"),Shrinkage!$C$2:$C$260,0)),"NA"))</f>
        <v>-37396</v>
      </c>
      <c r="E48" s="56" t="n">
        <f aca="false" t="array" ref="E48:E48">IFERROR(INDEX('Inventory Hygiene'!$I$2:$I$252,MATCH($A48,'Inventory Hygiene'!$A$2:$A$252,0)),IFERROR(INDEX('Inventory Hygiene'!$I$2:$I$252,MATCH(SUBSTITUTE($A48," SS","  SS"),'Inventory Hygiene'!$A$2:$A$252,0)),"NA"))</f>
        <v>0.93</v>
      </c>
      <c r="F48" s="54" t="n">
        <f aca="false" t="array" ref="F48:F48">IFERROR(INDEX('Bad Bins'!$J$2:$J$252,MATCH($A48,'Bad Bins'!$A$2:$A$252,0)),IFERROR(INDEX('Bad Bins'!$J$2:$J$252,MATCH(SUBSTITUTE($A48," SS","  SS"),'Bad Bins'!$A$2:$A$252,0)),"NA"))</f>
        <v>91</v>
      </c>
      <c r="G48" s="54" t="n">
        <f aca="false" t="array" ref="G48:G48">IFERROR(INDEX('RSTO &gt; 48hrs'!$G$2:$G$134,MATCH($A48,'RSTO &gt; 48hrs'!$A$2:$A$134,0)),IFERROR(INDEX('RSTO &gt; 48hrs'!$G$2:$G$134,MATCH(SUBSTITUTE($A48," SS","  SS"),'RSTO &gt; 48hrs'!$A$2:$A$134,0)),"NA"))</f>
        <v>91</v>
      </c>
      <c r="H48" s="54" t="n">
        <f aca="false" t="array" ref="H48:H48">IFERROR(INDEX('Recirculation &gt; 24 hrs'!$J$2:$J$150,MATCH($A48,'Recirculation &gt; 24 hrs'!$A$2:$A$150,0)),IFERROR(INDEX('Recirculation &gt; 24 hrs'!$J$2:$J$150,MATCH(SUBSTITUTE($A48," SS","  SS"),'Recirculation &gt; 24 hrs'!$A$2:$A$150,0)),"NA"))</f>
        <v>7</v>
      </c>
      <c r="I48" s="54" t="n">
        <f aca="false" t="array" ref="I48:I48">IFERROR(INDEX('Pending Putaway'!$D$2:$D$255,MATCH($A48,'Pending Putaway'!$A$2:$A$255,0)),IFERROR(INDEX('Pending Putaway'!$D$2:$D$255,MATCH(SUBSTITUTE($A48," SS","  SS"),'Pending Putaway'!$A$2:$A$255,0)),"NA"))</f>
        <v>876</v>
      </c>
      <c r="J48" s="54" t="n">
        <f aca="false" t="array" ref="J48:J48">IFERROR(INDEX('Pending Putaway'!$K$2:$K$255,MATCH($A48,'Pending Putaway'!$A$2:$A$255,0)),IFERROR(INDEX('Pending Putaway'!$K$2:$K$255,MATCH(SUBSTITUTE($A48," SS","  SS"),'Pending Putaway'!$A$2:$A$255,0)),"NA"))</f>
        <v>528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customFormat="false" ht="15.75" hidden="false" customHeight="true" outlineLevel="0" collapsed="false">
      <c r="A49" s="54" t="s">
        <v>69</v>
      </c>
      <c r="B49" s="54" t="str">
        <f aca="false" t="array" ref="B49:B49">IFERROR(INDEX('CLM &amp; IM Mapping'!$B$2:$B$270,MATCH($A49,'CLM &amp; IM Mapping'!$A$2:$A$270,0)),"Not Mapped")</f>
        <v>Sundaresh S</v>
      </c>
      <c r="C49" s="54" t="str">
        <f aca="false" t="array" ref="C49:C49">IFERROR(INDEX('CLM &amp; IM Mapping'!$C$2:$C$270,MATCH($A49,'CLM &amp; IM Mapping'!$A$2:$A$270,0)),"Not Mapped")</f>
        <v>Un Mapped</v>
      </c>
      <c r="D49" s="55" t="n">
        <f aca="false" t="array" ref="D49:D49">IFERROR(INDEX(Shrinkage!$O$2:$O$260,MATCH($A49,Shrinkage!$C$2:$C$260,0)),IFERROR(INDEX(Shrinkage!$O$2:$O$260,MATCH(SUBSTITUTE($A49," SS","  SS"),Shrinkage!$C$2:$C$260,0)),"NA"))</f>
        <v>37095</v>
      </c>
      <c r="E49" s="56" t="n">
        <f aca="false" t="array" ref="E49:E49">IFERROR(INDEX('Inventory Hygiene'!$I$2:$I$252,MATCH($A49,'Inventory Hygiene'!$A$2:$A$252,0)),IFERROR(INDEX('Inventory Hygiene'!$I$2:$I$252,MATCH(SUBSTITUTE($A49," SS","  SS"),'Inventory Hygiene'!$A$2:$A$252,0)),"NA"))</f>
        <v>0.39</v>
      </c>
      <c r="F49" s="54" t="n">
        <f aca="false" t="array" ref="F49:F49">IFERROR(INDEX('Bad Bins'!$J$2:$J$252,MATCH($A49,'Bad Bins'!$A$2:$A$252,0)),IFERROR(INDEX('Bad Bins'!$J$2:$J$252,MATCH(SUBSTITUTE($A49," SS","  SS"),'Bad Bins'!$A$2:$A$252,0)),"NA"))</f>
        <v>122</v>
      </c>
      <c r="G49" s="54" t="n">
        <f aca="false" t="array" ref="G49:G49">IFERROR(INDEX('RSTO &gt; 48hrs'!$G$2:$G$134,MATCH($A49,'RSTO &gt; 48hrs'!$A$2:$A$134,0)),IFERROR(INDEX('RSTO &gt; 48hrs'!$G$2:$G$134,MATCH(SUBSTITUTE($A49," SS","  SS"),'RSTO &gt; 48hrs'!$A$2:$A$134,0)),"NA"))</f>
        <v>9</v>
      </c>
      <c r="H49" s="54" t="str">
        <f aca="false" t="array" ref="H49:H49">IFERROR(INDEX('Recirculation &gt; 24 hrs'!$J$2:$J$150,MATCH($A49,'Recirculation &gt; 24 hrs'!$A$2:$A$150,0)),IFERROR(INDEX('Recirculation &gt; 24 hrs'!$J$2:$J$150,MATCH(SUBSTITUTE($A49," SS","  SS"),'Recirculation &gt; 24 hrs'!$A$2:$A$150,0)),"NA"))</f>
        <v>NA</v>
      </c>
      <c r="I49" s="54" t="n">
        <f aca="false" t="array" ref="I49:I49">IFERROR(INDEX('Pending Putaway'!$D$2:$D$255,MATCH($A49,'Pending Putaway'!$A$2:$A$255,0)),IFERROR(INDEX('Pending Putaway'!$D$2:$D$255,MATCH(SUBSTITUTE($A49," SS","  SS"),'Pending Putaway'!$A$2:$A$255,0)),"NA"))</f>
        <v>4436</v>
      </c>
      <c r="J49" s="54" t="n">
        <f aca="false" t="array" ref="J49:J49">IFERROR(INDEX('Pending Putaway'!$K$2:$K$255,MATCH($A49,'Pending Putaway'!$A$2:$A$255,0)),IFERROR(INDEX('Pending Putaway'!$K$2:$K$255,MATCH(SUBSTITUTE($A49," SS","  SS"),'Pending Putaway'!$A$2:$A$255,0)),"NA"))</f>
        <v>475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customFormat="false" ht="15.75" hidden="false" customHeight="true" outlineLevel="0" collapsed="false">
      <c r="A50" s="54" t="s">
        <v>328</v>
      </c>
      <c r="B50" s="54" t="str">
        <f aca="false" t="array" ref="B50:B50">IFERROR(INDEX('CLM &amp; IM Mapping'!$B$2:$B$270,MATCH($A50,'CLM &amp; IM Mapping'!$A$2:$A$270,0)),"Not Mapped")</f>
        <v>Sundaresh S</v>
      </c>
      <c r="C50" s="54" t="str">
        <f aca="false" t="array" ref="C50:C50">IFERROR(INDEX('CLM &amp; IM Mapping'!$C$2:$C$270,MATCH($A50,'CLM &amp; IM Mapping'!$A$2:$A$270,0)),"Not Mapped")</f>
        <v>Un Mapped</v>
      </c>
      <c r="D50" s="55" t="str">
        <f aca="false" t="array" ref="D50:D50">IFERROR(INDEX(Shrinkage!$O$2:$O$260,MATCH($A50,Shrinkage!$C$2:$C$260,0)),IFERROR(INDEX(Shrinkage!$O$2:$O$260,MATCH(SUBSTITUTE($A50," SS","  SS"),Shrinkage!$C$2:$C$260,0)),"NA"))</f>
        <v>NA</v>
      </c>
      <c r="E50" s="56" t="str">
        <f aca="false" t="array" ref="E50:E50">IFERROR(INDEX('Inventory Hygiene'!$I$2:$I$252,MATCH($A50,'Inventory Hygiene'!$A$2:$A$252,0)),IFERROR(INDEX('Inventory Hygiene'!$I$2:$I$252,MATCH(SUBSTITUTE($A50," SS","  SS"),'Inventory Hygiene'!$A$2:$A$252,0)),"NA"))</f>
        <v>NA</v>
      </c>
      <c r="F50" s="54" t="str">
        <f aca="false" t="array" ref="F50:F50">IFERROR(INDEX('Bad Bins'!$J$2:$J$252,MATCH($A50,'Bad Bins'!$A$2:$A$252,0)),IFERROR(INDEX('Bad Bins'!$J$2:$J$252,MATCH(SUBSTITUTE($A50," SS","  SS"),'Bad Bins'!$A$2:$A$252,0)),"NA"))</f>
        <v>NA</v>
      </c>
      <c r="G50" s="54" t="str">
        <f aca="false" t="array" ref="G50:G50">IFERROR(INDEX('RSTO &gt; 48hrs'!$G$2:$G$134,MATCH($A50,'RSTO &gt; 48hrs'!$A$2:$A$134,0)),IFERROR(INDEX('RSTO &gt; 48hrs'!$G$2:$G$134,MATCH(SUBSTITUTE($A50," SS","  SS"),'RSTO &gt; 48hrs'!$A$2:$A$134,0)),"NA"))</f>
        <v>NA</v>
      </c>
      <c r="H50" s="54" t="str">
        <f aca="false" t="array" ref="H50:H50">IFERROR(INDEX('Recirculation &gt; 24 hrs'!$J$2:$J$150,MATCH($A50,'Recirculation &gt; 24 hrs'!$A$2:$A$150,0)),IFERROR(INDEX('Recirculation &gt; 24 hrs'!$J$2:$J$150,MATCH(SUBSTITUTE($A50," SS","  SS"),'Recirculation &gt; 24 hrs'!$A$2:$A$150,0)),"NA"))</f>
        <v>NA</v>
      </c>
      <c r="I50" s="54" t="str">
        <f aca="false" t="array" ref="I50:I50">IFERROR(INDEX('Pending Putaway'!$D$2:$D$255,MATCH($A50,'Pending Putaway'!$A$2:$A$255,0)),IFERROR(INDEX('Pending Putaway'!$D$2:$D$255,MATCH(SUBSTITUTE($A50," SS","  SS"),'Pending Putaway'!$A$2:$A$255,0)),"NA"))</f>
        <v>NA</v>
      </c>
      <c r="J50" s="54" t="str">
        <f aca="false" t="array" ref="J50:J50">IFERROR(INDEX('Pending Putaway'!$K$2:$K$255,MATCH($A50,'Pending Putaway'!$A$2:$A$255,0)),IFERROR(INDEX('Pending Putaway'!$K$2:$K$255,MATCH(SUBSTITUTE($A50," SS","  SS"),'Pending Putaway'!$A$2:$A$255,0)),"NA"))</f>
        <v>NA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customFormat="false" ht="15.75" hidden="false" customHeight="true" outlineLevel="0" collapsed="false">
      <c r="A51" s="54" t="s">
        <v>199</v>
      </c>
      <c r="B51" s="54" t="str">
        <f aca="false" t="array" ref="B51:B51">IFERROR(INDEX('CLM &amp; IM Mapping'!$B$2:$B$270,MATCH($A51,'CLM &amp; IM Mapping'!$A$2:$A$270,0)),"Not Mapped")</f>
        <v>Sundaresh S</v>
      </c>
      <c r="C51" s="54" t="str">
        <f aca="false" t="array" ref="C51:C51">IFERROR(INDEX('CLM &amp; IM Mapping'!$C$2:$C$270,MATCH($A51,'CLM &amp; IM Mapping'!$A$2:$A$270,0)),"Not Mapped")</f>
        <v>Un Mapped</v>
      </c>
      <c r="D51" s="55" t="n">
        <f aca="false" t="array" ref="D51:D51">IFERROR(INDEX(Shrinkage!$O$2:$O$260,MATCH($A51,Shrinkage!$C$2:$C$260,0)),IFERROR(INDEX(Shrinkage!$O$2:$O$260,MATCH(SUBSTITUTE($A51," SS","  SS"),Shrinkage!$C$2:$C$260,0)),"NA"))</f>
        <v>-1276</v>
      </c>
      <c r="E51" s="56" t="n">
        <f aca="false" t="array" ref="E51:E51">IFERROR(INDEX('Inventory Hygiene'!$I$2:$I$252,MATCH($A51,'Inventory Hygiene'!$A$2:$A$252,0)),IFERROR(INDEX('Inventory Hygiene'!$I$2:$I$252,MATCH(SUBSTITUTE($A51," SS","  SS"),'Inventory Hygiene'!$A$2:$A$252,0)),"NA"))</f>
        <v>0.94</v>
      </c>
      <c r="F51" s="54" t="n">
        <f aca="false" t="array" ref="F51:F51">IFERROR(INDEX('Bad Bins'!$J$2:$J$252,MATCH($A51,'Bad Bins'!$A$2:$A$252,0)),IFERROR(INDEX('Bad Bins'!$J$2:$J$252,MATCH(SUBSTITUTE($A51," SS","  SS"),'Bad Bins'!$A$2:$A$252,0)),"NA"))</f>
        <v>59</v>
      </c>
      <c r="G51" s="54" t="n">
        <f aca="false" t="array" ref="G51:G51">IFERROR(INDEX('RSTO &gt; 48hrs'!$G$2:$G$134,MATCH($A51,'RSTO &gt; 48hrs'!$A$2:$A$134,0)),IFERROR(INDEX('RSTO &gt; 48hrs'!$G$2:$G$134,MATCH(SUBSTITUTE($A51," SS","  SS"),'RSTO &gt; 48hrs'!$A$2:$A$134,0)),"NA"))</f>
        <v>20</v>
      </c>
      <c r="H51" s="54" t="n">
        <f aca="false" t="array" ref="H51:H51">IFERROR(INDEX('Recirculation &gt; 24 hrs'!$J$2:$J$150,MATCH($A51,'Recirculation &gt; 24 hrs'!$A$2:$A$150,0)),IFERROR(INDEX('Recirculation &gt; 24 hrs'!$J$2:$J$150,MATCH(SUBSTITUTE($A51," SS","  SS"),'Recirculation &gt; 24 hrs'!$A$2:$A$150,0)),"NA"))</f>
        <v>6</v>
      </c>
      <c r="I51" s="54" t="n">
        <f aca="false" t="array" ref="I51:I51">IFERROR(INDEX('Pending Putaway'!$D$2:$D$255,MATCH($A51,'Pending Putaway'!$A$2:$A$255,0)),IFERROR(INDEX('Pending Putaway'!$D$2:$D$255,MATCH(SUBSTITUTE($A51," SS","  SS"),'Pending Putaway'!$A$2:$A$255,0)),"NA"))</f>
        <v>2342</v>
      </c>
      <c r="J51" s="54" t="n">
        <f aca="false" t="array" ref="J51:J51">IFERROR(INDEX('Pending Putaway'!$K$2:$K$255,MATCH($A51,'Pending Putaway'!$A$2:$A$255,0)),IFERROR(INDEX('Pending Putaway'!$K$2:$K$255,MATCH(SUBSTITUTE($A51," SS","  SS"),'Pending Putaway'!$A$2:$A$255,0)),"NA"))</f>
        <v>2342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customFormat="false" ht="15.75" hidden="false" customHeight="true" outlineLevel="0" collapsed="false">
      <c r="A52" s="54" t="s">
        <v>241</v>
      </c>
      <c r="B52" s="54" t="str">
        <f aca="false" t="array" ref="B52:B52">IFERROR(INDEX('CLM &amp; IM Mapping'!$B$2:$B$270,MATCH($A52,'CLM &amp; IM Mapping'!$A$2:$A$270,0)),"Not Mapped")</f>
        <v>Sundaresh S</v>
      </c>
      <c r="C52" s="54" t="str">
        <f aca="false" t="array" ref="C52:C52">IFERROR(INDEX('CLM &amp; IM Mapping'!$C$2:$C$270,MATCH($A52,'CLM &amp; IM Mapping'!$A$2:$A$270,0)),"Not Mapped")</f>
        <v>Un Mapped</v>
      </c>
      <c r="D52" s="55" t="n">
        <f aca="false" t="array" ref="D52:D52">IFERROR(INDEX(Shrinkage!$O$2:$O$260,MATCH($A52,Shrinkage!$C$2:$C$260,0)),IFERROR(INDEX(Shrinkage!$O$2:$O$260,MATCH(SUBSTITUTE($A52," SS","  SS"),Shrinkage!$C$2:$C$260,0)),"NA"))</f>
        <v>-6307</v>
      </c>
      <c r="E52" s="56" t="n">
        <f aca="false" t="array" ref="E52:E52">IFERROR(INDEX('Inventory Hygiene'!$I$2:$I$252,MATCH($A52,'Inventory Hygiene'!$A$2:$A$252,0)),IFERROR(INDEX('Inventory Hygiene'!$I$2:$I$252,MATCH(SUBSTITUTE($A52," SS","  SS"),'Inventory Hygiene'!$A$2:$A$252,0)),"NA"))</f>
        <v>0.49</v>
      </c>
      <c r="F52" s="54" t="n">
        <f aca="false" t="array" ref="F52:F52">IFERROR(INDEX('Bad Bins'!$J$2:$J$252,MATCH($A52,'Bad Bins'!$A$2:$A$252,0)),IFERROR(INDEX('Bad Bins'!$J$2:$J$252,MATCH(SUBSTITUTE($A52," SS","  SS"),'Bad Bins'!$A$2:$A$252,0)),"NA"))</f>
        <v>73</v>
      </c>
      <c r="G52" s="54" t="str">
        <f aca="false" t="array" ref="G52:G52">IFERROR(INDEX('RSTO &gt; 48hrs'!$G$2:$G$134,MATCH($A52,'RSTO &gt; 48hrs'!$A$2:$A$134,0)),IFERROR(INDEX('RSTO &gt; 48hrs'!$G$2:$G$134,MATCH(SUBSTITUTE($A52," SS","  SS"),'RSTO &gt; 48hrs'!$A$2:$A$134,0)),"NA"))</f>
        <v>NA</v>
      </c>
      <c r="H52" s="54" t="n">
        <f aca="false" t="array" ref="H52:H52">IFERROR(INDEX('Recirculation &gt; 24 hrs'!$J$2:$J$150,MATCH($A52,'Recirculation &gt; 24 hrs'!$A$2:$A$150,0)),IFERROR(INDEX('Recirculation &gt; 24 hrs'!$J$2:$J$150,MATCH(SUBSTITUTE($A52," SS","  SS"),'Recirculation &gt; 24 hrs'!$A$2:$A$150,0)),"NA"))</f>
        <v>1</v>
      </c>
      <c r="I52" s="54" t="n">
        <f aca="false" t="array" ref="I52:I52">IFERROR(INDEX('Pending Putaway'!$D$2:$D$255,MATCH($A52,'Pending Putaway'!$A$2:$A$255,0)),IFERROR(INDEX('Pending Putaway'!$D$2:$D$255,MATCH(SUBSTITUTE($A52," SS","  SS"),'Pending Putaway'!$A$2:$A$255,0)),"NA"))</f>
        <v>520</v>
      </c>
      <c r="J52" s="54" t="n">
        <f aca="false" t="array" ref="J52:J52">IFERROR(INDEX('Pending Putaway'!$K$2:$K$255,MATCH($A52,'Pending Putaway'!$A$2:$A$255,0)),IFERROR(INDEX('Pending Putaway'!$K$2:$K$255,MATCH(SUBSTITUTE($A52," SS","  SS"),'Pending Putaway'!$A$2:$A$255,0)),"NA"))</f>
        <v>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 customFormat="false" ht="15.75" hidden="false" customHeight="true" outlineLevel="0" collapsed="false">
      <c r="A53" s="54" t="s">
        <v>288</v>
      </c>
      <c r="B53" s="54" t="str">
        <f aca="false" t="array" ref="B53:B53">IFERROR(INDEX('CLM &amp; IM Mapping'!$B$2:$B$270,MATCH($A53,'CLM &amp; IM Mapping'!$A$2:$A$270,0)),"Not Mapped")</f>
        <v>Sundaresh S</v>
      </c>
      <c r="C53" s="54" t="str">
        <f aca="false" t="array" ref="C53:C53">IFERROR(INDEX('CLM &amp; IM Mapping'!$C$2:$C$270,MATCH($A53,'CLM &amp; IM Mapping'!$A$2:$A$270,0)),"Not Mapped")</f>
        <v>Un Mapped</v>
      </c>
      <c r="D53" s="55" t="n">
        <f aca="false" t="array" ref="D53:D53">IFERROR(INDEX(Shrinkage!$O$2:$O$260,MATCH($A53,Shrinkage!$C$2:$C$260,0)),IFERROR(INDEX(Shrinkage!$O$2:$O$260,MATCH(SUBSTITUTE($A53," SS","  SS"),Shrinkage!$C$2:$C$260,0)),"NA"))</f>
        <v>-23232</v>
      </c>
      <c r="E53" s="56" t="n">
        <f aca="false" t="array" ref="E53:E53">IFERROR(INDEX('Inventory Hygiene'!$I$2:$I$252,MATCH($A53,'Inventory Hygiene'!$A$2:$A$252,0)),IFERROR(INDEX('Inventory Hygiene'!$I$2:$I$252,MATCH(SUBSTITUTE($A53," SS","  SS"),'Inventory Hygiene'!$A$2:$A$252,0)),"NA"))</f>
        <v>0.83</v>
      </c>
      <c r="F53" s="54" t="n">
        <f aca="false" t="array" ref="F53:F53">IFERROR(INDEX('Bad Bins'!$J$2:$J$252,MATCH($A53,'Bad Bins'!$A$2:$A$252,0)),IFERROR(INDEX('Bad Bins'!$J$2:$J$252,MATCH(SUBSTITUTE($A53," SS","  SS"),'Bad Bins'!$A$2:$A$252,0)),"NA"))</f>
        <v>66</v>
      </c>
      <c r="G53" s="54" t="str">
        <f aca="false" t="array" ref="G53:G53">IFERROR(INDEX('RSTO &gt; 48hrs'!$G$2:$G$134,MATCH($A53,'RSTO &gt; 48hrs'!$A$2:$A$134,0)),IFERROR(INDEX('RSTO &gt; 48hrs'!$G$2:$G$134,MATCH(SUBSTITUTE($A53," SS","  SS"),'RSTO &gt; 48hrs'!$A$2:$A$134,0)),"NA"))</f>
        <v>NA</v>
      </c>
      <c r="H53" s="54" t="n">
        <f aca="false" t="array" ref="H53:H53">IFERROR(INDEX('Recirculation &gt; 24 hrs'!$J$2:$J$150,MATCH($A53,'Recirculation &gt; 24 hrs'!$A$2:$A$150,0)),IFERROR(INDEX('Recirculation &gt; 24 hrs'!$J$2:$J$150,MATCH(SUBSTITUTE($A53," SS","  SS"),'Recirculation &gt; 24 hrs'!$A$2:$A$150,0)),"NA"))</f>
        <v>43</v>
      </c>
      <c r="I53" s="54" t="n">
        <f aca="false" t="array" ref="I53:I53">IFERROR(INDEX('Pending Putaway'!$D$2:$D$255,MATCH($A53,'Pending Putaway'!$A$2:$A$255,0)),IFERROR(INDEX('Pending Putaway'!$D$2:$D$255,MATCH(SUBSTITUTE($A53," SS","  SS"),'Pending Putaway'!$A$2:$A$255,0)),"NA"))</f>
        <v>317</v>
      </c>
      <c r="J53" s="54" t="n">
        <f aca="false" t="array" ref="J53:J53">IFERROR(INDEX('Pending Putaway'!$K$2:$K$255,MATCH($A53,'Pending Putaway'!$A$2:$A$255,0)),IFERROR(INDEX('Pending Putaway'!$K$2:$K$255,MATCH(SUBSTITUTE($A53," SS","  SS"),'Pending Putaway'!$A$2:$A$255,0)),"NA"))</f>
        <v>126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customFormat="false" ht="15.75" hidden="false" customHeight="true" outlineLevel="0" collapsed="false">
      <c r="A54" s="54" t="s">
        <v>97</v>
      </c>
      <c r="B54" s="54" t="str">
        <f aca="false" t="array" ref="B54:B54">IFERROR(INDEX('CLM &amp; IM Mapping'!$B$2:$B$270,MATCH($A54,'CLM &amp; IM Mapping'!$A$2:$A$270,0)),"Not Mapped")</f>
        <v>Akshay P</v>
      </c>
      <c r="C54" s="54" t="str">
        <f aca="false" t="array" ref="C54:C54">IFERROR(INDEX('CLM &amp; IM Mapping'!$C$2:$C$270,MATCH($A54,'CLM &amp; IM Mapping'!$A$2:$A$270,0)),"Not Mapped")</f>
        <v>Srittam Dhal</v>
      </c>
      <c r="D54" s="55" t="n">
        <f aca="false" t="array" ref="D54:D54">IFERROR(INDEX(Shrinkage!$O$2:$O$260,MATCH($A54,Shrinkage!$C$2:$C$260,0)),IFERROR(INDEX(Shrinkage!$O$2:$O$260,MATCH(SUBSTITUTE($A54," SS","  SS"),Shrinkage!$C$2:$C$260,0)),"NA"))</f>
        <v>21552</v>
      </c>
      <c r="E54" s="56" t="n">
        <f aca="false" t="array" ref="E54:E54">IFERROR(INDEX('Inventory Hygiene'!$I$2:$I$252,MATCH($A54,'Inventory Hygiene'!$A$2:$A$252,0)),IFERROR(INDEX('Inventory Hygiene'!$I$2:$I$252,MATCH(SUBSTITUTE($A54," SS","  SS"),'Inventory Hygiene'!$A$2:$A$252,0)),"NA"))</f>
        <v>0.4</v>
      </c>
      <c r="F54" s="54" t="n">
        <f aca="false" t="array" ref="F54:F54">IFERROR(INDEX('Bad Bins'!$J$2:$J$252,MATCH($A54,'Bad Bins'!$A$2:$A$252,0)),IFERROR(INDEX('Bad Bins'!$J$2:$J$252,MATCH(SUBSTITUTE($A54," SS","  SS"),'Bad Bins'!$A$2:$A$252,0)),"NA"))</f>
        <v>178</v>
      </c>
      <c r="G54" s="54" t="n">
        <f aca="false" t="array" ref="G54:G54">IFERROR(INDEX('RSTO &gt; 48hrs'!$G$2:$G$134,MATCH($A54,'RSTO &gt; 48hrs'!$A$2:$A$134,0)),IFERROR(INDEX('RSTO &gt; 48hrs'!$G$2:$G$134,MATCH(SUBSTITUTE($A54," SS","  SS"),'RSTO &gt; 48hrs'!$A$2:$A$134,0)),"NA"))</f>
        <v>100</v>
      </c>
      <c r="H54" s="54" t="n">
        <f aca="false" t="array" ref="H54:H54">IFERROR(INDEX('Recirculation &gt; 24 hrs'!$J$2:$J$150,MATCH($A54,'Recirculation &gt; 24 hrs'!$A$2:$A$150,0)),IFERROR(INDEX('Recirculation &gt; 24 hrs'!$J$2:$J$150,MATCH(SUBSTITUTE($A54," SS","  SS"),'Recirculation &gt; 24 hrs'!$A$2:$A$150,0)),"NA"))</f>
        <v>236</v>
      </c>
      <c r="I54" s="54" t="n">
        <f aca="false" t="array" ref="I54:I54">IFERROR(INDEX('Pending Putaway'!$D$2:$D$255,MATCH($A54,'Pending Putaway'!$A$2:$A$255,0)),IFERROR(INDEX('Pending Putaway'!$D$2:$D$255,MATCH(SUBSTITUTE($A54," SS","  SS"),'Pending Putaway'!$A$2:$A$255,0)),"NA"))</f>
        <v>6194</v>
      </c>
      <c r="J54" s="54" t="n">
        <f aca="false" t="array" ref="J54:J54">IFERROR(INDEX('Pending Putaway'!$K$2:$K$255,MATCH($A54,'Pending Putaway'!$A$2:$A$255,0)),IFERROR(INDEX('Pending Putaway'!$K$2:$K$255,MATCH(SUBSTITUTE($A54," SS","  SS"),'Pending Putaway'!$A$2:$A$255,0)),"NA"))</f>
        <v>3999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customFormat="false" ht="15.75" hidden="false" customHeight="true" outlineLevel="0" collapsed="false">
      <c r="A55" s="54" t="s">
        <v>118</v>
      </c>
      <c r="B55" s="54" t="str">
        <f aca="false" t="array" ref="B55:B55">IFERROR(INDEX('CLM &amp; IM Mapping'!$B$2:$B$270,MATCH($A55,'CLM &amp; IM Mapping'!$A$2:$A$270,0)),"Not Mapped")</f>
        <v>Akshay P</v>
      </c>
      <c r="C55" s="54" t="str">
        <f aca="false" t="array" ref="C55:C55">IFERROR(INDEX('CLM &amp; IM Mapping'!$C$2:$C$270,MATCH($A55,'CLM &amp; IM Mapping'!$A$2:$A$270,0)),"Not Mapped")</f>
        <v>Srittam Dhal</v>
      </c>
      <c r="D55" s="55" t="n">
        <f aca="false" t="array" ref="D55:D55">IFERROR(INDEX(Shrinkage!$O$2:$O$260,MATCH($A55,Shrinkage!$C$2:$C$260,0)),IFERROR(INDEX(Shrinkage!$O$2:$O$260,MATCH(SUBSTITUTE($A55," SS","  SS"),Shrinkage!$C$2:$C$260,0)),"NA"))</f>
        <v>11641</v>
      </c>
      <c r="E55" s="56" t="n">
        <f aca="false" t="array" ref="E55:E55">IFERROR(INDEX('Inventory Hygiene'!$I$2:$I$252,MATCH($A55,'Inventory Hygiene'!$A$2:$A$252,0)),IFERROR(INDEX('Inventory Hygiene'!$I$2:$I$252,MATCH(SUBSTITUTE($A55," SS","  SS"),'Inventory Hygiene'!$A$2:$A$252,0)),"NA"))</f>
        <v>0.83</v>
      </c>
      <c r="F55" s="54" t="n">
        <f aca="false" t="array" ref="F55:F55">IFERROR(INDEX('Bad Bins'!$J$2:$J$252,MATCH($A55,'Bad Bins'!$A$2:$A$252,0)),IFERROR(INDEX('Bad Bins'!$J$2:$J$252,MATCH(SUBSTITUTE($A55," SS","  SS"),'Bad Bins'!$A$2:$A$252,0)),"NA"))</f>
        <v>93</v>
      </c>
      <c r="G55" s="54" t="n">
        <f aca="false" t="array" ref="G55:G55">IFERROR(INDEX('RSTO &gt; 48hrs'!$G$2:$G$134,MATCH($A55,'RSTO &gt; 48hrs'!$A$2:$A$134,0)),IFERROR(INDEX('RSTO &gt; 48hrs'!$G$2:$G$134,MATCH(SUBSTITUTE($A55," SS","  SS"),'RSTO &gt; 48hrs'!$A$2:$A$134,0)),"NA"))</f>
        <v>3</v>
      </c>
      <c r="H55" s="54" t="n">
        <f aca="false" t="array" ref="H55:H55">IFERROR(INDEX('Recirculation &gt; 24 hrs'!$J$2:$J$150,MATCH($A55,'Recirculation &gt; 24 hrs'!$A$2:$A$150,0)),IFERROR(INDEX('Recirculation &gt; 24 hrs'!$J$2:$J$150,MATCH(SUBSTITUTE($A55," SS","  SS"),'Recirculation &gt; 24 hrs'!$A$2:$A$150,0)),"NA"))</f>
        <v>19</v>
      </c>
      <c r="I55" s="54" t="n">
        <f aca="false" t="array" ref="I55:I55">IFERROR(INDEX('Pending Putaway'!$D$2:$D$255,MATCH($A55,'Pending Putaway'!$A$2:$A$255,0)),IFERROR(INDEX('Pending Putaway'!$D$2:$D$255,MATCH(SUBSTITUTE($A55," SS","  SS"),'Pending Putaway'!$A$2:$A$255,0)),"NA"))</f>
        <v>26</v>
      </c>
      <c r="J55" s="54" t="n">
        <f aca="false" t="array" ref="J55:J55">IFERROR(INDEX('Pending Putaway'!$K$2:$K$255,MATCH($A55,'Pending Putaway'!$A$2:$A$255,0)),IFERROR(INDEX('Pending Putaway'!$K$2:$K$255,MATCH(SUBSTITUTE($A55," SS","  SS"),'Pending Putaway'!$A$2:$A$255,0)),"NA"))</f>
        <v>9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customFormat="false" ht="15.75" hidden="false" customHeight="true" outlineLevel="0" collapsed="false">
      <c r="A56" s="54" t="s">
        <v>205</v>
      </c>
      <c r="B56" s="54" t="str">
        <f aca="false" t="array" ref="B56:B56">IFERROR(INDEX('CLM &amp; IM Mapping'!$B$2:$B$270,MATCH($A56,'CLM &amp; IM Mapping'!$A$2:$A$270,0)),"Not Mapped")</f>
        <v>Akshay P</v>
      </c>
      <c r="C56" s="54" t="str">
        <f aca="false" t="array" ref="C56:C56">IFERROR(INDEX('CLM &amp; IM Mapping'!$C$2:$C$270,MATCH($A56,'CLM &amp; IM Mapping'!$A$2:$A$270,0)),"Not Mapped")</f>
        <v>Srittam Dhal</v>
      </c>
      <c r="D56" s="55" t="n">
        <f aca="false" t="array" ref="D56:D56">IFERROR(INDEX(Shrinkage!$O$2:$O$260,MATCH($A56,Shrinkage!$C$2:$C$260,0)),IFERROR(INDEX(Shrinkage!$O$2:$O$260,MATCH(SUBSTITUTE($A56," SS","  SS"),Shrinkage!$C$2:$C$260,0)),"NA"))</f>
        <v>-1929</v>
      </c>
      <c r="E56" s="56" t="n">
        <f aca="false" t="array" ref="E56:E56">IFERROR(INDEX('Inventory Hygiene'!$I$2:$I$252,MATCH($A56,'Inventory Hygiene'!$A$2:$A$252,0)),IFERROR(INDEX('Inventory Hygiene'!$I$2:$I$252,MATCH(SUBSTITUTE($A56," SS","  SS"),'Inventory Hygiene'!$A$2:$A$252,0)),"NA"))</f>
        <v>0.57</v>
      </c>
      <c r="F56" s="54" t="n">
        <f aca="false" t="array" ref="F56:F56">IFERROR(INDEX('Bad Bins'!$J$2:$J$252,MATCH($A56,'Bad Bins'!$A$2:$A$252,0)),IFERROR(INDEX('Bad Bins'!$J$2:$J$252,MATCH(SUBSTITUTE($A56," SS","  SS"),'Bad Bins'!$A$2:$A$252,0)),"NA"))</f>
        <v>170</v>
      </c>
      <c r="G56" s="54" t="n">
        <f aca="false" t="array" ref="G56:G56">IFERROR(INDEX('RSTO &gt; 48hrs'!$G$2:$G$134,MATCH($A56,'RSTO &gt; 48hrs'!$A$2:$A$134,0)),IFERROR(INDEX('RSTO &gt; 48hrs'!$G$2:$G$134,MATCH(SUBSTITUTE($A56," SS","  SS"),'RSTO &gt; 48hrs'!$A$2:$A$134,0)),"NA"))</f>
        <v>53</v>
      </c>
      <c r="H56" s="54" t="n">
        <f aca="false" t="array" ref="H56:H56">IFERROR(INDEX('Recirculation &gt; 24 hrs'!$J$2:$J$150,MATCH($A56,'Recirculation &gt; 24 hrs'!$A$2:$A$150,0)),IFERROR(INDEX('Recirculation &gt; 24 hrs'!$J$2:$J$150,MATCH(SUBSTITUTE($A56," SS","  SS"),'Recirculation &gt; 24 hrs'!$A$2:$A$150,0)),"NA"))</f>
        <v>2</v>
      </c>
      <c r="I56" s="54" t="n">
        <f aca="false" t="array" ref="I56:I56">IFERROR(INDEX('Pending Putaway'!$D$2:$D$255,MATCH($A56,'Pending Putaway'!$A$2:$A$255,0)),IFERROR(INDEX('Pending Putaway'!$D$2:$D$255,MATCH(SUBSTITUTE($A56," SS","  SS"),'Pending Putaway'!$A$2:$A$255,0)),"NA"))</f>
        <v>2021</v>
      </c>
      <c r="J56" s="54" t="n">
        <f aca="false" t="array" ref="J56:J56">IFERROR(INDEX('Pending Putaway'!$K$2:$K$255,MATCH($A56,'Pending Putaway'!$A$2:$A$255,0)),IFERROR(INDEX('Pending Putaway'!$K$2:$K$255,MATCH(SUBSTITUTE($A56," SS","  SS"),'Pending Putaway'!$A$2:$A$255,0)),"NA"))</f>
        <v>127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customFormat="false" ht="15.75" hidden="false" customHeight="true" outlineLevel="0" collapsed="false">
      <c r="A57" s="54" t="s">
        <v>183</v>
      </c>
      <c r="B57" s="54" t="str">
        <f aca="false" t="array" ref="B57:B57">IFERROR(INDEX('CLM &amp; IM Mapping'!$B$2:$B$270,MATCH($A57,'CLM &amp; IM Mapping'!$A$2:$A$270,0)),"Not Mapped")</f>
        <v>Akshay P</v>
      </c>
      <c r="C57" s="54" t="str">
        <f aca="false" t="array" ref="C57:C57">IFERROR(INDEX('CLM &amp; IM Mapping'!$C$2:$C$270,MATCH($A57,'CLM &amp; IM Mapping'!$A$2:$A$270,0)),"Not Mapped")</f>
        <v>Srittam Dhal</v>
      </c>
      <c r="D57" s="55" t="n">
        <f aca="false" t="array" ref="D57:D57">IFERROR(INDEX(Shrinkage!$O$2:$O$260,MATCH($A57,Shrinkage!$C$2:$C$260,0)),IFERROR(INDEX(Shrinkage!$O$2:$O$260,MATCH(SUBSTITUTE($A57," SS","  SS"),Shrinkage!$C$2:$C$260,0)),"NA"))</f>
        <v>0</v>
      </c>
      <c r="E57" s="56" t="n">
        <f aca="false" t="array" ref="E57:E57">IFERROR(INDEX('Inventory Hygiene'!$I$2:$I$252,MATCH($A57,'Inventory Hygiene'!$A$2:$A$252,0)),IFERROR(INDEX('Inventory Hygiene'!$I$2:$I$252,MATCH(SUBSTITUTE($A57," SS","  SS"),'Inventory Hygiene'!$A$2:$A$252,0)),"NA"))</f>
        <v>0</v>
      </c>
      <c r="F57" s="54" t="str">
        <f aca="false" t="array" ref="F57:F57">IFERROR(INDEX('Bad Bins'!$J$2:$J$252,MATCH($A57,'Bad Bins'!$A$2:$A$252,0)),IFERROR(INDEX('Bad Bins'!$J$2:$J$252,MATCH(SUBSTITUTE($A57," SS","  SS"),'Bad Bins'!$A$2:$A$252,0)),"NA"))</f>
        <v>NA</v>
      </c>
      <c r="G57" s="54" t="str">
        <f aca="false" t="array" ref="G57:G57">IFERROR(INDEX('RSTO &gt; 48hrs'!$G$2:$G$134,MATCH($A57,'RSTO &gt; 48hrs'!$A$2:$A$134,0)),IFERROR(INDEX('RSTO &gt; 48hrs'!$G$2:$G$134,MATCH(SUBSTITUTE($A57," SS","  SS"),'RSTO &gt; 48hrs'!$A$2:$A$134,0)),"NA"))</f>
        <v>NA</v>
      </c>
      <c r="H57" s="54" t="n">
        <f aca="false" t="array" ref="H57:H57">IFERROR(INDEX('Recirculation &gt; 24 hrs'!$J$2:$J$150,MATCH($A57,'Recirculation &gt; 24 hrs'!$A$2:$A$150,0)),IFERROR(INDEX('Recirculation &gt; 24 hrs'!$J$2:$J$150,MATCH(SUBSTITUTE($A57," SS","  SS"),'Recirculation &gt; 24 hrs'!$A$2:$A$150,0)),"NA"))</f>
        <v>135</v>
      </c>
      <c r="I57" s="54" t="n">
        <f aca="false" t="array" ref="I57:I57">IFERROR(INDEX('Pending Putaway'!$D$2:$D$255,MATCH($A57,'Pending Putaway'!$A$2:$A$255,0)),IFERROR(INDEX('Pending Putaway'!$D$2:$D$255,MATCH(SUBSTITUTE($A57," SS","  SS"),'Pending Putaway'!$A$2:$A$255,0)),"NA"))</f>
        <v>0</v>
      </c>
      <c r="J57" s="54" t="n">
        <f aca="false" t="array" ref="J57:J57">IFERROR(INDEX('Pending Putaway'!$K$2:$K$255,MATCH($A57,'Pending Putaway'!$A$2:$A$255,0)),IFERROR(INDEX('Pending Putaway'!$K$2:$K$255,MATCH(SUBSTITUTE($A57," SS","  SS"),'Pending Putaway'!$A$2:$A$255,0)),"NA"))</f>
        <v>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customFormat="false" ht="15.75" hidden="false" customHeight="true" outlineLevel="0" collapsed="false">
      <c r="A58" s="54" t="s">
        <v>80</v>
      </c>
      <c r="B58" s="54" t="str">
        <f aca="false" t="array" ref="B58:B58">IFERROR(INDEX('CLM &amp; IM Mapping'!$B$2:$B$270,MATCH($A58,'CLM &amp; IM Mapping'!$A$2:$A$270,0)),"Not Mapped")</f>
        <v>Akshay P</v>
      </c>
      <c r="C58" s="54" t="str">
        <f aca="false" t="array" ref="C58:C58">IFERROR(INDEX('CLM &amp; IM Mapping'!$C$2:$C$270,MATCH($A58,'CLM &amp; IM Mapping'!$A$2:$A$270,0)),"Not Mapped")</f>
        <v>Srittam Dhal</v>
      </c>
      <c r="D58" s="55" t="n">
        <f aca="false" t="array" ref="D58:D58">IFERROR(INDEX(Shrinkage!$O$2:$O$260,MATCH($A58,Shrinkage!$C$2:$C$260,0)),IFERROR(INDEX(Shrinkage!$O$2:$O$260,MATCH(SUBSTITUTE($A58," SS","  SS"),Shrinkage!$C$2:$C$260,0)),"NA"))</f>
        <v>29179</v>
      </c>
      <c r="E58" s="56" t="n">
        <f aca="false" t="array" ref="E58:E58">IFERROR(INDEX('Inventory Hygiene'!$I$2:$I$252,MATCH($A58,'Inventory Hygiene'!$A$2:$A$252,0)),IFERROR(INDEX('Inventory Hygiene'!$I$2:$I$252,MATCH(SUBSTITUTE($A58," SS","  SS"),'Inventory Hygiene'!$A$2:$A$252,0)),"NA"))</f>
        <v>0.31</v>
      </c>
      <c r="F58" s="54" t="n">
        <f aca="false" t="array" ref="F58:F58">IFERROR(INDEX('Bad Bins'!$J$2:$J$252,MATCH($A58,'Bad Bins'!$A$2:$A$252,0)),IFERROR(INDEX('Bad Bins'!$J$2:$J$252,MATCH(SUBSTITUTE($A58," SS","  SS"),'Bad Bins'!$A$2:$A$252,0)),"NA"))</f>
        <v>347</v>
      </c>
      <c r="G58" s="54" t="n">
        <f aca="false" t="array" ref="G58:G58">IFERROR(INDEX('RSTO &gt; 48hrs'!$G$2:$G$134,MATCH($A58,'RSTO &gt; 48hrs'!$A$2:$A$134,0)),IFERROR(INDEX('RSTO &gt; 48hrs'!$G$2:$G$134,MATCH(SUBSTITUTE($A58," SS","  SS"),'RSTO &gt; 48hrs'!$A$2:$A$134,0)),"NA"))</f>
        <v>422</v>
      </c>
      <c r="H58" s="54" t="n">
        <f aca="false" t="array" ref="H58:H58">IFERROR(INDEX('Recirculation &gt; 24 hrs'!$J$2:$J$150,MATCH($A58,'Recirculation &gt; 24 hrs'!$A$2:$A$150,0)),IFERROR(INDEX('Recirculation &gt; 24 hrs'!$J$2:$J$150,MATCH(SUBSTITUTE($A58," SS","  SS"),'Recirculation &gt; 24 hrs'!$A$2:$A$150,0)),"NA"))</f>
        <v>10</v>
      </c>
      <c r="I58" s="54" t="n">
        <f aca="false" t="array" ref="I58:I58">IFERROR(INDEX('Pending Putaway'!$D$2:$D$255,MATCH($A58,'Pending Putaway'!$A$2:$A$255,0)),IFERROR(INDEX('Pending Putaway'!$D$2:$D$255,MATCH(SUBSTITUTE($A58," SS","  SS"),'Pending Putaway'!$A$2:$A$255,0)),"NA"))</f>
        <v>4262</v>
      </c>
      <c r="J58" s="54" t="n">
        <f aca="false" t="array" ref="J58:J58">IFERROR(INDEX('Pending Putaway'!$K$2:$K$255,MATCH($A58,'Pending Putaway'!$A$2:$A$255,0)),IFERROR(INDEX('Pending Putaway'!$K$2:$K$255,MATCH(SUBSTITUTE($A58," SS","  SS"),'Pending Putaway'!$A$2:$A$255,0)),"NA"))</f>
        <v>3277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customFormat="false" ht="15.75" hidden="false" customHeight="true" outlineLevel="0" collapsed="false">
      <c r="A59" s="54" t="s">
        <v>112</v>
      </c>
      <c r="B59" s="54" t="str">
        <f aca="false" t="array" ref="B59:B59">IFERROR(INDEX('CLM &amp; IM Mapping'!$B$2:$B$270,MATCH($A59,'CLM &amp; IM Mapping'!$A$2:$A$270,0)),"Not Mapped")</f>
        <v>Akshay P</v>
      </c>
      <c r="C59" s="54" t="str">
        <f aca="false" t="array" ref="C59:C59">IFERROR(INDEX('CLM &amp; IM Mapping'!$C$2:$C$270,MATCH($A59,'CLM &amp; IM Mapping'!$A$2:$A$270,0)),"Not Mapped")</f>
        <v>Srittam Dhal</v>
      </c>
      <c r="D59" s="55" t="n">
        <f aca="false" t="array" ref="D59:D59">IFERROR(INDEX(Shrinkage!$O$2:$O$260,MATCH($A59,Shrinkage!$C$2:$C$260,0)),IFERROR(INDEX(Shrinkage!$O$2:$O$260,MATCH(SUBSTITUTE($A59," SS","  SS"),Shrinkage!$C$2:$C$260,0)),"NA"))</f>
        <v>15130</v>
      </c>
      <c r="E59" s="56" t="n">
        <f aca="false" t="array" ref="E59:E59">IFERROR(INDEX('Inventory Hygiene'!$I$2:$I$252,MATCH($A59,'Inventory Hygiene'!$A$2:$A$252,0)),IFERROR(INDEX('Inventory Hygiene'!$I$2:$I$252,MATCH(SUBSTITUTE($A59," SS","  SS"),'Inventory Hygiene'!$A$2:$A$252,0)),"NA"))</f>
        <v>0.64</v>
      </c>
      <c r="F59" s="54" t="n">
        <f aca="false" t="array" ref="F59:F59">IFERROR(INDEX('Bad Bins'!$J$2:$J$252,MATCH($A59,'Bad Bins'!$A$2:$A$252,0)),IFERROR(INDEX('Bad Bins'!$J$2:$J$252,MATCH(SUBSTITUTE($A59," SS","  SS"),'Bad Bins'!$A$2:$A$252,0)),"NA"))</f>
        <v>198</v>
      </c>
      <c r="G59" s="54" t="str">
        <f aca="false" t="array" ref="G59:G59">IFERROR(INDEX('RSTO &gt; 48hrs'!$G$2:$G$134,MATCH($A59,'RSTO &gt; 48hrs'!$A$2:$A$134,0)),IFERROR(INDEX('RSTO &gt; 48hrs'!$G$2:$G$134,MATCH(SUBSTITUTE($A59," SS","  SS"),'RSTO &gt; 48hrs'!$A$2:$A$134,0)),"NA"))</f>
        <v>NA</v>
      </c>
      <c r="H59" s="54" t="n">
        <f aca="false" t="array" ref="H59:H59">IFERROR(INDEX('Recirculation &gt; 24 hrs'!$J$2:$J$150,MATCH($A59,'Recirculation &gt; 24 hrs'!$A$2:$A$150,0)),IFERROR(INDEX('Recirculation &gt; 24 hrs'!$J$2:$J$150,MATCH(SUBSTITUTE($A59," SS","  SS"),'Recirculation &gt; 24 hrs'!$A$2:$A$150,0)),"NA"))</f>
        <v>1</v>
      </c>
      <c r="I59" s="54" t="n">
        <f aca="false" t="array" ref="I59:I59">IFERROR(INDEX('Pending Putaway'!$D$2:$D$255,MATCH($A59,'Pending Putaway'!$A$2:$A$255,0)),IFERROR(INDEX('Pending Putaway'!$D$2:$D$255,MATCH(SUBSTITUTE($A59," SS","  SS"),'Pending Putaway'!$A$2:$A$255,0)),"NA"))</f>
        <v>357</v>
      </c>
      <c r="J59" s="54" t="n">
        <f aca="false" t="array" ref="J59:J59">IFERROR(INDEX('Pending Putaway'!$K$2:$K$255,MATCH($A59,'Pending Putaway'!$A$2:$A$255,0)),IFERROR(INDEX('Pending Putaway'!$K$2:$K$255,MATCH(SUBSTITUTE($A59," SS","  SS"),'Pending Putaway'!$A$2:$A$255,0)),"NA"))</f>
        <v>357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customFormat="false" ht="15.75" hidden="false" customHeight="true" outlineLevel="0" collapsed="false">
      <c r="A60" s="54" t="s">
        <v>265</v>
      </c>
      <c r="B60" s="54" t="str">
        <f aca="false" t="array" ref="B60:B60">IFERROR(INDEX('CLM &amp; IM Mapping'!$B$2:$B$270,MATCH($A60,'CLM &amp; IM Mapping'!$A$2:$A$270,0)),"Not Mapped")</f>
        <v>Akshay P</v>
      </c>
      <c r="C60" s="54" t="str">
        <f aca="false" t="array" ref="C60:C60">IFERROR(INDEX('CLM &amp; IM Mapping'!$C$2:$C$270,MATCH($A60,'CLM &amp; IM Mapping'!$A$2:$A$270,0)),"Not Mapped")</f>
        <v>Srittam Dhal</v>
      </c>
      <c r="D60" s="55" t="n">
        <f aca="false" t="array" ref="D60:D60">IFERROR(INDEX(Shrinkage!$O$2:$O$260,MATCH($A60,Shrinkage!$C$2:$C$260,0)),IFERROR(INDEX(Shrinkage!$O$2:$O$260,MATCH(SUBSTITUTE($A60," SS","  SS"),Shrinkage!$C$2:$C$260,0)),"NA"))</f>
        <v>-11059</v>
      </c>
      <c r="E60" s="56" t="n">
        <f aca="false" t="array" ref="E60:E60">IFERROR(INDEX('Inventory Hygiene'!$I$2:$I$252,MATCH($A60,'Inventory Hygiene'!$A$2:$A$252,0)),IFERROR(INDEX('Inventory Hygiene'!$I$2:$I$252,MATCH(SUBSTITUTE($A60," SS","  SS"),'Inventory Hygiene'!$A$2:$A$252,0)),"NA"))</f>
        <v>0.93</v>
      </c>
      <c r="F60" s="54" t="n">
        <f aca="false" t="array" ref="F60:F60">IFERROR(INDEX('Bad Bins'!$J$2:$J$252,MATCH($A60,'Bad Bins'!$A$2:$A$252,0)),IFERROR(INDEX('Bad Bins'!$J$2:$J$252,MATCH(SUBSTITUTE($A60," SS","  SS"),'Bad Bins'!$A$2:$A$252,0)),"NA"))</f>
        <v>6</v>
      </c>
      <c r="G60" s="54" t="str">
        <f aca="false" t="array" ref="G60:G60">IFERROR(INDEX('RSTO &gt; 48hrs'!$G$2:$G$134,MATCH($A60,'RSTO &gt; 48hrs'!$A$2:$A$134,0)),IFERROR(INDEX('RSTO &gt; 48hrs'!$G$2:$G$134,MATCH(SUBSTITUTE($A60," SS","  SS"),'RSTO &gt; 48hrs'!$A$2:$A$134,0)),"NA"))</f>
        <v>NA</v>
      </c>
      <c r="H60" s="54" t="str">
        <f aca="false" t="array" ref="H60:H60">IFERROR(INDEX('Recirculation &gt; 24 hrs'!$J$2:$J$150,MATCH($A60,'Recirculation &gt; 24 hrs'!$A$2:$A$150,0)),IFERROR(INDEX('Recirculation &gt; 24 hrs'!$J$2:$J$150,MATCH(SUBSTITUTE($A60," SS","  SS"),'Recirculation &gt; 24 hrs'!$A$2:$A$150,0)),"NA"))</f>
        <v>NA</v>
      </c>
      <c r="I60" s="54" t="n">
        <f aca="false" t="array" ref="I60:I60">IFERROR(INDEX('Pending Putaway'!$D$2:$D$255,MATCH($A60,'Pending Putaway'!$A$2:$A$255,0)),IFERROR(INDEX('Pending Putaway'!$D$2:$D$255,MATCH(SUBSTITUTE($A60," SS","  SS"),'Pending Putaway'!$A$2:$A$255,0)),"NA"))</f>
        <v>0</v>
      </c>
      <c r="J60" s="54" t="n">
        <f aca="false" t="array" ref="J60:J60">IFERROR(INDEX('Pending Putaway'!$K$2:$K$255,MATCH($A60,'Pending Putaway'!$A$2:$A$255,0)),IFERROR(INDEX('Pending Putaway'!$K$2:$K$255,MATCH(SUBSTITUTE($A60," SS","  SS"),'Pending Putaway'!$A$2:$A$255,0)),"NA"))</f>
        <v>0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customFormat="false" ht="15.75" hidden="false" customHeight="true" outlineLevel="0" collapsed="false">
      <c r="A61" s="54" t="s">
        <v>164</v>
      </c>
      <c r="B61" s="54" t="str">
        <f aca="false" t="array" ref="B61:B61">IFERROR(INDEX('CLM &amp; IM Mapping'!$B$2:$B$270,MATCH($A61,'CLM &amp; IM Mapping'!$A$2:$A$270,0)),"Not Mapped")</f>
        <v>Akshay P</v>
      </c>
      <c r="C61" s="54" t="str">
        <f aca="false" t="array" ref="C61:C61">IFERROR(INDEX('CLM &amp; IM Mapping'!$C$2:$C$270,MATCH($A61,'CLM &amp; IM Mapping'!$A$2:$A$270,0)),"Not Mapped")</f>
        <v>Srittam Dhal</v>
      </c>
      <c r="D61" s="55" t="n">
        <f aca="false" t="array" ref="D61:D61">IFERROR(INDEX(Shrinkage!$O$2:$O$260,MATCH($A61,Shrinkage!$C$2:$C$260,0)),IFERROR(INDEX(Shrinkage!$O$2:$O$260,MATCH(SUBSTITUTE($A61," SS","  SS"),Shrinkage!$C$2:$C$260,0)),"NA"))</f>
        <v>2332</v>
      </c>
      <c r="E61" s="56" t="n">
        <f aca="false" t="array" ref="E61:E61">IFERROR(INDEX('Inventory Hygiene'!$I$2:$I$252,MATCH($A61,'Inventory Hygiene'!$A$2:$A$252,0)),IFERROR(INDEX('Inventory Hygiene'!$I$2:$I$252,MATCH(SUBSTITUTE($A61," SS","  SS"),'Inventory Hygiene'!$A$2:$A$252,0)),"NA"))</f>
        <v>0.59</v>
      </c>
      <c r="F61" s="54" t="n">
        <f aca="false" t="array" ref="F61:F61">IFERROR(INDEX('Bad Bins'!$J$2:$J$252,MATCH($A61,'Bad Bins'!$A$2:$A$252,0)),IFERROR(INDEX('Bad Bins'!$J$2:$J$252,MATCH(SUBSTITUTE($A61," SS","  SS"),'Bad Bins'!$A$2:$A$252,0)),"NA"))</f>
        <v>23</v>
      </c>
      <c r="G61" s="54" t="str">
        <f aca="false" t="array" ref="G61:G61">IFERROR(INDEX('RSTO &gt; 48hrs'!$G$2:$G$134,MATCH($A61,'RSTO &gt; 48hrs'!$A$2:$A$134,0)),IFERROR(INDEX('RSTO &gt; 48hrs'!$G$2:$G$134,MATCH(SUBSTITUTE($A61," SS","  SS"),'RSTO &gt; 48hrs'!$A$2:$A$134,0)),"NA"))</f>
        <v>NA</v>
      </c>
      <c r="H61" s="54" t="n">
        <f aca="false" t="array" ref="H61:H61">IFERROR(INDEX('Recirculation &gt; 24 hrs'!$J$2:$J$150,MATCH($A61,'Recirculation &gt; 24 hrs'!$A$2:$A$150,0)),IFERROR(INDEX('Recirculation &gt; 24 hrs'!$J$2:$J$150,MATCH(SUBSTITUTE($A61," SS","  SS"),'Recirculation &gt; 24 hrs'!$A$2:$A$150,0)),"NA"))</f>
        <v>12</v>
      </c>
      <c r="I61" s="54" t="n">
        <f aca="false" t="array" ref="I61:I61">IFERROR(INDEX('Pending Putaway'!$D$2:$D$255,MATCH($A61,'Pending Putaway'!$A$2:$A$255,0)),IFERROR(INDEX('Pending Putaway'!$D$2:$D$255,MATCH(SUBSTITUTE($A61," SS","  SS"),'Pending Putaway'!$A$2:$A$255,0)),"NA"))</f>
        <v>0</v>
      </c>
      <c r="J61" s="54" t="n">
        <f aca="false" t="array" ref="J61:J61">IFERROR(INDEX('Pending Putaway'!$K$2:$K$255,MATCH($A61,'Pending Putaway'!$A$2:$A$255,0)),IFERROR(INDEX('Pending Putaway'!$K$2:$K$255,MATCH(SUBSTITUTE($A61," SS","  SS"),'Pending Putaway'!$A$2:$A$255,0)),"NA"))</f>
        <v>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customFormat="false" ht="15.75" hidden="false" customHeight="true" outlineLevel="0" collapsed="false">
      <c r="A62" s="54" t="s">
        <v>72</v>
      </c>
      <c r="B62" s="54" t="str">
        <f aca="false" t="array" ref="B62:B62">IFERROR(INDEX('CLM &amp; IM Mapping'!$B$2:$B$270,MATCH($A62,'CLM &amp; IM Mapping'!$A$2:$A$270,0)),"Not Mapped")</f>
        <v>Akshay P</v>
      </c>
      <c r="C62" s="54" t="str">
        <f aca="false" t="array" ref="C62:C62">IFERROR(INDEX('CLM &amp; IM Mapping'!$C$2:$C$270,MATCH($A62,'CLM &amp; IM Mapping'!$A$2:$A$270,0)),"Not Mapped")</f>
        <v>Srittam Dhal</v>
      </c>
      <c r="D62" s="55" t="n">
        <f aca="false" t="array" ref="D62:D62">IFERROR(INDEX(Shrinkage!$O$2:$O$260,MATCH($A62,Shrinkage!$C$2:$C$260,0)),IFERROR(INDEX(Shrinkage!$O$2:$O$260,MATCH(SUBSTITUTE($A62," SS","  SS"),Shrinkage!$C$2:$C$260,0)),"NA"))</f>
        <v>33311</v>
      </c>
      <c r="E62" s="56" t="n">
        <f aca="false" t="array" ref="E62:E62">IFERROR(INDEX('Inventory Hygiene'!$I$2:$I$252,MATCH($A62,'Inventory Hygiene'!$A$2:$A$252,0)),IFERROR(INDEX('Inventory Hygiene'!$I$2:$I$252,MATCH(SUBSTITUTE($A62," SS","  SS"),'Inventory Hygiene'!$A$2:$A$252,0)),"NA"))</f>
        <v>0.49</v>
      </c>
      <c r="F62" s="54" t="n">
        <f aca="false" t="array" ref="F62:F62">IFERROR(INDEX('Bad Bins'!$J$2:$J$252,MATCH($A62,'Bad Bins'!$A$2:$A$252,0)),IFERROR(INDEX('Bad Bins'!$J$2:$J$252,MATCH(SUBSTITUTE($A62," SS","  SS"),'Bad Bins'!$A$2:$A$252,0)),"NA"))</f>
        <v>307</v>
      </c>
      <c r="G62" s="54" t="n">
        <f aca="false" t="array" ref="G62:G62">IFERROR(INDEX('RSTO &gt; 48hrs'!$G$2:$G$134,MATCH($A62,'RSTO &gt; 48hrs'!$A$2:$A$134,0)),IFERROR(INDEX('RSTO &gt; 48hrs'!$G$2:$G$134,MATCH(SUBSTITUTE($A62," SS","  SS"),'RSTO &gt; 48hrs'!$A$2:$A$134,0)),"NA"))</f>
        <v>707</v>
      </c>
      <c r="H62" s="54" t="n">
        <f aca="false" t="array" ref="H62:H62">IFERROR(INDEX('Recirculation &gt; 24 hrs'!$J$2:$J$150,MATCH($A62,'Recirculation &gt; 24 hrs'!$A$2:$A$150,0)),IFERROR(INDEX('Recirculation &gt; 24 hrs'!$J$2:$J$150,MATCH(SUBSTITUTE($A62," SS","  SS"),'Recirculation &gt; 24 hrs'!$A$2:$A$150,0)),"NA"))</f>
        <v>2</v>
      </c>
      <c r="I62" s="54" t="n">
        <f aca="false" t="array" ref="I62:I62">IFERROR(INDEX('Pending Putaway'!$D$2:$D$255,MATCH($A62,'Pending Putaway'!$A$2:$A$255,0)),IFERROR(INDEX('Pending Putaway'!$D$2:$D$255,MATCH(SUBSTITUTE($A62," SS","  SS"),'Pending Putaway'!$A$2:$A$255,0)),"NA"))</f>
        <v>6844</v>
      </c>
      <c r="J62" s="54" t="n">
        <f aca="false" t="array" ref="J62:J62">IFERROR(INDEX('Pending Putaway'!$K$2:$K$255,MATCH($A62,'Pending Putaway'!$A$2:$A$255,0)),IFERROR(INDEX('Pending Putaway'!$K$2:$K$255,MATCH(SUBSTITUTE($A62," SS","  SS"),'Pending Putaway'!$A$2:$A$255,0)),"NA"))</f>
        <v>1235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customFormat="false" ht="15.75" hidden="false" customHeight="true" outlineLevel="0" collapsed="false">
      <c r="A63" s="54" t="s">
        <v>215</v>
      </c>
      <c r="B63" s="54" t="str">
        <f aca="false" t="array" ref="B63:B63">IFERROR(INDEX('CLM &amp; IM Mapping'!$B$2:$B$270,MATCH($A63,'CLM &amp; IM Mapping'!$A$2:$A$270,0)),"Not Mapped")</f>
        <v>Akshay P</v>
      </c>
      <c r="C63" s="54" t="str">
        <f aca="false" t="array" ref="C63:C63">IFERROR(INDEX('CLM &amp; IM Mapping'!$C$2:$C$270,MATCH($A63,'CLM &amp; IM Mapping'!$A$2:$A$270,0)),"Not Mapped")</f>
        <v>Srittam Dhal</v>
      </c>
      <c r="D63" s="55" t="n">
        <f aca="false" t="array" ref="D63:D63">IFERROR(INDEX(Shrinkage!$O$2:$O$260,MATCH($A63,Shrinkage!$C$2:$C$260,0)),IFERROR(INDEX(Shrinkage!$O$2:$O$260,MATCH(SUBSTITUTE($A63," SS","  SS"),Shrinkage!$C$2:$C$260,0)),"NA"))</f>
        <v>-2984</v>
      </c>
      <c r="E63" s="56" t="n">
        <f aca="false" t="array" ref="E63:E63">IFERROR(INDEX('Inventory Hygiene'!$I$2:$I$252,MATCH($A63,'Inventory Hygiene'!$A$2:$A$252,0)),IFERROR(INDEX('Inventory Hygiene'!$I$2:$I$252,MATCH(SUBSTITUTE($A63," SS","  SS"),'Inventory Hygiene'!$A$2:$A$252,0)),"NA"))</f>
        <v>0.83</v>
      </c>
      <c r="F63" s="54" t="n">
        <f aca="false" t="array" ref="F63:F63">IFERROR(INDEX('Bad Bins'!$J$2:$J$252,MATCH($A63,'Bad Bins'!$A$2:$A$252,0)),IFERROR(INDEX('Bad Bins'!$J$2:$J$252,MATCH(SUBSTITUTE($A63," SS","  SS"),'Bad Bins'!$A$2:$A$252,0)),"NA"))</f>
        <v>42</v>
      </c>
      <c r="G63" s="54" t="str">
        <f aca="false" t="array" ref="G63:G63">IFERROR(INDEX('RSTO &gt; 48hrs'!$G$2:$G$134,MATCH($A63,'RSTO &gt; 48hrs'!$A$2:$A$134,0)),IFERROR(INDEX('RSTO &gt; 48hrs'!$G$2:$G$134,MATCH(SUBSTITUTE($A63," SS","  SS"),'RSTO &gt; 48hrs'!$A$2:$A$134,0)),"NA"))</f>
        <v>NA</v>
      </c>
      <c r="H63" s="54" t="n">
        <f aca="false" t="array" ref="H63:H63">IFERROR(INDEX('Recirculation &gt; 24 hrs'!$J$2:$J$150,MATCH($A63,'Recirculation &gt; 24 hrs'!$A$2:$A$150,0)),IFERROR(INDEX('Recirculation &gt; 24 hrs'!$J$2:$J$150,MATCH(SUBSTITUTE($A63," SS","  SS"),'Recirculation &gt; 24 hrs'!$A$2:$A$150,0)),"NA"))</f>
        <v>9</v>
      </c>
      <c r="I63" s="54" t="n">
        <f aca="false" t="array" ref="I63:I63">IFERROR(INDEX('Pending Putaway'!$D$2:$D$255,MATCH($A63,'Pending Putaway'!$A$2:$A$255,0)),IFERROR(INDEX('Pending Putaway'!$D$2:$D$255,MATCH(SUBSTITUTE($A63," SS","  SS"),'Pending Putaway'!$A$2:$A$255,0)),"NA"))</f>
        <v>0</v>
      </c>
      <c r="J63" s="54" t="n">
        <f aca="false" t="array" ref="J63:J63">IFERROR(INDEX('Pending Putaway'!$K$2:$K$255,MATCH($A63,'Pending Putaway'!$A$2:$A$255,0)),IFERROR(INDEX('Pending Putaway'!$K$2:$K$255,MATCH(SUBSTITUTE($A63," SS","  SS"),'Pending Putaway'!$A$2:$A$255,0)),"NA"))</f>
        <v>0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customFormat="false" ht="15.75" hidden="false" customHeight="true" outlineLevel="0" collapsed="false">
      <c r="A64" s="54" t="s">
        <v>239</v>
      </c>
      <c r="B64" s="54" t="str">
        <f aca="false" t="array" ref="B64:B64">IFERROR(INDEX('CLM &amp; IM Mapping'!$B$2:$B$270,MATCH($A64,'CLM &amp; IM Mapping'!$A$2:$A$270,0)),"Not Mapped")</f>
        <v>Manoj Kj</v>
      </c>
      <c r="C64" s="54" t="str">
        <f aca="false" t="array" ref="C64:C64">IFERROR(INDEX('CLM &amp; IM Mapping'!$C$2:$C$270,MATCH($A64,'CLM &amp; IM Mapping'!$A$2:$A$270,0)),"Not Mapped")</f>
        <v>Srittam Dhal</v>
      </c>
      <c r="D64" s="55" t="n">
        <f aca="false" t="array" ref="D64:D64">IFERROR(INDEX(Shrinkage!$O$2:$O$260,MATCH($A64,Shrinkage!$C$2:$C$260,0)),IFERROR(INDEX(Shrinkage!$O$2:$O$260,MATCH(SUBSTITUTE($A64," SS","  SS"),Shrinkage!$C$2:$C$260,0)),"NA"))</f>
        <v>-6139</v>
      </c>
      <c r="E64" s="56" t="n">
        <f aca="false" t="array" ref="E64:E64">IFERROR(INDEX('Inventory Hygiene'!$I$2:$I$252,MATCH($A64,'Inventory Hygiene'!$A$2:$A$252,0)),IFERROR(INDEX('Inventory Hygiene'!$I$2:$I$252,MATCH(SUBSTITUTE($A64," SS","  SS"),'Inventory Hygiene'!$A$2:$A$252,0)),"NA"))</f>
        <v>0.95</v>
      </c>
      <c r="F64" s="54" t="n">
        <f aca="false" t="array" ref="F64:F64">IFERROR(INDEX('Bad Bins'!$J$2:$J$252,MATCH($A64,'Bad Bins'!$A$2:$A$252,0)),IFERROR(INDEX('Bad Bins'!$J$2:$J$252,MATCH(SUBSTITUTE($A64," SS","  SS"),'Bad Bins'!$A$2:$A$252,0)),"NA"))</f>
        <v>279</v>
      </c>
      <c r="G64" s="54" t="str">
        <f aca="false" t="array" ref="G64:G64">IFERROR(INDEX('RSTO &gt; 48hrs'!$G$2:$G$134,MATCH($A64,'RSTO &gt; 48hrs'!$A$2:$A$134,0)),IFERROR(INDEX('RSTO &gt; 48hrs'!$G$2:$G$134,MATCH(SUBSTITUTE($A64," SS","  SS"),'RSTO &gt; 48hrs'!$A$2:$A$134,0)),"NA"))</f>
        <v>NA</v>
      </c>
      <c r="H64" s="54" t="n">
        <f aca="false" t="array" ref="H64:H64">IFERROR(INDEX('Recirculation &gt; 24 hrs'!$J$2:$J$150,MATCH($A64,'Recirculation &gt; 24 hrs'!$A$2:$A$150,0)),IFERROR(INDEX('Recirculation &gt; 24 hrs'!$J$2:$J$150,MATCH(SUBSTITUTE($A64," SS","  SS"),'Recirculation &gt; 24 hrs'!$A$2:$A$150,0)),"NA"))</f>
        <v>1</v>
      </c>
      <c r="I64" s="54" t="n">
        <f aca="false" t="array" ref="I64:I64">IFERROR(INDEX('Pending Putaway'!$D$2:$D$255,MATCH($A64,'Pending Putaway'!$A$2:$A$255,0)),IFERROR(INDEX('Pending Putaway'!$D$2:$D$255,MATCH(SUBSTITUTE($A64," SS","  SS"),'Pending Putaway'!$A$2:$A$255,0)),"NA"))</f>
        <v>2868</v>
      </c>
      <c r="J64" s="54" t="n">
        <f aca="false" t="array" ref="J64:J64">IFERROR(INDEX('Pending Putaway'!$K$2:$K$255,MATCH($A64,'Pending Putaway'!$A$2:$A$255,0)),IFERROR(INDEX('Pending Putaway'!$K$2:$K$255,MATCH(SUBSTITUTE($A64," SS","  SS"),'Pending Putaway'!$A$2:$A$255,0)),"NA"))</f>
        <v>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customFormat="false" ht="15.75" hidden="false" customHeight="true" outlineLevel="0" collapsed="false">
      <c r="A65" s="54" t="s">
        <v>286</v>
      </c>
      <c r="B65" s="54" t="str">
        <f aca="false" t="array" ref="B65:B65">IFERROR(INDEX('CLM &amp; IM Mapping'!$B$2:$B$270,MATCH($A65,'CLM &amp; IM Mapping'!$A$2:$A$270,0)),"Not Mapped")</f>
        <v>Manoj Kj</v>
      </c>
      <c r="C65" s="54" t="str">
        <f aca="false" t="array" ref="C65:C65">IFERROR(INDEX('CLM &amp; IM Mapping'!$C$2:$C$270,MATCH($A65,'CLM &amp; IM Mapping'!$A$2:$A$270,0)),"Not Mapped")</f>
        <v>Srittam Dhal</v>
      </c>
      <c r="D65" s="55" t="n">
        <f aca="false" t="array" ref="D65:D65">IFERROR(INDEX(Shrinkage!$O$2:$O$260,MATCH($A65,Shrinkage!$C$2:$C$260,0)),IFERROR(INDEX(Shrinkage!$O$2:$O$260,MATCH(SUBSTITUTE($A65," SS","  SS"),Shrinkage!$C$2:$C$260,0)),"NA"))</f>
        <v>-21339</v>
      </c>
      <c r="E65" s="56" t="n">
        <f aca="false" t="array" ref="E65:E65">IFERROR(INDEX('Inventory Hygiene'!$I$2:$I$252,MATCH($A65,'Inventory Hygiene'!$A$2:$A$252,0)),IFERROR(INDEX('Inventory Hygiene'!$I$2:$I$252,MATCH(SUBSTITUTE($A65," SS","  SS"),'Inventory Hygiene'!$A$2:$A$252,0)),"NA"))</f>
        <v>0.9</v>
      </c>
      <c r="F65" s="54" t="n">
        <f aca="false" t="array" ref="F65:F65">IFERROR(INDEX('Bad Bins'!$J$2:$J$252,MATCH($A65,'Bad Bins'!$A$2:$A$252,0)),IFERROR(INDEX('Bad Bins'!$J$2:$J$252,MATCH(SUBSTITUTE($A65," SS","  SS"),'Bad Bins'!$A$2:$A$252,0)),"NA"))</f>
        <v>13</v>
      </c>
      <c r="G65" s="54" t="n">
        <f aca="false" t="array" ref="G65:G65">IFERROR(INDEX('RSTO &gt; 48hrs'!$G$2:$G$134,MATCH($A65,'RSTO &gt; 48hrs'!$A$2:$A$134,0)),IFERROR(INDEX('RSTO &gt; 48hrs'!$G$2:$G$134,MATCH(SUBSTITUTE($A65," SS","  SS"),'RSTO &gt; 48hrs'!$A$2:$A$134,0)),"NA"))</f>
        <v>3</v>
      </c>
      <c r="H65" s="54" t="n">
        <f aca="false" t="array" ref="H65:H65">IFERROR(INDEX('Recirculation &gt; 24 hrs'!$J$2:$J$150,MATCH($A65,'Recirculation &gt; 24 hrs'!$A$2:$A$150,0)),IFERROR(INDEX('Recirculation &gt; 24 hrs'!$J$2:$J$150,MATCH(SUBSTITUTE($A65," SS","  SS"),'Recirculation &gt; 24 hrs'!$A$2:$A$150,0)),"NA"))</f>
        <v>1</v>
      </c>
      <c r="I65" s="54" t="n">
        <f aca="false" t="array" ref="I65:I65">IFERROR(INDEX('Pending Putaway'!$D$2:$D$255,MATCH($A65,'Pending Putaway'!$A$2:$A$255,0)),IFERROR(INDEX('Pending Putaway'!$D$2:$D$255,MATCH(SUBSTITUTE($A65," SS","  SS"),'Pending Putaway'!$A$2:$A$255,0)),"NA"))</f>
        <v>0</v>
      </c>
      <c r="J65" s="54" t="n">
        <f aca="false" t="array" ref="J65:J65">IFERROR(INDEX('Pending Putaway'!$K$2:$K$255,MATCH($A65,'Pending Putaway'!$A$2:$A$255,0)),IFERROR(INDEX('Pending Putaway'!$K$2:$K$255,MATCH(SUBSTITUTE($A65," SS","  SS"),'Pending Putaway'!$A$2:$A$255,0)),"NA"))</f>
        <v>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customFormat="false" ht="15.75" hidden="false" customHeight="true" outlineLevel="0" collapsed="false">
      <c r="A66" s="54" t="s">
        <v>107</v>
      </c>
      <c r="B66" s="54" t="str">
        <f aca="false" t="array" ref="B66:B66">IFERROR(INDEX('CLM &amp; IM Mapping'!$B$2:$B$270,MATCH($A66,'CLM &amp; IM Mapping'!$A$2:$A$270,0)),"Not Mapped")</f>
        <v>Manoj Kj</v>
      </c>
      <c r="C66" s="54" t="str">
        <f aca="false" t="array" ref="C66:C66">IFERROR(INDEX('CLM &amp; IM Mapping'!$C$2:$C$270,MATCH($A66,'CLM &amp; IM Mapping'!$A$2:$A$270,0)),"Not Mapped")</f>
        <v>Srittam Dhal</v>
      </c>
      <c r="D66" s="55" t="n">
        <f aca="false" t="array" ref="D66:D66">IFERROR(INDEX(Shrinkage!$O$2:$O$260,MATCH($A66,Shrinkage!$C$2:$C$260,0)),IFERROR(INDEX(Shrinkage!$O$2:$O$260,MATCH(SUBSTITUTE($A66," SS","  SS"),Shrinkage!$C$2:$C$260,0)),"NA"))</f>
        <v>16461</v>
      </c>
      <c r="E66" s="56" t="n">
        <f aca="false" t="array" ref="E66:E66">IFERROR(INDEX('Inventory Hygiene'!$I$2:$I$252,MATCH($A66,'Inventory Hygiene'!$A$2:$A$252,0)),IFERROR(INDEX('Inventory Hygiene'!$I$2:$I$252,MATCH(SUBSTITUTE($A66," SS","  SS"),'Inventory Hygiene'!$A$2:$A$252,0)),"NA"))</f>
        <v>0.01</v>
      </c>
      <c r="F66" s="54" t="n">
        <f aca="false" t="array" ref="F66:F66">IFERROR(INDEX('Bad Bins'!$J$2:$J$252,MATCH($A66,'Bad Bins'!$A$2:$A$252,0)),IFERROR(INDEX('Bad Bins'!$J$2:$J$252,MATCH(SUBSTITUTE($A66," SS","  SS"),'Bad Bins'!$A$2:$A$252,0)),"NA"))</f>
        <v>79</v>
      </c>
      <c r="G66" s="54" t="n">
        <f aca="false" t="array" ref="G66:G66">IFERROR(INDEX('RSTO &gt; 48hrs'!$G$2:$G$134,MATCH($A66,'RSTO &gt; 48hrs'!$A$2:$A$134,0)),IFERROR(INDEX('RSTO &gt; 48hrs'!$G$2:$G$134,MATCH(SUBSTITUTE($A66," SS","  SS"),'RSTO &gt; 48hrs'!$A$2:$A$134,0)),"NA"))</f>
        <v>882</v>
      </c>
      <c r="H66" s="54" t="n">
        <f aca="false" t="array" ref="H66:H66">IFERROR(INDEX('Recirculation &gt; 24 hrs'!$J$2:$J$150,MATCH($A66,'Recirculation &gt; 24 hrs'!$A$2:$A$150,0)),IFERROR(INDEX('Recirculation &gt; 24 hrs'!$J$2:$J$150,MATCH(SUBSTITUTE($A66," SS","  SS"),'Recirculation &gt; 24 hrs'!$A$2:$A$150,0)),"NA"))</f>
        <v>1</v>
      </c>
      <c r="I66" s="54" t="n">
        <f aca="false" t="array" ref="I66:I66">IFERROR(INDEX('Pending Putaway'!$D$2:$D$255,MATCH($A66,'Pending Putaway'!$A$2:$A$255,0)),IFERROR(INDEX('Pending Putaway'!$D$2:$D$255,MATCH(SUBSTITUTE($A66," SS","  SS"),'Pending Putaway'!$A$2:$A$255,0)),"NA"))</f>
        <v>0</v>
      </c>
      <c r="J66" s="54" t="n">
        <f aca="false" t="array" ref="J66:J66">IFERROR(INDEX('Pending Putaway'!$K$2:$K$255,MATCH($A66,'Pending Putaway'!$A$2:$A$255,0)),IFERROR(INDEX('Pending Putaway'!$K$2:$K$255,MATCH(SUBSTITUTE($A66," SS","  SS"),'Pending Putaway'!$A$2:$A$255,0)),"NA"))</f>
        <v>0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 customFormat="false" ht="15.75" hidden="false" customHeight="true" outlineLevel="0" collapsed="false">
      <c r="A67" s="54" t="s">
        <v>141</v>
      </c>
      <c r="B67" s="54" t="str">
        <f aca="false" t="array" ref="B67:B67">IFERROR(INDEX('CLM &amp; IM Mapping'!$B$2:$B$270,MATCH($A67,'CLM &amp; IM Mapping'!$A$2:$A$270,0)),"Not Mapped")</f>
        <v>Manoj Kj</v>
      </c>
      <c r="C67" s="54" t="str">
        <f aca="false" t="array" ref="C67:C67">IFERROR(INDEX('CLM &amp; IM Mapping'!$C$2:$C$270,MATCH($A67,'CLM &amp; IM Mapping'!$A$2:$A$270,0)),"Not Mapped")</f>
        <v>Srittam Dhal</v>
      </c>
      <c r="D67" s="55" t="n">
        <f aca="false" t="array" ref="D67:D67">IFERROR(INDEX(Shrinkage!$O$2:$O$260,MATCH($A67,Shrinkage!$C$2:$C$260,0)),IFERROR(INDEX(Shrinkage!$O$2:$O$260,MATCH(SUBSTITUTE($A67," SS","  SS"),Shrinkage!$C$2:$C$260,0)),"NA"))</f>
        <v>6512</v>
      </c>
      <c r="E67" s="56" t="n">
        <f aca="false" t="array" ref="E67:E67">IFERROR(INDEX('Inventory Hygiene'!$I$2:$I$252,MATCH($A67,'Inventory Hygiene'!$A$2:$A$252,0)),IFERROR(INDEX('Inventory Hygiene'!$I$2:$I$252,MATCH(SUBSTITUTE($A67," SS","  SS"),'Inventory Hygiene'!$A$2:$A$252,0)),"NA"))</f>
        <v>0.95</v>
      </c>
      <c r="F67" s="54" t="n">
        <f aca="false" t="array" ref="F67:F67">IFERROR(INDEX('Bad Bins'!$J$2:$J$252,MATCH($A67,'Bad Bins'!$A$2:$A$252,0)),IFERROR(INDEX('Bad Bins'!$J$2:$J$252,MATCH(SUBSTITUTE($A67," SS","  SS"),'Bad Bins'!$A$2:$A$252,0)),"NA"))</f>
        <v>90</v>
      </c>
      <c r="G67" s="54" t="str">
        <f aca="false" t="array" ref="G67:G67">IFERROR(INDEX('RSTO &gt; 48hrs'!$G$2:$G$134,MATCH($A67,'RSTO &gt; 48hrs'!$A$2:$A$134,0)),IFERROR(INDEX('RSTO &gt; 48hrs'!$G$2:$G$134,MATCH(SUBSTITUTE($A67," SS","  SS"),'RSTO &gt; 48hrs'!$A$2:$A$134,0)),"NA"))</f>
        <v>NA</v>
      </c>
      <c r="H67" s="54" t="n">
        <f aca="false" t="array" ref="H67:H67">IFERROR(INDEX('Recirculation &gt; 24 hrs'!$J$2:$J$150,MATCH($A67,'Recirculation &gt; 24 hrs'!$A$2:$A$150,0)),IFERROR(INDEX('Recirculation &gt; 24 hrs'!$J$2:$J$150,MATCH(SUBSTITUTE($A67," SS","  SS"),'Recirculation &gt; 24 hrs'!$A$2:$A$150,0)),"NA"))</f>
        <v>1463</v>
      </c>
      <c r="I67" s="54" t="n">
        <f aca="false" t="array" ref="I67:I67">IFERROR(INDEX('Pending Putaway'!$D$2:$D$255,MATCH($A67,'Pending Putaway'!$A$2:$A$255,0)),IFERROR(INDEX('Pending Putaway'!$D$2:$D$255,MATCH(SUBSTITUTE($A67," SS","  SS"),'Pending Putaway'!$A$2:$A$255,0)),"NA"))</f>
        <v>1951</v>
      </c>
      <c r="J67" s="54" t="n">
        <f aca="false" t="array" ref="J67:J67">IFERROR(INDEX('Pending Putaway'!$K$2:$K$255,MATCH($A67,'Pending Putaway'!$A$2:$A$255,0)),IFERROR(INDEX('Pending Putaway'!$K$2:$K$255,MATCH(SUBSTITUTE($A67," SS","  SS"),'Pending Putaway'!$A$2:$A$255,0)),"NA"))</f>
        <v>0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customFormat="false" ht="15.75" hidden="false" customHeight="true" outlineLevel="0" collapsed="false">
      <c r="A68" s="54" t="s">
        <v>151</v>
      </c>
      <c r="B68" s="54" t="str">
        <f aca="false" t="array" ref="B68:B68">IFERROR(INDEX('CLM &amp; IM Mapping'!$B$2:$B$270,MATCH($A68,'CLM &amp; IM Mapping'!$A$2:$A$270,0)),"Not Mapped")</f>
        <v>Manoj Kj</v>
      </c>
      <c r="C68" s="54" t="str">
        <f aca="false" t="array" ref="C68:C68">IFERROR(INDEX('CLM &amp; IM Mapping'!$C$2:$C$270,MATCH($A68,'CLM &amp; IM Mapping'!$A$2:$A$270,0)),"Not Mapped")</f>
        <v>Srittam Dhal</v>
      </c>
      <c r="D68" s="55" t="n">
        <f aca="false" t="array" ref="D68:D68">IFERROR(INDEX(Shrinkage!$O$2:$O$260,MATCH($A68,Shrinkage!$C$2:$C$260,0)),IFERROR(INDEX(Shrinkage!$O$2:$O$260,MATCH(SUBSTITUTE($A68," SS","  SS"),Shrinkage!$C$2:$C$260,0)),"NA"))</f>
        <v>4392</v>
      </c>
      <c r="E68" s="56" t="n">
        <f aca="false" t="array" ref="E68:E68">IFERROR(INDEX('Inventory Hygiene'!$I$2:$I$252,MATCH($A68,'Inventory Hygiene'!$A$2:$A$252,0)),IFERROR(INDEX('Inventory Hygiene'!$I$2:$I$252,MATCH(SUBSTITUTE($A68," SS","  SS"),'Inventory Hygiene'!$A$2:$A$252,0)),"NA"))</f>
        <v>0.86</v>
      </c>
      <c r="F68" s="54" t="n">
        <f aca="false" t="array" ref="F68:F68">IFERROR(INDEX('Bad Bins'!$J$2:$J$252,MATCH($A68,'Bad Bins'!$A$2:$A$252,0)),IFERROR(INDEX('Bad Bins'!$J$2:$J$252,MATCH(SUBSTITUTE($A68," SS","  SS"),'Bad Bins'!$A$2:$A$252,0)),"NA"))</f>
        <v>79</v>
      </c>
      <c r="G68" s="54" t="str">
        <f aca="false" t="array" ref="G68:G68">IFERROR(INDEX('RSTO &gt; 48hrs'!$G$2:$G$134,MATCH($A68,'RSTO &gt; 48hrs'!$A$2:$A$134,0)),IFERROR(INDEX('RSTO &gt; 48hrs'!$G$2:$G$134,MATCH(SUBSTITUTE($A68," SS","  SS"),'RSTO &gt; 48hrs'!$A$2:$A$134,0)),"NA"))</f>
        <v>NA</v>
      </c>
      <c r="H68" s="54" t="n">
        <f aca="false" t="array" ref="H68:H68">IFERROR(INDEX('Recirculation &gt; 24 hrs'!$J$2:$J$150,MATCH($A68,'Recirculation &gt; 24 hrs'!$A$2:$A$150,0)),IFERROR(INDEX('Recirculation &gt; 24 hrs'!$J$2:$J$150,MATCH(SUBSTITUTE($A68," SS","  SS"),'Recirculation &gt; 24 hrs'!$A$2:$A$150,0)),"NA"))</f>
        <v>1</v>
      </c>
      <c r="I68" s="54" t="n">
        <f aca="false" t="array" ref="I68:I68">IFERROR(INDEX('Pending Putaway'!$D$2:$D$255,MATCH($A68,'Pending Putaway'!$A$2:$A$255,0)),IFERROR(INDEX('Pending Putaway'!$D$2:$D$255,MATCH(SUBSTITUTE($A68," SS","  SS"),'Pending Putaway'!$A$2:$A$255,0)),"NA"))</f>
        <v>0</v>
      </c>
      <c r="J68" s="54" t="n">
        <f aca="false" t="array" ref="J68:J68">IFERROR(INDEX('Pending Putaway'!$K$2:$K$255,MATCH($A68,'Pending Putaway'!$A$2:$A$255,0)),IFERROR(INDEX('Pending Putaway'!$K$2:$K$255,MATCH(SUBSTITUTE($A68," SS","  SS"),'Pending Putaway'!$A$2:$A$255,0)),"NA"))</f>
        <v>0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customFormat="false" ht="15.75" hidden="false" customHeight="true" outlineLevel="0" collapsed="false">
      <c r="A69" s="54" t="s">
        <v>26</v>
      </c>
      <c r="B69" s="54" t="str">
        <f aca="false" t="array" ref="B69:B69">IFERROR(INDEX('CLM &amp; IM Mapping'!$B$2:$B$270,MATCH($A69,'CLM &amp; IM Mapping'!$A$2:$A$270,0)),"Not Mapped")</f>
        <v>Manoj Kj</v>
      </c>
      <c r="C69" s="54" t="str">
        <f aca="false" t="array" ref="C69:C69">IFERROR(INDEX('CLM &amp; IM Mapping'!$C$2:$C$270,MATCH($A69,'CLM &amp; IM Mapping'!$A$2:$A$270,0)),"Not Mapped")</f>
        <v>Srittam Dhal</v>
      </c>
      <c r="D69" s="55" t="n">
        <f aca="false" t="array" ref="D69:D69">IFERROR(INDEX(Shrinkage!$O$2:$O$260,MATCH($A69,Shrinkage!$C$2:$C$260,0)),IFERROR(INDEX(Shrinkage!$O$2:$O$260,MATCH(SUBSTITUTE($A69," SS","  SS"),Shrinkage!$C$2:$C$260,0)),"NA"))</f>
        <v>110703</v>
      </c>
      <c r="E69" s="56" t="str">
        <f aca="false" t="array" ref="E69:E69">IFERROR(INDEX('Inventory Hygiene'!$I$2:$I$252,MATCH($A69,'Inventory Hygiene'!$A$2:$A$252,0)),IFERROR(INDEX('Inventory Hygiene'!$I$2:$I$252,MATCH(SUBSTITUTE($A69," SS","  SS"),'Inventory Hygiene'!$A$2:$A$252,0)),"NA"))</f>
        <v>NA</v>
      </c>
      <c r="F69" s="54" t="str">
        <f aca="false" t="array" ref="F69:F69">IFERROR(INDEX('Bad Bins'!$J$2:$J$252,MATCH($A69,'Bad Bins'!$A$2:$A$252,0)),IFERROR(INDEX('Bad Bins'!$J$2:$J$252,MATCH(SUBSTITUTE($A69," SS","  SS"),'Bad Bins'!$A$2:$A$252,0)),"NA"))</f>
        <v>NA</v>
      </c>
      <c r="G69" s="54" t="n">
        <f aca="false" t="array" ref="G69:G69">IFERROR(INDEX('RSTO &gt; 48hrs'!$G$2:$G$134,MATCH($A69,'RSTO &gt; 48hrs'!$A$2:$A$134,0)),IFERROR(INDEX('RSTO &gt; 48hrs'!$G$2:$G$134,MATCH(SUBSTITUTE($A69," SS","  SS"),'RSTO &gt; 48hrs'!$A$2:$A$134,0)),"NA"))</f>
        <v>516</v>
      </c>
      <c r="H69" s="54" t="n">
        <f aca="false" t="array" ref="H69:H69">IFERROR(INDEX('Recirculation &gt; 24 hrs'!$J$2:$J$150,MATCH($A69,'Recirculation &gt; 24 hrs'!$A$2:$A$150,0)),IFERROR(INDEX('Recirculation &gt; 24 hrs'!$J$2:$J$150,MATCH(SUBSTITUTE($A69," SS","  SS"),'Recirculation &gt; 24 hrs'!$A$2:$A$150,0)),"NA"))</f>
        <v>79</v>
      </c>
      <c r="I69" s="54" t="n">
        <f aca="false" t="array" ref="I69:I69">IFERROR(INDEX('Pending Putaway'!$D$2:$D$255,MATCH($A69,'Pending Putaway'!$A$2:$A$255,0)),IFERROR(INDEX('Pending Putaway'!$D$2:$D$255,MATCH(SUBSTITUTE($A69," SS","  SS"),'Pending Putaway'!$A$2:$A$255,0)),"NA"))</f>
        <v>0</v>
      </c>
      <c r="J69" s="54" t="n">
        <f aca="false" t="array" ref="J69:J69">IFERROR(INDEX('Pending Putaway'!$K$2:$K$255,MATCH($A69,'Pending Putaway'!$A$2:$A$255,0)),IFERROR(INDEX('Pending Putaway'!$K$2:$K$255,MATCH(SUBSTITUTE($A69," SS","  SS"),'Pending Putaway'!$A$2:$A$255,0)),"NA"))</f>
        <v>0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customFormat="false" ht="15.75" hidden="false" customHeight="true" outlineLevel="0" collapsed="false">
      <c r="A70" s="54" t="s">
        <v>154</v>
      </c>
      <c r="B70" s="54" t="str">
        <f aca="false" t="array" ref="B70:B70">IFERROR(INDEX('CLM &amp; IM Mapping'!$B$2:$B$270,MATCH($A70,'CLM &amp; IM Mapping'!$A$2:$A$270,0)),"Not Mapped")</f>
        <v>Akshay P</v>
      </c>
      <c r="C70" s="54" t="str">
        <f aca="false" t="array" ref="C70:C70">IFERROR(INDEX('CLM &amp; IM Mapping'!$C$2:$C$270,MATCH($A70,'CLM &amp; IM Mapping'!$A$2:$A$270,0)),"Not Mapped")</f>
        <v>Srittam Dhal</v>
      </c>
      <c r="D70" s="55" t="n">
        <f aca="false" t="array" ref="D70:D70">IFERROR(INDEX(Shrinkage!$O$2:$O$260,MATCH($A70,Shrinkage!$C$2:$C$260,0)),IFERROR(INDEX(Shrinkage!$O$2:$O$260,MATCH(SUBSTITUTE($A70," SS","  SS"),Shrinkage!$C$2:$C$260,0)),"NA"))</f>
        <v>4210</v>
      </c>
      <c r="E70" s="56" t="n">
        <f aca="false" t="array" ref="E70:E70">IFERROR(INDEX('Inventory Hygiene'!$I$2:$I$252,MATCH($A70,'Inventory Hygiene'!$A$2:$A$252,0)),IFERROR(INDEX('Inventory Hygiene'!$I$2:$I$252,MATCH(SUBSTITUTE($A70," SS","  SS"),'Inventory Hygiene'!$A$2:$A$252,0)),"NA"))</f>
        <v>0.87</v>
      </c>
      <c r="F70" s="54" t="n">
        <f aca="false" t="array" ref="F70:F70">IFERROR(INDEX('Bad Bins'!$J$2:$J$252,MATCH($A70,'Bad Bins'!$A$2:$A$252,0)),IFERROR(INDEX('Bad Bins'!$J$2:$J$252,MATCH(SUBSTITUTE($A70," SS","  SS"),'Bad Bins'!$A$2:$A$252,0)),"NA"))</f>
        <v>109</v>
      </c>
      <c r="G70" s="54" t="n">
        <f aca="false" t="array" ref="G70:G70">IFERROR(INDEX('RSTO &gt; 48hrs'!$G$2:$G$134,MATCH($A70,'RSTO &gt; 48hrs'!$A$2:$A$134,0)),IFERROR(INDEX('RSTO &gt; 48hrs'!$G$2:$G$134,MATCH(SUBSTITUTE($A70," SS","  SS"),'RSTO &gt; 48hrs'!$A$2:$A$134,0)),"NA"))</f>
        <v>58</v>
      </c>
      <c r="H70" s="54" t="n">
        <f aca="false" t="array" ref="H70:H70">IFERROR(INDEX('Recirculation &gt; 24 hrs'!$J$2:$J$150,MATCH($A70,'Recirculation &gt; 24 hrs'!$A$2:$A$150,0)),IFERROR(INDEX('Recirculation &gt; 24 hrs'!$J$2:$J$150,MATCH(SUBSTITUTE($A70," SS","  SS"),'Recirculation &gt; 24 hrs'!$A$2:$A$150,0)),"NA"))</f>
        <v>5</v>
      </c>
      <c r="I70" s="54" t="n">
        <f aca="false" t="array" ref="I70:I70">IFERROR(INDEX('Pending Putaway'!$D$2:$D$255,MATCH($A70,'Pending Putaway'!$A$2:$A$255,0)),IFERROR(INDEX('Pending Putaway'!$D$2:$D$255,MATCH(SUBSTITUTE($A70," SS","  SS"),'Pending Putaway'!$A$2:$A$255,0)),"NA"))</f>
        <v>1522</v>
      </c>
      <c r="J70" s="54" t="n">
        <f aca="false" t="array" ref="J70:J70">IFERROR(INDEX('Pending Putaway'!$K$2:$K$255,MATCH($A70,'Pending Putaway'!$A$2:$A$255,0)),IFERROR(INDEX('Pending Putaway'!$K$2:$K$255,MATCH(SUBSTITUTE($A70," SS","  SS"),'Pending Putaway'!$A$2:$A$255,0)),"NA"))</f>
        <v>0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customFormat="false" ht="15.75" hidden="false" customHeight="true" outlineLevel="0" collapsed="false">
      <c r="A71" s="54" t="s">
        <v>77</v>
      </c>
      <c r="B71" s="54" t="str">
        <f aca="false" t="array" ref="B71:B71">IFERROR(INDEX('CLM &amp; IM Mapping'!$B$2:$B$270,MATCH($A71,'CLM &amp; IM Mapping'!$A$2:$A$270,0)),"Not Mapped")</f>
        <v>Akshay P</v>
      </c>
      <c r="C71" s="54" t="str">
        <f aca="false" t="array" ref="C71:C71">IFERROR(INDEX('CLM &amp; IM Mapping'!$C$2:$C$270,MATCH($A71,'CLM &amp; IM Mapping'!$A$2:$A$270,0)),"Not Mapped")</f>
        <v>Srittam Dhal</v>
      </c>
      <c r="D71" s="55" t="n">
        <f aca="false" t="array" ref="D71:D71">IFERROR(INDEX(Shrinkage!$O$2:$O$260,MATCH($A71,Shrinkage!$C$2:$C$260,0)),IFERROR(INDEX(Shrinkage!$O$2:$O$260,MATCH(SUBSTITUTE($A71," SS","  SS"),Shrinkage!$C$2:$C$260,0)),"NA"))</f>
        <v>30399</v>
      </c>
      <c r="E71" s="56" t="n">
        <f aca="false" t="array" ref="E71:E71">IFERROR(INDEX('Inventory Hygiene'!$I$2:$I$252,MATCH($A71,'Inventory Hygiene'!$A$2:$A$252,0)),IFERROR(INDEX('Inventory Hygiene'!$I$2:$I$252,MATCH(SUBSTITUTE($A71," SS","  SS"),'Inventory Hygiene'!$A$2:$A$252,0)),"NA"))</f>
        <v>0.75</v>
      </c>
      <c r="F71" s="54" t="n">
        <f aca="false" t="array" ref="F71:F71">IFERROR(INDEX('Bad Bins'!$J$2:$J$252,MATCH($A71,'Bad Bins'!$A$2:$A$252,0)),IFERROR(INDEX('Bad Bins'!$J$2:$J$252,MATCH(SUBSTITUTE($A71," SS","  SS"),'Bad Bins'!$A$2:$A$252,0)),"NA"))</f>
        <v>177</v>
      </c>
      <c r="G71" s="54" t="str">
        <f aca="false" t="array" ref="G71:G71">IFERROR(INDEX('RSTO &gt; 48hrs'!$G$2:$G$134,MATCH($A71,'RSTO &gt; 48hrs'!$A$2:$A$134,0)),IFERROR(INDEX('RSTO &gt; 48hrs'!$G$2:$G$134,MATCH(SUBSTITUTE($A71," SS","  SS"),'RSTO &gt; 48hrs'!$A$2:$A$134,0)),"NA"))</f>
        <v>NA</v>
      </c>
      <c r="H71" s="54" t="n">
        <f aca="false" t="array" ref="H71:H71">IFERROR(INDEX('Recirculation &gt; 24 hrs'!$J$2:$J$150,MATCH($A71,'Recirculation &gt; 24 hrs'!$A$2:$A$150,0)),IFERROR(INDEX('Recirculation &gt; 24 hrs'!$J$2:$J$150,MATCH(SUBSTITUTE($A71," SS","  SS"),'Recirculation &gt; 24 hrs'!$A$2:$A$150,0)),"NA"))</f>
        <v>79</v>
      </c>
      <c r="I71" s="54" t="n">
        <f aca="false" t="array" ref="I71:I71">IFERROR(INDEX('Pending Putaway'!$D$2:$D$255,MATCH($A71,'Pending Putaway'!$A$2:$A$255,0)),IFERROR(INDEX('Pending Putaway'!$D$2:$D$255,MATCH(SUBSTITUTE($A71," SS","  SS"),'Pending Putaway'!$A$2:$A$255,0)),"NA"))</f>
        <v>6434</v>
      </c>
      <c r="J71" s="54" t="n">
        <f aca="false" t="array" ref="J71:J71">IFERROR(INDEX('Pending Putaway'!$K$2:$K$255,MATCH($A71,'Pending Putaway'!$A$2:$A$255,0)),IFERROR(INDEX('Pending Putaway'!$K$2:$K$255,MATCH(SUBSTITUTE($A71," SS","  SS"),'Pending Putaway'!$A$2:$A$255,0)),"NA"))</f>
        <v>1770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customFormat="false" ht="15.75" hidden="false" customHeight="true" outlineLevel="0" collapsed="false">
      <c r="A72" s="54" t="s">
        <v>137</v>
      </c>
      <c r="B72" s="54" t="str">
        <f aca="false" t="array" ref="B72:B72">IFERROR(INDEX('CLM &amp; IM Mapping'!$B$2:$B$270,MATCH($A72,'CLM &amp; IM Mapping'!$A$2:$A$270,0)),"Not Mapped")</f>
        <v>Akshay P</v>
      </c>
      <c r="C72" s="54" t="str">
        <f aca="false" t="array" ref="C72:C72">IFERROR(INDEX('CLM &amp; IM Mapping'!$C$2:$C$270,MATCH($A72,'CLM &amp; IM Mapping'!$A$2:$A$270,0)),"Not Mapped")</f>
        <v>Srittam Dhal</v>
      </c>
      <c r="D72" s="55" t="n">
        <f aca="false" t="array" ref="D72:D72">IFERROR(INDEX(Shrinkage!$O$2:$O$260,MATCH($A72,Shrinkage!$C$2:$C$260,0)),IFERROR(INDEX(Shrinkage!$O$2:$O$260,MATCH(SUBSTITUTE($A72," SS","  SS"),Shrinkage!$C$2:$C$260,0)),"NA"))</f>
        <v>7282</v>
      </c>
      <c r="E72" s="56" t="n">
        <f aca="false" t="array" ref="E72:E72">IFERROR(INDEX('Inventory Hygiene'!$I$2:$I$252,MATCH($A72,'Inventory Hygiene'!$A$2:$A$252,0)),IFERROR(INDEX('Inventory Hygiene'!$I$2:$I$252,MATCH(SUBSTITUTE($A72," SS","  SS"),'Inventory Hygiene'!$A$2:$A$252,0)),"NA"))</f>
        <v>0.86</v>
      </c>
      <c r="F72" s="54" t="n">
        <f aca="false" t="array" ref="F72:F72">IFERROR(INDEX('Bad Bins'!$J$2:$J$252,MATCH($A72,'Bad Bins'!$A$2:$A$252,0)),IFERROR(INDEX('Bad Bins'!$J$2:$J$252,MATCH(SUBSTITUTE($A72," SS","  SS"),'Bad Bins'!$A$2:$A$252,0)),"NA"))</f>
        <v>76</v>
      </c>
      <c r="G72" s="54" t="n">
        <f aca="false" t="array" ref="G72:G72">IFERROR(INDEX('RSTO &gt; 48hrs'!$G$2:$G$134,MATCH($A72,'RSTO &gt; 48hrs'!$A$2:$A$134,0)),IFERROR(INDEX('RSTO &gt; 48hrs'!$G$2:$G$134,MATCH(SUBSTITUTE($A72," SS","  SS"),'RSTO &gt; 48hrs'!$A$2:$A$134,0)),"NA"))</f>
        <v>246</v>
      </c>
      <c r="H72" s="54" t="n">
        <f aca="false" t="array" ref="H72:H72">IFERROR(INDEX('Recirculation &gt; 24 hrs'!$J$2:$J$150,MATCH($A72,'Recirculation &gt; 24 hrs'!$A$2:$A$150,0)),IFERROR(INDEX('Recirculation &gt; 24 hrs'!$J$2:$J$150,MATCH(SUBSTITUTE($A72," SS","  SS"),'Recirculation &gt; 24 hrs'!$A$2:$A$150,0)),"NA"))</f>
        <v>509</v>
      </c>
      <c r="I72" s="54" t="n">
        <f aca="false" t="array" ref="I72:I72">IFERROR(INDEX('Pending Putaway'!$D$2:$D$255,MATCH($A72,'Pending Putaway'!$A$2:$A$255,0)),IFERROR(INDEX('Pending Putaway'!$D$2:$D$255,MATCH(SUBSTITUTE($A72," SS","  SS"),'Pending Putaway'!$A$2:$A$255,0)),"NA"))</f>
        <v>155</v>
      </c>
      <c r="J72" s="54" t="n">
        <f aca="false" t="array" ref="J72:J72">IFERROR(INDEX('Pending Putaway'!$K$2:$K$255,MATCH($A72,'Pending Putaway'!$A$2:$A$255,0)),IFERROR(INDEX('Pending Putaway'!$K$2:$K$255,MATCH(SUBSTITUTE($A72," SS","  SS"),'Pending Putaway'!$A$2:$A$255,0)),"NA"))</f>
        <v>28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 customFormat="false" ht="15.75" hidden="false" customHeight="true" outlineLevel="0" collapsed="false">
      <c r="A73" s="54" t="s">
        <v>166</v>
      </c>
      <c r="B73" s="54" t="str">
        <f aca="false" t="array" ref="B73:B73">IFERROR(INDEX('CLM &amp; IM Mapping'!$B$2:$B$270,MATCH($A73,'CLM &amp; IM Mapping'!$A$2:$A$270,0)),"Not Mapped")</f>
        <v>Akshay P</v>
      </c>
      <c r="C73" s="54" t="str">
        <f aca="false" t="array" ref="C73:C73">IFERROR(INDEX('CLM &amp; IM Mapping'!$C$2:$C$270,MATCH($A73,'CLM &amp; IM Mapping'!$A$2:$A$270,0)),"Not Mapped")</f>
        <v>Srittam Dhal</v>
      </c>
      <c r="D73" s="55" t="n">
        <f aca="false" t="array" ref="D73:D73">IFERROR(INDEX(Shrinkage!$O$2:$O$260,MATCH($A73,Shrinkage!$C$2:$C$260,0)),IFERROR(INDEX(Shrinkage!$O$2:$O$260,MATCH(SUBSTITUTE($A73," SS","  SS"),Shrinkage!$C$2:$C$260,0)),"NA"))</f>
        <v>2287</v>
      </c>
      <c r="E73" s="56" t="n">
        <f aca="false" t="array" ref="E73:E73">IFERROR(INDEX('Inventory Hygiene'!$I$2:$I$252,MATCH($A73,'Inventory Hygiene'!$A$2:$A$252,0)),IFERROR(INDEX('Inventory Hygiene'!$I$2:$I$252,MATCH(SUBSTITUTE($A73," SS","  SS"),'Inventory Hygiene'!$A$2:$A$252,0)),"NA"))</f>
        <v>0.59</v>
      </c>
      <c r="F73" s="54" t="n">
        <f aca="false" t="array" ref="F73:F73">IFERROR(INDEX('Bad Bins'!$J$2:$J$252,MATCH($A73,'Bad Bins'!$A$2:$A$252,0)),IFERROR(INDEX('Bad Bins'!$J$2:$J$252,MATCH(SUBSTITUTE($A73," SS","  SS"),'Bad Bins'!$A$2:$A$252,0)),"NA"))</f>
        <v>57</v>
      </c>
      <c r="G73" s="54" t="str">
        <f aca="false" t="array" ref="G73:G73">IFERROR(INDEX('RSTO &gt; 48hrs'!$G$2:$G$134,MATCH($A73,'RSTO &gt; 48hrs'!$A$2:$A$134,0)),IFERROR(INDEX('RSTO &gt; 48hrs'!$G$2:$G$134,MATCH(SUBSTITUTE($A73," SS","  SS"),'RSTO &gt; 48hrs'!$A$2:$A$134,0)),"NA"))</f>
        <v>NA</v>
      </c>
      <c r="H73" s="54" t="n">
        <f aca="false" t="array" ref="H73:H73">IFERROR(INDEX('Recirculation &gt; 24 hrs'!$J$2:$J$150,MATCH($A73,'Recirculation &gt; 24 hrs'!$A$2:$A$150,0)),IFERROR(INDEX('Recirculation &gt; 24 hrs'!$J$2:$J$150,MATCH(SUBSTITUTE($A73," SS","  SS"),'Recirculation &gt; 24 hrs'!$A$2:$A$150,0)),"NA"))</f>
        <v>1</v>
      </c>
      <c r="I73" s="54" t="n">
        <f aca="false" t="array" ref="I73:I73">IFERROR(INDEX('Pending Putaway'!$D$2:$D$255,MATCH($A73,'Pending Putaway'!$A$2:$A$255,0)),IFERROR(INDEX('Pending Putaway'!$D$2:$D$255,MATCH(SUBSTITUTE($A73," SS","  SS"),'Pending Putaway'!$A$2:$A$255,0)),"NA"))</f>
        <v>0</v>
      </c>
      <c r="J73" s="54" t="n">
        <f aca="false" t="array" ref="J73:J73">IFERROR(INDEX('Pending Putaway'!$K$2:$K$255,MATCH($A73,'Pending Putaway'!$A$2:$A$255,0)),IFERROR(INDEX('Pending Putaway'!$K$2:$K$255,MATCH(SUBSTITUTE($A73," SS","  SS"),'Pending Putaway'!$A$2:$A$255,0)),"NA"))</f>
        <v>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 customFormat="false" ht="15.75" hidden="false" customHeight="true" outlineLevel="0" collapsed="false">
      <c r="A74" s="54" t="s">
        <v>74</v>
      </c>
      <c r="B74" s="54" t="str">
        <f aca="false" t="array" ref="B74:B74">IFERROR(INDEX('CLM &amp; IM Mapping'!$B$2:$B$270,MATCH($A74,'CLM &amp; IM Mapping'!$A$2:$A$270,0)),"Not Mapped")</f>
        <v>Manoj Kj</v>
      </c>
      <c r="C74" s="54" t="str">
        <f aca="false" t="array" ref="C74:C74">IFERROR(INDEX('CLM &amp; IM Mapping'!$C$2:$C$270,MATCH($A74,'CLM &amp; IM Mapping'!$A$2:$A$270,0)),"Not Mapped")</f>
        <v>Srittam Dhal</v>
      </c>
      <c r="D74" s="55" t="n">
        <f aca="false" t="array" ref="D74:D74">IFERROR(INDEX(Shrinkage!$O$2:$O$260,MATCH($A74,Shrinkage!$C$2:$C$260,0)),IFERROR(INDEX(Shrinkage!$O$2:$O$260,MATCH(SUBSTITUTE($A74," SS","  SS"),Shrinkage!$C$2:$C$260,0)),"NA"))</f>
        <v>32060</v>
      </c>
      <c r="E74" s="56" t="n">
        <f aca="false" t="array" ref="E74:E74">IFERROR(INDEX('Inventory Hygiene'!$I$2:$I$252,MATCH($A74,'Inventory Hygiene'!$A$2:$A$252,0)),IFERROR(INDEX('Inventory Hygiene'!$I$2:$I$252,MATCH(SUBSTITUTE($A74," SS","  SS"),'Inventory Hygiene'!$A$2:$A$252,0)),"NA"))</f>
        <v>0.64</v>
      </c>
      <c r="F74" s="54" t="n">
        <f aca="false" t="array" ref="F74:F74">IFERROR(INDEX('Bad Bins'!$J$2:$J$252,MATCH($A74,'Bad Bins'!$A$2:$A$252,0)),IFERROR(INDEX('Bad Bins'!$J$2:$J$252,MATCH(SUBSTITUTE($A74," SS","  SS"),'Bad Bins'!$A$2:$A$252,0)),"NA"))</f>
        <v>140</v>
      </c>
      <c r="G74" s="54" t="n">
        <f aca="false" t="array" ref="G74:G74">IFERROR(INDEX('RSTO &gt; 48hrs'!$G$2:$G$134,MATCH($A74,'RSTO &gt; 48hrs'!$A$2:$A$134,0)),IFERROR(INDEX('RSTO &gt; 48hrs'!$G$2:$G$134,MATCH(SUBSTITUTE($A74," SS","  SS"),'RSTO &gt; 48hrs'!$A$2:$A$134,0)),"NA"))</f>
        <v>256</v>
      </c>
      <c r="H74" s="54" t="str">
        <f aca="false" t="array" ref="H74:H74">IFERROR(INDEX('Recirculation &gt; 24 hrs'!$J$2:$J$150,MATCH($A74,'Recirculation &gt; 24 hrs'!$A$2:$A$150,0)),IFERROR(INDEX('Recirculation &gt; 24 hrs'!$J$2:$J$150,MATCH(SUBSTITUTE($A74," SS","  SS"),'Recirculation &gt; 24 hrs'!$A$2:$A$150,0)),"NA"))</f>
        <v>NA</v>
      </c>
      <c r="I74" s="54" t="n">
        <f aca="false" t="array" ref="I74:I74">IFERROR(INDEX('Pending Putaway'!$D$2:$D$255,MATCH($A74,'Pending Putaway'!$A$2:$A$255,0)),IFERROR(INDEX('Pending Putaway'!$D$2:$D$255,MATCH(SUBSTITUTE($A74," SS","  SS"),'Pending Putaway'!$A$2:$A$255,0)),"NA"))</f>
        <v>0</v>
      </c>
      <c r="J74" s="54" t="n">
        <f aca="false" t="array" ref="J74:J74">IFERROR(INDEX('Pending Putaway'!$K$2:$K$255,MATCH($A74,'Pending Putaway'!$A$2:$A$255,0)),IFERROR(INDEX('Pending Putaway'!$K$2:$K$255,MATCH(SUBSTITUTE($A74," SS","  SS"),'Pending Putaway'!$A$2:$A$255,0)),"NA"))</f>
        <v>0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customFormat="false" ht="15.75" hidden="false" customHeight="true" outlineLevel="0" collapsed="false">
      <c r="A75" s="54" t="s">
        <v>289</v>
      </c>
      <c r="B75" s="54" t="str">
        <f aca="false" t="array" ref="B75:B75">IFERROR(INDEX('CLM &amp; IM Mapping'!$B$2:$B$270,MATCH($A75,'CLM &amp; IM Mapping'!$A$2:$A$270,0)),"Not Mapped")</f>
        <v>Manoj Kj</v>
      </c>
      <c r="C75" s="54" t="str">
        <f aca="false" t="array" ref="C75:C75">IFERROR(INDEX('CLM &amp; IM Mapping'!$C$2:$C$270,MATCH($A75,'CLM &amp; IM Mapping'!$A$2:$A$270,0)),"Not Mapped")</f>
        <v>Srittam Dhal</v>
      </c>
      <c r="D75" s="55" t="n">
        <f aca="false" t="array" ref="D75:D75">IFERROR(INDEX(Shrinkage!$O$2:$O$260,MATCH($A75,Shrinkage!$C$2:$C$260,0)),IFERROR(INDEX(Shrinkage!$O$2:$O$260,MATCH(SUBSTITUTE($A75," SS","  SS"),Shrinkage!$C$2:$C$260,0)),"NA"))</f>
        <v>-25063</v>
      </c>
      <c r="E75" s="56" t="n">
        <f aca="false" t="array" ref="E75:E75">IFERROR(INDEX('Inventory Hygiene'!$I$2:$I$252,MATCH($A75,'Inventory Hygiene'!$A$2:$A$252,0)),IFERROR(INDEX('Inventory Hygiene'!$I$2:$I$252,MATCH(SUBSTITUTE($A75," SS","  SS"),'Inventory Hygiene'!$A$2:$A$252,0)),"NA"))</f>
        <v>0.93</v>
      </c>
      <c r="F75" s="54" t="n">
        <f aca="false" t="array" ref="F75:F75">IFERROR(INDEX('Bad Bins'!$J$2:$J$252,MATCH($A75,'Bad Bins'!$A$2:$A$252,0)),IFERROR(INDEX('Bad Bins'!$J$2:$J$252,MATCH(SUBSTITUTE($A75," SS","  SS"),'Bad Bins'!$A$2:$A$252,0)),"NA"))</f>
        <v>186</v>
      </c>
      <c r="G75" s="54" t="str">
        <f aca="false" t="array" ref="G75:G75">IFERROR(INDEX('RSTO &gt; 48hrs'!$G$2:$G$134,MATCH($A75,'RSTO &gt; 48hrs'!$A$2:$A$134,0)),IFERROR(INDEX('RSTO &gt; 48hrs'!$G$2:$G$134,MATCH(SUBSTITUTE($A75," SS","  SS"),'RSTO &gt; 48hrs'!$A$2:$A$134,0)),"NA"))</f>
        <v>NA</v>
      </c>
      <c r="H75" s="54" t="n">
        <f aca="false" t="array" ref="H75:H75">IFERROR(INDEX('Recirculation &gt; 24 hrs'!$J$2:$J$150,MATCH($A75,'Recirculation &gt; 24 hrs'!$A$2:$A$150,0)),IFERROR(INDEX('Recirculation &gt; 24 hrs'!$J$2:$J$150,MATCH(SUBSTITUTE($A75," SS","  SS"),'Recirculation &gt; 24 hrs'!$A$2:$A$150,0)),"NA"))</f>
        <v>16</v>
      </c>
      <c r="I75" s="54" t="n">
        <f aca="false" t="array" ref="I75:I75">IFERROR(INDEX('Pending Putaway'!$D$2:$D$255,MATCH($A75,'Pending Putaway'!$A$2:$A$255,0)),IFERROR(INDEX('Pending Putaway'!$D$2:$D$255,MATCH(SUBSTITUTE($A75," SS","  SS"),'Pending Putaway'!$A$2:$A$255,0)),"NA"))</f>
        <v>0</v>
      </c>
      <c r="J75" s="54" t="n">
        <f aca="false" t="array" ref="J75:J75">IFERROR(INDEX('Pending Putaway'!$K$2:$K$255,MATCH($A75,'Pending Putaway'!$A$2:$A$255,0)),IFERROR(INDEX('Pending Putaway'!$K$2:$K$255,MATCH(SUBSTITUTE($A75," SS","  SS"),'Pending Putaway'!$A$2:$A$255,0)),"NA"))</f>
        <v>0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customFormat="false" ht="15.75" hidden="false" customHeight="true" outlineLevel="0" collapsed="false">
      <c r="A76" s="54" t="s">
        <v>187</v>
      </c>
      <c r="B76" s="54" t="str">
        <f aca="false" t="array" ref="B76:B76">IFERROR(INDEX('CLM &amp; IM Mapping'!$B$2:$B$270,MATCH($A76,'CLM &amp; IM Mapping'!$A$2:$A$270,0)),"Not Mapped")</f>
        <v>Akshay P</v>
      </c>
      <c r="C76" s="54" t="str">
        <f aca="false" t="array" ref="C76:C76">IFERROR(INDEX('CLM &amp; IM Mapping'!$C$2:$C$270,MATCH($A76,'CLM &amp; IM Mapping'!$A$2:$A$270,0)),"Not Mapped")</f>
        <v>Srittam Dhal</v>
      </c>
      <c r="D76" s="55" t="n">
        <f aca="false" t="array" ref="D76:D76">IFERROR(INDEX(Shrinkage!$O$2:$O$260,MATCH($A76,Shrinkage!$C$2:$C$260,0)),IFERROR(INDEX(Shrinkage!$O$2:$O$260,MATCH(SUBSTITUTE($A76," SS","  SS"),Shrinkage!$C$2:$C$260,0)),"NA"))</f>
        <v>-240</v>
      </c>
      <c r="E76" s="56" t="n">
        <f aca="false" t="array" ref="E76:E76">IFERROR(INDEX('Inventory Hygiene'!$I$2:$I$252,MATCH($A76,'Inventory Hygiene'!$A$2:$A$252,0)),IFERROR(INDEX('Inventory Hygiene'!$I$2:$I$252,MATCH(SUBSTITUTE($A76," SS","  SS"),'Inventory Hygiene'!$A$2:$A$252,0)),"NA"))</f>
        <v>0.35</v>
      </c>
      <c r="F76" s="54" t="n">
        <f aca="false" t="array" ref="F76:F76">IFERROR(INDEX('Bad Bins'!$J$2:$J$252,MATCH($A76,'Bad Bins'!$A$2:$A$252,0)),IFERROR(INDEX('Bad Bins'!$J$2:$J$252,MATCH(SUBSTITUTE($A76," SS","  SS"),'Bad Bins'!$A$2:$A$252,0)),"NA"))</f>
        <v>157</v>
      </c>
      <c r="G76" s="54" t="n">
        <f aca="false" t="array" ref="G76:G76">IFERROR(INDEX('RSTO &gt; 48hrs'!$G$2:$G$134,MATCH($A76,'RSTO &gt; 48hrs'!$A$2:$A$134,0)),IFERROR(INDEX('RSTO &gt; 48hrs'!$G$2:$G$134,MATCH(SUBSTITUTE($A76," SS","  SS"),'RSTO &gt; 48hrs'!$A$2:$A$134,0)),"NA"))</f>
        <v>42</v>
      </c>
      <c r="H76" s="54" t="n">
        <f aca="false" t="array" ref="H76:H76">IFERROR(INDEX('Recirculation &gt; 24 hrs'!$J$2:$J$150,MATCH($A76,'Recirculation &gt; 24 hrs'!$A$2:$A$150,0)),IFERROR(INDEX('Recirculation &gt; 24 hrs'!$J$2:$J$150,MATCH(SUBSTITUTE($A76," SS","  SS"),'Recirculation &gt; 24 hrs'!$A$2:$A$150,0)),"NA"))</f>
        <v>1</v>
      </c>
      <c r="I76" s="54" t="n">
        <f aca="false" t="array" ref="I76:I76">IFERROR(INDEX('Pending Putaway'!$D$2:$D$255,MATCH($A76,'Pending Putaway'!$A$2:$A$255,0)),IFERROR(INDEX('Pending Putaway'!$D$2:$D$255,MATCH(SUBSTITUTE($A76," SS","  SS"),'Pending Putaway'!$A$2:$A$255,0)),"NA"))</f>
        <v>752</v>
      </c>
      <c r="J76" s="54" t="n">
        <f aca="false" t="array" ref="J76:J76">IFERROR(INDEX('Pending Putaway'!$K$2:$K$255,MATCH($A76,'Pending Putaway'!$A$2:$A$255,0)),IFERROR(INDEX('Pending Putaway'!$K$2:$K$255,MATCH(SUBSTITUTE($A76," SS","  SS"),'Pending Putaway'!$A$2:$A$255,0)),"NA"))</f>
        <v>752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customFormat="false" ht="15.75" hidden="false" customHeight="true" outlineLevel="0" collapsed="false">
      <c r="A77" s="54" t="s">
        <v>128</v>
      </c>
      <c r="B77" s="54" t="str">
        <f aca="false" t="array" ref="B77:B77">IFERROR(INDEX('CLM &amp; IM Mapping'!$B$2:$B$270,MATCH($A77,'CLM &amp; IM Mapping'!$A$2:$A$270,0)),"Not Mapped")</f>
        <v>Arun Raj</v>
      </c>
      <c r="C77" s="54" t="str">
        <f aca="false" t="array" ref="C77:C77">IFERROR(INDEX('CLM &amp; IM Mapping'!$C$2:$C$270,MATCH($A77,'CLM &amp; IM Mapping'!$A$2:$A$270,0)),"Not Mapped")</f>
        <v>Simon Manoharan</v>
      </c>
      <c r="D77" s="55" t="n">
        <f aca="false" t="array" ref="D77:D77">IFERROR(INDEX(Shrinkage!$O$2:$O$260,MATCH($A77,Shrinkage!$C$2:$C$260,0)),IFERROR(INDEX(Shrinkage!$O$2:$O$260,MATCH(SUBSTITUTE($A77," SS","  SS"),Shrinkage!$C$2:$C$260,0)),"NA"))</f>
        <v>8825</v>
      </c>
      <c r="E77" s="56" t="n">
        <f aca="false" t="array" ref="E77:E77">IFERROR(INDEX('Inventory Hygiene'!$I$2:$I$252,MATCH($A77,'Inventory Hygiene'!$A$2:$A$252,0)),IFERROR(INDEX('Inventory Hygiene'!$I$2:$I$252,MATCH(SUBSTITUTE($A77," SS","  SS"),'Inventory Hygiene'!$A$2:$A$252,0)),"NA"))</f>
        <v>0.32</v>
      </c>
      <c r="F77" s="54" t="n">
        <f aca="false" t="array" ref="F77:F77">IFERROR(INDEX('Bad Bins'!$J$2:$J$252,MATCH($A77,'Bad Bins'!$A$2:$A$252,0)),IFERROR(INDEX('Bad Bins'!$J$2:$J$252,MATCH(SUBSTITUTE($A77," SS","  SS"),'Bad Bins'!$A$2:$A$252,0)),"NA"))</f>
        <v>0</v>
      </c>
      <c r="G77" s="54" t="n">
        <f aca="false" t="array" ref="G77:G77">IFERROR(INDEX('RSTO &gt; 48hrs'!$G$2:$G$134,MATCH($A77,'RSTO &gt; 48hrs'!$A$2:$A$134,0)),IFERROR(INDEX('RSTO &gt; 48hrs'!$G$2:$G$134,MATCH(SUBSTITUTE($A77," SS","  SS"),'RSTO &gt; 48hrs'!$A$2:$A$134,0)),"NA"))</f>
        <v>19</v>
      </c>
      <c r="H77" s="54" t="n">
        <f aca="false" t="array" ref="H77:H77">IFERROR(INDEX('Recirculation &gt; 24 hrs'!$J$2:$J$150,MATCH($A77,'Recirculation &gt; 24 hrs'!$A$2:$A$150,0)),IFERROR(INDEX('Recirculation &gt; 24 hrs'!$J$2:$J$150,MATCH(SUBSTITUTE($A77," SS","  SS"),'Recirculation &gt; 24 hrs'!$A$2:$A$150,0)),"NA"))</f>
        <v>298</v>
      </c>
      <c r="I77" s="54" t="n">
        <f aca="false" t="array" ref="I77:I77">IFERROR(INDEX('Pending Putaway'!$D$2:$D$255,MATCH($A77,'Pending Putaway'!$A$2:$A$255,0)),IFERROR(INDEX('Pending Putaway'!$D$2:$D$255,MATCH(SUBSTITUTE($A77," SS","  SS"),'Pending Putaway'!$A$2:$A$255,0)),"NA"))</f>
        <v>0</v>
      </c>
      <c r="J77" s="54" t="n">
        <f aca="false" t="array" ref="J77:J77">IFERROR(INDEX('Pending Putaway'!$K$2:$K$255,MATCH($A77,'Pending Putaway'!$A$2:$A$255,0)),IFERROR(INDEX('Pending Putaway'!$K$2:$K$255,MATCH(SUBSTITUTE($A77," SS","  SS"),'Pending Putaway'!$A$2:$A$255,0)),"NA"))</f>
        <v>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customFormat="false" ht="15.75" hidden="false" customHeight="true" outlineLevel="0" collapsed="false">
      <c r="A78" s="54" t="s">
        <v>103</v>
      </c>
      <c r="B78" s="54" t="str">
        <f aca="false" t="array" ref="B78:B78">IFERROR(INDEX('CLM &amp; IM Mapping'!$B$2:$B$270,MATCH($A78,'CLM &amp; IM Mapping'!$A$2:$A$270,0)),"Not Mapped")</f>
        <v>Arun Raj</v>
      </c>
      <c r="C78" s="54" t="str">
        <f aca="false" t="array" ref="C78:C78">IFERROR(INDEX('CLM &amp; IM Mapping'!$C$2:$C$270,MATCH($A78,'CLM &amp; IM Mapping'!$A$2:$A$270,0)),"Not Mapped")</f>
        <v>Simon Manoharan</v>
      </c>
      <c r="D78" s="55" t="n">
        <f aca="false" t="array" ref="D78:D78">IFERROR(INDEX(Shrinkage!$O$2:$O$260,MATCH($A78,Shrinkage!$C$2:$C$260,0)),IFERROR(INDEX(Shrinkage!$O$2:$O$260,MATCH(SUBSTITUTE($A78," SS","  SS"),Shrinkage!$C$2:$C$260,0)),"NA"))</f>
        <v>19060</v>
      </c>
      <c r="E78" s="56" t="n">
        <f aca="false" t="array" ref="E78:E78">IFERROR(INDEX('Inventory Hygiene'!$I$2:$I$252,MATCH($A78,'Inventory Hygiene'!$A$2:$A$252,0)),IFERROR(INDEX('Inventory Hygiene'!$I$2:$I$252,MATCH(SUBSTITUTE($A78," SS","  SS"),'Inventory Hygiene'!$A$2:$A$252,0)),"NA"))</f>
        <v>0.43</v>
      </c>
      <c r="F78" s="54" t="n">
        <f aca="false" t="array" ref="F78:F78">IFERROR(INDEX('Bad Bins'!$J$2:$J$252,MATCH($A78,'Bad Bins'!$A$2:$A$252,0)),IFERROR(INDEX('Bad Bins'!$J$2:$J$252,MATCH(SUBSTITUTE($A78," SS","  SS"),'Bad Bins'!$A$2:$A$252,0)),"NA"))</f>
        <v>33</v>
      </c>
      <c r="G78" s="54" t="n">
        <f aca="false" t="array" ref="G78:G78">IFERROR(INDEX('RSTO &gt; 48hrs'!$G$2:$G$134,MATCH($A78,'RSTO &gt; 48hrs'!$A$2:$A$134,0)),IFERROR(INDEX('RSTO &gt; 48hrs'!$G$2:$G$134,MATCH(SUBSTITUTE($A78," SS","  SS"),'RSTO &gt; 48hrs'!$A$2:$A$134,0)),"NA"))</f>
        <v>14</v>
      </c>
      <c r="H78" s="54" t="n">
        <f aca="false" t="array" ref="H78:H78">IFERROR(INDEX('Recirculation &gt; 24 hrs'!$J$2:$J$150,MATCH($A78,'Recirculation &gt; 24 hrs'!$A$2:$A$150,0)),IFERROR(INDEX('Recirculation &gt; 24 hrs'!$J$2:$J$150,MATCH(SUBSTITUTE($A78," SS","  SS"),'Recirculation &gt; 24 hrs'!$A$2:$A$150,0)),"NA"))</f>
        <v>416</v>
      </c>
      <c r="I78" s="54" t="n">
        <f aca="false" t="array" ref="I78:I78">IFERROR(INDEX('Pending Putaway'!$D$2:$D$255,MATCH($A78,'Pending Putaway'!$A$2:$A$255,0)),IFERROR(INDEX('Pending Putaway'!$D$2:$D$255,MATCH(SUBSTITUTE($A78," SS","  SS"),'Pending Putaway'!$A$2:$A$255,0)),"NA"))</f>
        <v>2413</v>
      </c>
      <c r="J78" s="54" t="n">
        <f aca="false" t="array" ref="J78:J78">IFERROR(INDEX('Pending Putaway'!$K$2:$K$255,MATCH($A78,'Pending Putaway'!$A$2:$A$255,0)),IFERROR(INDEX('Pending Putaway'!$K$2:$K$255,MATCH(SUBSTITUTE($A78," SS","  SS"),'Pending Putaway'!$A$2:$A$255,0)),"NA"))</f>
        <v>256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customFormat="false" ht="15.75" hidden="false" customHeight="true" outlineLevel="0" collapsed="false">
      <c r="A79" s="54" t="s">
        <v>110</v>
      </c>
      <c r="B79" s="54" t="str">
        <f aca="false" t="array" ref="B79:B79">IFERROR(INDEX('CLM &amp; IM Mapping'!$B$2:$B$270,MATCH($A79,'CLM &amp; IM Mapping'!$A$2:$A$270,0)),"Not Mapped")</f>
        <v>Arun Raj</v>
      </c>
      <c r="C79" s="54" t="str">
        <f aca="false" t="array" ref="C79:C79">IFERROR(INDEX('CLM &amp; IM Mapping'!$C$2:$C$270,MATCH($A79,'CLM &amp; IM Mapping'!$A$2:$A$270,0)),"Not Mapped")</f>
        <v>Simon Manoharan</v>
      </c>
      <c r="D79" s="55" t="n">
        <f aca="false" t="array" ref="D79:D79">IFERROR(INDEX(Shrinkage!$O$2:$O$260,MATCH($A79,Shrinkage!$C$2:$C$260,0)),IFERROR(INDEX(Shrinkage!$O$2:$O$260,MATCH(SUBSTITUTE($A79," SS","  SS"),Shrinkage!$C$2:$C$260,0)),"NA"))</f>
        <v>16049</v>
      </c>
      <c r="E79" s="56" t="n">
        <f aca="false" t="array" ref="E79:E79">IFERROR(INDEX('Inventory Hygiene'!$I$2:$I$252,MATCH($A79,'Inventory Hygiene'!$A$2:$A$252,0)),IFERROR(INDEX('Inventory Hygiene'!$I$2:$I$252,MATCH(SUBSTITUTE($A79," SS","  SS"),'Inventory Hygiene'!$A$2:$A$252,0)),"NA"))</f>
        <v>0.3</v>
      </c>
      <c r="F79" s="54" t="n">
        <f aca="false" t="array" ref="F79:F79">IFERROR(INDEX('Bad Bins'!$J$2:$J$252,MATCH($A79,'Bad Bins'!$A$2:$A$252,0)),IFERROR(INDEX('Bad Bins'!$J$2:$J$252,MATCH(SUBSTITUTE($A79," SS","  SS"),'Bad Bins'!$A$2:$A$252,0)),"NA"))</f>
        <v>7</v>
      </c>
      <c r="G79" s="54" t="str">
        <f aca="false" t="array" ref="G79:G79">IFERROR(INDEX('RSTO &gt; 48hrs'!$G$2:$G$134,MATCH($A79,'RSTO &gt; 48hrs'!$A$2:$A$134,0)),IFERROR(INDEX('RSTO &gt; 48hrs'!$G$2:$G$134,MATCH(SUBSTITUTE($A79," SS","  SS"),'RSTO &gt; 48hrs'!$A$2:$A$134,0)),"NA"))</f>
        <v>NA</v>
      </c>
      <c r="H79" s="54" t="n">
        <f aca="false" t="array" ref="H79:H79">IFERROR(INDEX('Recirculation &gt; 24 hrs'!$J$2:$J$150,MATCH($A79,'Recirculation &gt; 24 hrs'!$A$2:$A$150,0)),IFERROR(INDEX('Recirculation &gt; 24 hrs'!$J$2:$J$150,MATCH(SUBSTITUTE($A79," SS","  SS"),'Recirculation &gt; 24 hrs'!$A$2:$A$150,0)),"NA"))</f>
        <v>300</v>
      </c>
      <c r="I79" s="54" t="n">
        <f aca="false" t="array" ref="I79:I79">IFERROR(INDEX('Pending Putaway'!$D$2:$D$255,MATCH($A79,'Pending Putaway'!$A$2:$A$255,0)),IFERROR(INDEX('Pending Putaway'!$D$2:$D$255,MATCH(SUBSTITUTE($A79," SS","  SS"),'Pending Putaway'!$A$2:$A$255,0)),"NA"))</f>
        <v>0</v>
      </c>
      <c r="J79" s="54" t="n">
        <f aca="false" t="array" ref="J79:J79">IFERROR(INDEX('Pending Putaway'!$K$2:$K$255,MATCH($A79,'Pending Putaway'!$A$2:$A$255,0)),IFERROR(INDEX('Pending Putaway'!$K$2:$K$255,MATCH(SUBSTITUTE($A79," SS","  SS"),'Pending Putaway'!$A$2:$A$255,0)),"NA"))</f>
        <v>0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customFormat="false" ht="15.75" hidden="false" customHeight="true" outlineLevel="0" collapsed="false">
      <c r="A80" s="54" t="s">
        <v>184</v>
      </c>
      <c r="B80" s="54" t="str">
        <f aca="false" t="array" ref="B80:B80">IFERROR(INDEX('CLM &amp; IM Mapping'!$B$2:$B$270,MATCH($A80,'CLM &amp; IM Mapping'!$A$2:$A$270,0)),"Not Mapped")</f>
        <v>Arun Raj</v>
      </c>
      <c r="C80" s="54" t="str">
        <f aca="false" t="array" ref="C80:C80">IFERROR(INDEX('CLM &amp; IM Mapping'!$C$2:$C$270,MATCH($A80,'CLM &amp; IM Mapping'!$A$2:$A$270,0)),"Not Mapped")</f>
        <v>Simon Manoharan</v>
      </c>
      <c r="D80" s="55" t="n">
        <f aca="false" t="array" ref="D80:D80">IFERROR(INDEX(Shrinkage!$O$2:$O$260,MATCH($A80,Shrinkage!$C$2:$C$260,0)),IFERROR(INDEX(Shrinkage!$O$2:$O$260,MATCH(SUBSTITUTE($A80," SS","  SS"),Shrinkage!$C$2:$C$260,0)),"NA"))</f>
        <v>0</v>
      </c>
      <c r="E80" s="56" t="n">
        <f aca="false" t="array" ref="E80:E80">IFERROR(INDEX('Inventory Hygiene'!$I$2:$I$252,MATCH($A80,'Inventory Hygiene'!$A$2:$A$252,0)),IFERROR(INDEX('Inventory Hygiene'!$I$2:$I$252,MATCH(SUBSTITUTE($A80," SS","  SS"),'Inventory Hygiene'!$A$2:$A$252,0)),"NA"))</f>
        <v>0</v>
      </c>
      <c r="F80" s="54" t="n">
        <f aca="false" t="array" ref="F80:F80">IFERROR(INDEX('Bad Bins'!$J$2:$J$252,MATCH($A80,'Bad Bins'!$A$2:$A$252,0)),IFERROR(INDEX('Bad Bins'!$J$2:$J$252,MATCH(SUBSTITUTE($A80," SS","  SS"),'Bad Bins'!$A$2:$A$252,0)),"NA"))</f>
        <v>0</v>
      </c>
      <c r="G80" s="54" t="str">
        <f aca="false" t="array" ref="G80:G80">IFERROR(INDEX('RSTO &gt; 48hrs'!$G$2:$G$134,MATCH($A80,'RSTO &gt; 48hrs'!$A$2:$A$134,0)),IFERROR(INDEX('RSTO &gt; 48hrs'!$G$2:$G$134,MATCH(SUBSTITUTE($A80," SS","  SS"),'RSTO &gt; 48hrs'!$A$2:$A$134,0)),"NA"))</f>
        <v>NA</v>
      </c>
      <c r="H80" s="54" t="str">
        <f aca="false" t="array" ref="H80:H80">IFERROR(INDEX('Recirculation &gt; 24 hrs'!$J$2:$J$150,MATCH($A80,'Recirculation &gt; 24 hrs'!$A$2:$A$150,0)),IFERROR(INDEX('Recirculation &gt; 24 hrs'!$J$2:$J$150,MATCH(SUBSTITUTE($A80," SS","  SS"),'Recirculation &gt; 24 hrs'!$A$2:$A$150,0)),"NA"))</f>
        <v>NA</v>
      </c>
      <c r="I80" s="54" t="str">
        <f aca="false" t="array" ref="I80:I80">IFERROR(INDEX('Pending Putaway'!$D$2:$D$255,MATCH($A80,'Pending Putaway'!$A$2:$A$255,0)),IFERROR(INDEX('Pending Putaway'!$D$2:$D$255,MATCH(SUBSTITUTE($A80," SS","  SS"),'Pending Putaway'!$A$2:$A$255,0)),"NA"))</f>
        <v>NA</v>
      </c>
      <c r="J80" s="54" t="str">
        <f aca="false" t="array" ref="J80:J80">IFERROR(INDEX('Pending Putaway'!$K$2:$K$255,MATCH($A80,'Pending Putaway'!$A$2:$A$255,0)),IFERROR(INDEX('Pending Putaway'!$K$2:$K$255,MATCH(SUBSTITUTE($A80," SS","  SS"),'Pending Putaway'!$A$2:$A$255,0)),"NA"))</f>
        <v>NA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customFormat="false" ht="15.75" hidden="false" customHeight="true" outlineLevel="0" collapsed="false">
      <c r="A81" s="54" t="s">
        <v>109</v>
      </c>
      <c r="B81" s="54" t="str">
        <f aca="false" t="array" ref="B81:B81">IFERROR(INDEX('CLM &amp; IM Mapping'!$B$2:$B$270,MATCH($A81,'CLM &amp; IM Mapping'!$A$2:$A$270,0)),"Not Mapped")</f>
        <v>Arun Raj</v>
      </c>
      <c r="C81" s="54" t="str">
        <f aca="false" t="array" ref="C81:C81">IFERROR(INDEX('CLM &amp; IM Mapping'!$C$2:$C$270,MATCH($A81,'CLM &amp; IM Mapping'!$A$2:$A$270,0)),"Not Mapped")</f>
        <v>Simon Manoharan</v>
      </c>
      <c r="D81" s="55" t="n">
        <f aca="false" t="array" ref="D81:D81">IFERROR(INDEX(Shrinkage!$O$2:$O$260,MATCH($A81,Shrinkage!$C$2:$C$260,0)),IFERROR(INDEX(Shrinkage!$O$2:$O$260,MATCH(SUBSTITUTE($A81," SS","  SS"),Shrinkage!$C$2:$C$260,0)),"NA"))</f>
        <v>16158</v>
      </c>
      <c r="E81" s="56" t="n">
        <f aca="false" t="array" ref="E81:E81">IFERROR(INDEX('Inventory Hygiene'!$I$2:$I$252,MATCH($A81,'Inventory Hygiene'!$A$2:$A$252,0)),IFERROR(INDEX('Inventory Hygiene'!$I$2:$I$252,MATCH(SUBSTITUTE($A81," SS","  SS"),'Inventory Hygiene'!$A$2:$A$252,0)),"NA"))</f>
        <v>0.27</v>
      </c>
      <c r="F81" s="54" t="n">
        <f aca="false" t="array" ref="F81:F81">IFERROR(INDEX('Bad Bins'!$J$2:$J$252,MATCH($A81,'Bad Bins'!$A$2:$A$252,0)),IFERROR(INDEX('Bad Bins'!$J$2:$J$252,MATCH(SUBSTITUTE($A81," SS","  SS"),'Bad Bins'!$A$2:$A$252,0)),"NA"))</f>
        <v>18</v>
      </c>
      <c r="G81" s="54" t="n">
        <f aca="false" t="array" ref="G81:G81">IFERROR(INDEX('RSTO &gt; 48hrs'!$G$2:$G$134,MATCH($A81,'RSTO &gt; 48hrs'!$A$2:$A$134,0)),IFERROR(INDEX('RSTO &gt; 48hrs'!$G$2:$G$134,MATCH(SUBSTITUTE($A81," SS","  SS"),'RSTO &gt; 48hrs'!$A$2:$A$134,0)),"NA"))</f>
        <v>2</v>
      </c>
      <c r="H81" s="54" t="n">
        <f aca="false" t="array" ref="H81:H81">IFERROR(INDEX('Recirculation &gt; 24 hrs'!$J$2:$J$150,MATCH($A81,'Recirculation &gt; 24 hrs'!$A$2:$A$150,0)),IFERROR(INDEX('Recirculation &gt; 24 hrs'!$J$2:$J$150,MATCH(SUBSTITUTE($A81," SS","  SS"),'Recirculation &gt; 24 hrs'!$A$2:$A$150,0)),"NA"))</f>
        <v>299</v>
      </c>
      <c r="I81" s="54" t="n">
        <f aca="false" t="array" ref="I81:I81">IFERROR(INDEX('Pending Putaway'!$D$2:$D$255,MATCH($A81,'Pending Putaway'!$A$2:$A$255,0)),IFERROR(INDEX('Pending Putaway'!$D$2:$D$255,MATCH(SUBSTITUTE($A81," SS","  SS"),'Pending Putaway'!$A$2:$A$255,0)),"NA"))</f>
        <v>339</v>
      </c>
      <c r="J81" s="54" t="n">
        <f aca="false" t="array" ref="J81:J81">IFERROR(INDEX('Pending Putaway'!$K$2:$K$255,MATCH($A81,'Pending Putaway'!$A$2:$A$255,0)),IFERROR(INDEX('Pending Putaway'!$K$2:$K$255,MATCH(SUBSTITUTE($A81," SS","  SS"),'Pending Putaway'!$A$2:$A$255,0)),"NA"))</f>
        <v>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customFormat="false" ht="15.75" hidden="false" customHeight="true" outlineLevel="0" collapsed="false">
      <c r="A82" s="54" t="s">
        <v>270</v>
      </c>
      <c r="B82" s="54" t="str">
        <f aca="false" t="array" ref="B82:B82">IFERROR(INDEX('CLM &amp; IM Mapping'!$B$2:$B$270,MATCH($A82,'CLM &amp; IM Mapping'!$A$2:$A$270,0)),"Not Mapped")</f>
        <v>Arun Raj</v>
      </c>
      <c r="C82" s="54" t="str">
        <f aca="false" t="array" ref="C82:C82">IFERROR(INDEX('CLM &amp; IM Mapping'!$C$2:$C$270,MATCH($A82,'CLM &amp; IM Mapping'!$A$2:$A$270,0)),"Not Mapped")</f>
        <v>Simon Manoharan</v>
      </c>
      <c r="D82" s="55" t="n">
        <f aca="false" t="array" ref="D82:D82">IFERROR(INDEX(Shrinkage!$O$2:$O$260,MATCH($A82,Shrinkage!$C$2:$C$260,0)),IFERROR(INDEX(Shrinkage!$O$2:$O$260,MATCH(SUBSTITUTE($A82," SS","  SS"),Shrinkage!$C$2:$C$260,0)),"NA"))</f>
        <v>-11397</v>
      </c>
      <c r="E82" s="56" t="n">
        <f aca="false" t="array" ref="E82:E82">IFERROR(INDEX('Inventory Hygiene'!$I$2:$I$252,MATCH($A82,'Inventory Hygiene'!$A$2:$A$252,0)),IFERROR(INDEX('Inventory Hygiene'!$I$2:$I$252,MATCH(SUBSTITUTE($A82," SS","  SS"),'Inventory Hygiene'!$A$2:$A$252,0)),"NA"))</f>
        <v>0.36</v>
      </c>
      <c r="F82" s="54" t="n">
        <f aca="false" t="array" ref="F82:F82">IFERROR(INDEX('Bad Bins'!$J$2:$J$252,MATCH($A82,'Bad Bins'!$A$2:$A$252,0)),IFERROR(INDEX('Bad Bins'!$J$2:$J$252,MATCH(SUBSTITUTE($A82," SS","  SS"),'Bad Bins'!$A$2:$A$252,0)),"NA"))</f>
        <v>20</v>
      </c>
      <c r="G82" s="54" t="n">
        <f aca="false" t="array" ref="G82:G82">IFERROR(INDEX('RSTO &gt; 48hrs'!$G$2:$G$134,MATCH($A82,'RSTO &gt; 48hrs'!$A$2:$A$134,0)),IFERROR(INDEX('RSTO &gt; 48hrs'!$G$2:$G$134,MATCH(SUBSTITUTE($A82," SS","  SS"),'RSTO &gt; 48hrs'!$A$2:$A$134,0)),"NA"))</f>
        <v>35</v>
      </c>
      <c r="H82" s="54" t="n">
        <f aca="false" t="array" ref="H82:H82">IFERROR(INDEX('Recirculation &gt; 24 hrs'!$J$2:$J$150,MATCH($A82,'Recirculation &gt; 24 hrs'!$A$2:$A$150,0)),IFERROR(INDEX('Recirculation &gt; 24 hrs'!$J$2:$J$150,MATCH(SUBSTITUTE($A82," SS","  SS"),'Recirculation &gt; 24 hrs'!$A$2:$A$150,0)),"NA"))</f>
        <v>306</v>
      </c>
      <c r="I82" s="54" t="n">
        <f aca="false" t="array" ref="I82:I82">IFERROR(INDEX('Pending Putaway'!$D$2:$D$255,MATCH($A82,'Pending Putaway'!$A$2:$A$255,0)),IFERROR(INDEX('Pending Putaway'!$D$2:$D$255,MATCH(SUBSTITUTE($A82," SS","  SS"),'Pending Putaway'!$A$2:$A$255,0)),"NA"))</f>
        <v>0</v>
      </c>
      <c r="J82" s="54" t="n">
        <f aca="false" t="array" ref="J82:J82">IFERROR(INDEX('Pending Putaway'!$K$2:$K$255,MATCH($A82,'Pending Putaway'!$A$2:$A$255,0)),IFERROR(INDEX('Pending Putaway'!$K$2:$K$255,MATCH(SUBSTITUTE($A82," SS","  SS"),'Pending Putaway'!$A$2:$A$255,0)),"NA"))</f>
        <v>0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customFormat="false" ht="15.75" hidden="false" customHeight="true" outlineLevel="0" collapsed="false">
      <c r="A83" s="54" t="s">
        <v>81</v>
      </c>
      <c r="B83" s="54" t="str">
        <f aca="false" t="array" ref="B83:B83">IFERROR(INDEX('CLM &amp; IM Mapping'!$B$2:$B$270,MATCH($A83,'CLM &amp; IM Mapping'!$A$2:$A$270,0)),"Not Mapped")</f>
        <v>Arun Raj</v>
      </c>
      <c r="C83" s="54" t="str">
        <f aca="false" t="array" ref="C83:C83">IFERROR(INDEX('CLM &amp; IM Mapping'!$C$2:$C$270,MATCH($A83,'CLM &amp; IM Mapping'!$A$2:$A$270,0)),"Not Mapped")</f>
        <v>Simon Manoharan</v>
      </c>
      <c r="D83" s="55" t="n">
        <f aca="false" t="array" ref="D83:D83">IFERROR(INDEX(Shrinkage!$O$2:$O$260,MATCH($A83,Shrinkage!$C$2:$C$260,0)),IFERROR(INDEX(Shrinkage!$O$2:$O$260,MATCH(SUBSTITUTE($A83," SS","  SS"),Shrinkage!$C$2:$C$260,0)),"NA"))</f>
        <v>28651</v>
      </c>
      <c r="E83" s="56" t="n">
        <f aca="false" t="array" ref="E83:E83">IFERROR(INDEX('Inventory Hygiene'!$I$2:$I$252,MATCH($A83,'Inventory Hygiene'!$A$2:$A$252,0)),IFERROR(INDEX('Inventory Hygiene'!$I$2:$I$252,MATCH(SUBSTITUTE($A83," SS","  SS"),'Inventory Hygiene'!$A$2:$A$252,0)),"NA"))</f>
        <v>0.21</v>
      </c>
      <c r="F83" s="54" t="n">
        <f aca="false" t="array" ref="F83:F83">IFERROR(INDEX('Bad Bins'!$J$2:$J$252,MATCH($A83,'Bad Bins'!$A$2:$A$252,0)),IFERROR(INDEX('Bad Bins'!$J$2:$J$252,MATCH(SUBSTITUTE($A83," SS","  SS"),'Bad Bins'!$A$2:$A$252,0)),"NA"))</f>
        <v>49</v>
      </c>
      <c r="G83" s="54" t="n">
        <f aca="false" t="array" ref="G83:G83">IFERROR(INDEX('RSTO &gt; 48hrs'!$G$2:$G$134,MATCH($A83,'RSTO &gt; 48hrs'!$A$2:$A$134,0)),IFERROR(INDEX('RSTO &gt; 48hrs'!$G$2:$G$134,MATCH(SUBSTITUTE($A83," SS","  SS"),'RSTO &gt; 48hrs'!$A$2:$A$134,0)),"NA"))</f>
        <v>26</v>
      </c>
      <c r="H83" s="54" t="n">
        <f aca="false" t="array" ref="H83:H83">IFERROR(INDEX('Recirculation &gt; 24 hrs'!$J$2:$J$150,MATCH($A83,'Recirculation &gt; 24 hrs'!$A$2:$A$150,0)),IFERROR(INDEX('Recirculation &gt; 24 hrs'!$J$2:$J$150,MATCH(SUBSTITUTE($A83," SS","  SS"),'Recirculation &gt; 24 hrs'!$A$2:$A$150,0)),"NA"))</f>
        <v>299</v>
      </c>
      <c r="I83" s="54" t="n">
        <f aca="false" t="array" ref="I83:I83">IFERROR(INDEX('Pending Putaway'!$D$2:$D$255,MATCH($A83,'Pending Putaway'!$A$2:$A$255,0)),IFERROR(INDEX('Pending Putaway'!$D$2:$D$255,MATCH(SUBSTITUTE($A83," SS","  SS"),'Pending Putaway'!$A$2:$A$255,0)),"NA"))</f>
        <v>869</v>
      </c>
      <c r="J83" s="54" t="n">
        <f aca="false" t="array" ref="J83:J83">IFERROR(INDEX('Pending Putaway'!$K$2:$K$255,MATCH($A83,'Pending Putaway'!$A$2:$A$255,0)),IFERROR(INDEX('Pending Putaway'!$K$2:$K$255,MATCH(SUBSTITUTE($A83," SS","  SS"),'Pending Putaway'!$A$2:$A$255,0)),"NA"))</f>
        <v>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customFormat="false" ht="15.75" hidden="false" customHeight="true" outlineLevel="0" collapsed="false">
      <c r="A84" s="54" t="s">
        <v>197</v>
      </c>
      <c r="B84" s="54" t="str">
        <f aca="false" t="array" ref="B84:B84">IFERROR(INDEX('CLM &amp; IM Mapping'!$B$2:$B$270,MATCH($A84,'CLM &amp; IM Mapping'!$A$2:$A$270,0)),"Not Mapped")</f>
        <v>Arun Raj</v>
      </c>
      <c r="C84" s="54" t="str">
        <f aca="false" t="array" ref="C84:C84">IFERROR(INDEX('CLM &amp; IM Mapping'!$C$2:$C$270,MATCH($A84,'CLM &amp; IM Mapping'!$A$2:$A$270,0)),"Not Mapped")</f>
        <v>Simon Manoharan</v>
      </c>
      <c r="D84" s="55" t="n">
        <f aca="false" t="array" ref="D84:D84">IFERROR(INDEX(Shrinkage!$O$2:$O$260,MATCH($A84,Shrinkage!$C$2:$C$260,0)),IFERROR(INDEX(Shrinkage!$O$2:$O$260,MATCH(SUBSTITUTE($A84," SS","  SS"),Shrinkage!$C$2:$C$260,0)),"NA"))</f>
        <v>-1245</v>
      </c>
      <c r="E84" s="56" t="n">
        <f aca="false" t="array" ref="E84:E84">IFERROR(INDEX('Inventory Hygiene'!$I$2:$I$252,MATCH($A84,'Inventory Hygiene'!$A$2:$A$252,0)),IFERROR(INDEX('Inventory Hygiene'!$I$2:$I$252,MATCH(SUBSTITUTE($A84," SS","  SS"),'Inventory Hygiene'!$A$2:$A$252,0)),"NA"))</f>
        <v>0.4</v>
      </c>
      <c r="F84" s="54" t="n">
        <f aca="false" t="array" ref="F84:F84">IFERROR(INDEX('Bad Bins'!$J$2:$J$252,MATCH($A84,'Bad Bins'!$A$2:$A$252,0)),IFERROR(INDEX('Bad Bins'!$J$2:$J$252,MATCH(SUBSTITUTE($A84," SS","  SS"),'Bad Bins'!$A$2:$A$252,0)),"NA"))</f>
        <v>0</v>
      </c>
      <c r="G84" s="54" t="n">
        <f aca="false" t="array" ref="G84:G84">IFERROR(INDEX('RSTO &gt; 48hrs'!$G$2:$G$134,MATCH($A84,'RSTO &gt; 48hrs'!$A$2:$A$134,0)),IFERROR(INDEX('RSTO &gt; 48hrs'!$G$2:$G$134,MATCH(SUBSTITUTE($A84," SS","  SS"),'RSTO &gt; 48hrs'!$A$2:$A$134,0)),"NA"))</f>
        <v>7</v>
      </c>
      <c r="H84" s="54" t="n">
        <f aca="false" t="array" ref="H84:H84">IFERROR(INDEX('Recirculation &gt; 24 hrs'!$J$2:$J$150,MATCH($A84,'Recirculation &gt; 24 hrs'!$A$2:$A$150,0)),IFERROR(INDEX('Recirculation &gt; 24 hrs'!$J$2:$J$150,MATCH(SUBSTITUTE($A84," SS","  SS"),'Recirculation &gt; 24 hrs'!$A$2:$A$150,0)),"NA"))</f>
        <v>299</v>
      </c>
      <c r="I84" s="54" t="n">
        <f aca="false" t="array" ref="I84:I84">IFERROR(INDEX('Pending Putaway'!$D$2:$D$255,MATCH($A84,'Pending Putaway'!$A$2:$A$255,0)),IFERROR(INDEX('Pending Putaway'!$D$2:$D$255,MATCH(SUBSTITUTE($A84," SS","  SS"),'Pending Putaway'!$A$2:$A$255,0)),"NA"))</f>
        <v>555</v>
      </c>
      <c r="J84" s="54" t="n">
        <f aca="false" t="array" ref="J84:J84">IFERROR(INDEX('Pending Putaway'!$K$2:$K$255,MATCH($A84,'Pending Putaway'!$A$2:$A$255,0)),IFERROR(INDEX('Pending Putaway'!$K$2:$K$255,MATCH(SUBSTITUTE($A84," SS","  SS"),'Pending Putaway'!$A$2:$A$255,0)),"NA"))</f>
        <v>0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customFormat="false" ht="15.75" hidden="false" customHeight="true" outlineLevel="0" collapsed="false">
      <c r="A85" s="54" t="s">
        <v>172</v>
      </c>
      <c r="B85" s="54" t="str">
        <f aca="false" t="array" ref="B85:B85">IFERROR(INDEX('CLM &amp; IM Mapping'!$B$2:$B$270,MATCH($A85,'CLM &amp; IM Mapping'!$A$2:$A$270,0)),"Not Mapped")</f>
        <v>Arun Raj</v>
      </c>
      <c r="C85" s="54" t="str">
        <f aca="false" t="array" ref="C85:C85">IFERROR(INDEX('CLM &amp; IM Mapping'!$C$2:$C$270,MATCH($A85,'CLM &amp; IM Mapping'!$A$2:$A$270,0)),"Not Mapped")</f>
        <v>Simon Manoharan</v>
      </c>
      <c r="D85" s="55" t="n">
        <f aca="false" t="array" ref="D85:D85">IFERROR(INDEX(Shrinkage!$O$2:$O$260,MATCH($A85,Shrinkage!$C$2:$C$260,0)),IFERROR(INDEX(Shrinkage!$O$2:$O$260,MATCH(SUBSTITUTE($A85," SS","  SS"),Shrinkage!$C$2:$C$260,0)),"NA"))</f>
        <v>1092</v>
      </c>
      <c r="E85" s="56" t="n">
        <f aca="false" t="array" ref="E85:E85">IFERROR(INDEX('Inventory Hygiene'!$I$2:$I$252,MATCH($A85,'Inventory Hygiene'!$A$2:$A$252,0)),IFERROR(INDEX('Inventory Hygiene'!$I$2:$I$252,MATCH(SUBSTITUTE($A85," SS","  SS"),'Inventory Hygiene'!$A$2:$A$252,0)),"NA"))</f>
        <v>0.23</v>
      </c>
      <c r="F85" s="54" t="n">
        <f aca="false" t="array" ref="F85:F85">IFERROR(INDEX('Bad Bins'!$J$2:$J$252,MATCH($A85,'Bad Bins'!$A$2:$A$252,0)),IFERROR(INDEX('Bad Bins'!$J$2:$J$252,MATCH(SUBSTITUTE($A85," SS","  SS"),'Bad Bins'!$A$2:$A$252,0)),"NA"))</f>
        <v>1</v>
      </c>
      <c r="G85" s="54" t="n">
        <f aca="false" t="array" ref="G85:G85">IFERROR(INDEX('RSTO &gt; 48hrs'!$G$2:$G$134,MATCH($A85,'RSTO &gt; 48hrs'!$A$2:$A$134,0)),IFERROR(INDEX('RSTO &gt; 48hrs'!$G$2:$G$134,MATCH(SUBSTITUTE($A85," SS","  SS"),'RSTO &gt; 48hrs'!$A$2:$A$134,0)),"NA"))</f>
        <v>2</v>
      </c>
      <c r="H85" s="54" t="n">
        <f aca="false" t="array" ref="H85:H85">IFERROR(INDEX('Recirculation &gt; 24 hrs'!$J$2:$J$150,MATCH($A85,'Recirculation &gt; 24 hrs'!$A$2:$A$150,0)),IFERROR(INDEX('Recirculation &gt; 24 hrs'!$J$2:$J$150,MATCH(SUBSTITUTE($A85," SS","  SS"),'Recirculation &gt; 24 hrs'!$A$2:$A$150,0)),"NA"))</f>
        <v>354</v>
      </c>
      <c r="I85" s="54" t="n">
        <f aca="false" t="array" ref="I85:I85">IFERROR(INDEX('Pending Putaway'!$D$2:$D$255,MATCH($A85,'Pending Putaway'!$A$2:$A$255,0)),IFERROR(INDEX('Pending Putaway'!$D$2:$D$255,MATCH(SUBSTITUTE($A85," SS","  SS"),'Pending Putaway'!$A$2:$A$255,0)),"NA"))</f>
        <v>337</v>
      </c>
      <c r="J85" s="54" t="n">
        <f aca="false" t="array" ref="J85:J85">IFERROR(INDEX('Pending Putaway'!$K$2:$K$255,MATCH($A85,'Pending Putaway'!$A$2:$A$255,0)),IFERROR(INDEX('Pending Putaway'!$K$2:$K$255,MATCH(SUBSTITUTE($A85," SS","  SS"),'Pending Putaway'!$A$2:$A$255,0)),"NA"))</f>
        <v>0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customFormat="false" ht="15.75" hidden="false" customHeight="true" outlineLevel="0" collapsed="false">
      <c r="A86" s="54" t="s">
        <v>198</v>
      </c>
      <c r="B86" s="54" t="str">
        <f aca="false" t="array" ref="B86:B86">IFERROR(INDEX('CLM &amp; IM Mapping'!$B$2:$B$270,MATCH($A86,'CLM &amp; IM Mapping'!$A$2:$A$270,0)),"Not Mapped")</f>
        <v>Arun Raj</v>
      </c>
      <c r="C86" s="54" t="str">
        <f aca="false" t="array" ref="C86:C86">IFERROR(INDEX('CLM &amp; IM Mapping'!$C$2:$C$270,MATCH($A86,'CLM &amp; IM Mapping'!$A$2:$A$270,0)),"Not Mapped")</f>
        <v>Simon Manoharan</v>
      </c>
      <c r="D86" s="55" t="n">
        <f aca="false" t="array" ref="D86:D86">IFERROR(INDEX(Shrinkage!$O$2:$O$260,MATCH($A86,Shrinkage!$C$2:$C$260,0)),IFERROR(INDEX(Shrinkage!$O$2:$O$260,MATCH(SUBSTITUTE($A86," SS","  SS"),Shrinkage!$C$2:$C$260,0)),"NA"))</f>
        <v>-1252</v>
      </c>
      <c r="E86" s="56" t="n">
        <f aca="false" t="array" ref="E86:E86">IFERROR(INDEX('Inventory Hygiene'!$I$2:$I$252,MATCH($A86,'Inventory Hygiene'!$A$2:$A$252,0)),IFERROR(INDEX('Inventory Hygiene'!$I$2:$I$252,MATCH(SUBSTITUTE($A86," SS","  SS"),'Inventory Hygiene'!$A$2:$A$252,0)),"NA"))</f>
        <v>0.3</v>
      </c>
      <c r="F86" s="54" t="n">
        <f aca="false" t="array" ref="F86:F86">IFERROR(INDEX('Bad Bins'!$J$2:$J$252,MATCH($A86,'Bad Bins'!$A$2:$A$252,0)),IFERROR(INDEX('Bad Bins'!$J$2:$J$252,MATCH(SUBSTITUTE($A86," SS","  SS"),'Bad Bins'!$A$2:$A$252,0)),"NA"))</f>
        <v>23</v>
      </c>
      <c r="G86" s="54" t="n">
        <f aca="false" t="array" ref="G86:G86">IFERROR(INDEX('RSTO &gt; 48hrs'!$G$2:$G$134,MATCH($A86,'RSTO &gt; 48hrs'!$A$2:$A$134,0)),IFERROR(INDEX('RSTO &gt; 48hrs'!$G$2:$G$134,MATCH(SUBSTITUTE($A86," SS","  SS"),'RSTO &gt; 48hrs'!$A$2:$A$134,0)),"NA"))</f>
        <v>4</v>
      </c>
      <c r="H86" s="54" t="n">
        <f aca="false" t="array" ref="H86:H86">IFERROR(INDEX('Recirculation &gt; 24 hrs'!$J$2:$J$150,MATCH($A86,'Recirculation &gt; 24 hrs'!$A$2:$A$150,0)),IFERROR(INDEX('Recirculation &gt; 24 hrs'!$J$2:$J$150,MATCH(SUBSTITUTE($A86," SS","  SS"),'Recirculation &gt; 24 hrs'!$A$2:$A$150,0)),"NA"))</f>
        <v>418</v>
      </c>
      <c r="I86" s="54" t="n">
        <f aca="false" t="array" ref="I86:I86">IFERROR(INDEX('Pending Putaway'!$D$2:$D$255,MATCH($A86,'Pending Putaway'!$A$2:$A$255,0)),IFERROR(INDEX('Pending Putaway'!$D$2:$D$255,MATCH(SUBSTITUTE($A86," SS","  SS"),'Pending Putaway'!$A$2:$A$255,0)),"NA"))</f>
        <v>403</v>
      </c>
      <c r="J86" s="54" t="n">
        <f aca="false" t="array" ref="J86:J86">IFERROR(INDEX('Pending Putaway'!$K$2:$K$255,MATCH($A86,'Pending Putaway'!$A$2:$A$255,0)),IFERROR(INDEX('Pending Putaway'!$K$2:$K$255,MATCH(SUBSTITUTE($A86," SS","  SS"),'Pending Putaway'!$A$2:$A$255,0)),"NA"))</f>
        <v>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customFormat="false" ht="15.75" hidden="false" customHeight="true" outlineLevel="0" collapsed="false">
      <c r="A87" s="54" t="s">
        <v>177</v>
      </c>
      <c r="B87" s="54" t="str">
        <f aca="false" t="array" ref="B87:B87">IFERROR(INDEX('CLM &amp; IM Mapping'!$B$2:$B$270,MATCH($A87,'CLM &amp; IM Mapping'!$A$2:$A$270,0)),"Not Mapped")</f>
        <v>Arun Raj</v>
      </c>
      <c r="C87" s="54" t="str">
        <f aca="false" t="array" ref="C87:C87">IFERROR(INDEX('CLM &amp; IM Mapping'!$C$2:$C$270,MATCH($A87,'CLM &amp; IM Mapping'!$A$2:$A$270,0)),"Not Mapped")</f>
        <v>Simon Manoharan</v>
      </c>
      <c r="D87" s="55" t="n">
        <f aca="false" t="array" ref="D87:D87">IFERROR(INDEX(Shrinkage!$O$2:$O$260,MATCH($A87,Shrinkage!$C$2:$C$260,0)),IFERROR(INDEX(Shrinkage!$O$2:$O$260,MATCH(SUBSTITUTE($A87," SS","  SS"),Shrinkage!$C$2:$C$260,0)),"NA"))</f>
        <v>513</v>
      </c>
      <c r="E87" s="56" t="n">
        <f aca="false" t="array" ref="E87:E87">IFERROR(INDEX('Inventory Hygiene'!$I$2:$I$252,MATCH($A87,'Inventory Hygiene'!$A$2:$A$252,0)),IFERROR(INDEX('Inventory Hygiene'!$I$2:$I$252,MATCH(SUBSTITUTE($A87," SS","  SS"),'Inventory Hygiene'!$A$2:$A$252,0)),"NA"))</f>
        <v>0.23</v>
      </c>
      <c r="F87" s="54" t="n">
        <f aca="false" t="array" ref="F87:F87">IFERROR(INDEX('Bad Bins'!$J$2:$J$252,MATCH($A87,'Bad Bins'!$A$2:$A$252,0)),IFERROR(INDEX('Bad Bins'!$J$2:$J$252,MATCH(SUBSTITUTE($A87," SS","  SS"),'Bad Bins'!$A$2:$A$252,0)),"NA"))</f>
        <v>18</v>
      </c>
      <c r="G87" s="54" t="n">
        <f aca="false" t="array" ref="G87:G87">IFERROR(INDEX('RSTO &gt; 48hrs'!$G$2:$G$134,MATCH($A87,'RSTO &gt; 48hrs'!$A$2:$A$134,0)),IFERROR(INDEX('RSTO &gt; 48hrs'!$G$2:$G$134,MATCH(SUBSTITUTE($A87," SS","  SS"),'RSTO &gt; 48hrs'!$A$2:$A$134,0)),"NA"))</f>
        <v>17</v>
      </c>
      <c r="H87" s="54" t="n">
        <f aca="false" t="array" ref="H87:H87">IFERROR(INDEX('Recirculation &gt; 24 hrs'!$J$2:$J$150,MATCH($A87,'Recirculation &gt; 24 hrs'!$A$2:$A$150,0)),IFERROR(INDEX('Recirculation &gt; 24 hrs'!$J$2:$J$150,MATCH(SUBSTITUTE($A87," SS","  SS"),'Recirculation &gt; 24 hrs'!$A$2:$A$150,0)),"NA"))</f>
        <v>300</v>
      </c>
      <c r="I87" s="54" t="n">
        <f aca="false" t="array" ref="I87:I87">IFERROR(INDEX('Pending Putaway'!$D$2:$D$255,MATCH($A87,'Pending Putaway'!$A$2:$A$255,0)),IFERROR(INDEX('Pending Putaway'!$D$2:$D$255,MATCH(SUBSTITUTE($A87," SS","  SS"),'Pending Putaway'!$A$2:$A$255,0)),"NA"))</f>
        <v>0</v>
      </c>
      <c r="J87" s="54" t="n">
        <f aca="false" t="array" ref="J87:J87">IFERROR(INDEX('Pending Putaway'!$K$2:$K$255,MATCH($A87,'Pending Putaway'!$A$2:$A$255,0)),IFERROR(INDEX('Pending Putaway'!$K$2:$K$255,MATCH(SUBSTITUTE($A87," SS","  SS"),'Pending Putaway'!$A$2:$A$255,0)),"NA"))</f>
        <v>0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customFormat="false" ht="15.75" hidden="false" customHeight="true" outlineLevel="0" collapsed="false">
      <c r="A88" s="54" t="s">
        <v>117</v>
      </c>
      <c r="B88" s="54" t="str">
        <f aca="false" t="array" ref="B88:B88">IFERROR(INDEX('CLM &amp; IM Mapping'!$B$2:$B$270,MATCH($A88,'CLM &amp; IM Mapping'!$A$2:$A$270,0)),"Not Mapped")</f>
        <v>Arun Raj</v>
      </c>
      <c r="C88" s="54" t="str">
        <f aca="false" t="array" ref="C88:C88">IFERROR(INDEX('CLM &amp; IM Mapping'!$C$2:$C$270,MATCH($A88,'CLM &amp; IM Mapping'!$A$2:$A$270,0)),"Not Mapped")</f>
        <v>Simon Manoharan</v>
      </c>
      <c r="D88" s="55" t="n">
        <f aca="false" t="array" ref="D88:D88">IFERROR(INDEX(Shrinkage!$O$2:$O$260,MATCH($A88,Shrinkage!$C$2:$C$260,0)),IFERROR(INDEX(Shrinkage!$O$2:$O$260,MATCH(SUBSTITUTE($A88," SS","  SS"),Shrinkage!$C$2:$C$260,0)),"NA"))</f>
        <v>11936</v>
      </c>
      <c r="E88" s="56" t="n">
        <f aca="false" t="array" ref="E88:E88">IFERROR(INDEX('Inventory Hygiene'!$I$2:$I$252,MATCH($A88,'Inventory Hygiene'!$A$2:$A$252,0)),IFERROR(INDEX('Inventory Hygiene'!$I$2:$I$252,MATCH(SUBSTITUTE($A88," SS","  SS"),'Inventory Hygiene'!$A$2:$A$252,0)),"NA"))</f>
        <v>0.37</v>
      </c>
      <c r="F88" s="54" t="n">
        <f aca="false" t="array" ref="F88:F88">IFERROR(INDEX('Bad Bins'!$J$2:$J$252,MATCH($A88,'Bad Bins'!$A$2:$A$252,0)),IFERROR(INDEX('Bad Bins'!$J$2:$J$252,MATCH(SUBSTITUTE($A88," SS","  SS"),'Bad Bins'!$A$2:$A$252,0)),"NA"))</f>
        <v>10</v>
      </c>
      <c r="G88" s="54" t="n">
        <f aca="false" t="array" ref="G88:G88">IFERROR(INDEX('RSTO &gt; 48hrs'!$G$2:$G$134,MATCH($A88,'RSTO &gt; 48hrs'!$A$2:$A$134,0)),IFERROR(INDEX('RSTO &gt; 48hrs'!$G$2:$G$134,MATCH(SUBSTITUTE($A88," SS","  SS"),'RSTO &gt; 48hrs'!$A$2:$A$134,0)),"NA"))</f>
        <v>8</v>
      </c>
      <c r="H88" s="54" t="n">
        <f aca="false" t="array" ref="H88:H88">IFERROR(INDEX('Recirculation &gt; 24 hrs'!$J$2:$J$150,MATCH($A88,'Recirculation &gt; 24 hrs'!$A$2:$A$150,0)),IFERROR(INDEX('Recirculation &gt; 24 hrs'!$J$2:$J$150,MATCH(SUBSTITUTE($A88," SS","  SS"),'Recirculation &gt; 24 hrs'!$A$2:$A$150,0)),"NA"))</f>
        <v>300</v>
      </c>
      <c r="I88" s="54" t="n">
        <f aca="false" t="array" ref="I88:I88">IFERROR(INDEX('Pending Putaway'!$D$2:$D$255,MATCH($A88,'Pending Putaway'!$A$2:$A$255,0)),IFERROR(INDEX('Pending Putaway'!$D$2:$D$255,MATCH(SUBSTITUTE($A88," SS","  SS"),'Pending Putaway'!$A$2:$A$255,0)),"NA"))</f>
        <v>15</v>
      </c>
      <c r="J88" s="54" t="n">
        <f aca="false" t="array" ref="J88:J88">IFERROR(INDEX('Pending Putaway'!$K$2:$K$255,MATCH($A88,'Pending Putaway'!$A$2:$A$255,0)),IFERROR(INDEX('Pending Putaway'!$K$2:$K$255,MATCH(SUBSTITUTE($A88," SS","  SS"),'Pending Putaway'!$A$2:$A$255,0)),"NA"))</f>
        <v>15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customFormat="false" ht="15.75" hidden="false" customHeight="true" outlineLevel="0" collapsed="false">
      <c r="A89" s="54" t="s">
        <v>67</v>
      </c>
      <c r="B89" s="54" t="str">
        <f aca="false" t="array" ref="B89:B89">IFERROR(INDEX('CLM &amp; IM Mapping'!$B$2:$B$270,MATCH($A89,'CLM &amp; IM Mapping'!$A$2:$A$270,0)),"Not Mapped")</f>
        <v>Arun Raj</v>
      </c>
      <c r="C89" s="54" t="str">
        <f aca="false" t="array" ref="C89:C89">IFERROR(INDEX('CLM &amp; IM Mapping'!$C$2:$C$270,MATCH($A89,'CLM &amp; IM Mapping'!$A$2:$A$270,0)),"Not Mapped")</f>
        <v>Simon Manoharan</v>
      </c>
      <c r="D89" s="55" t="n">
        <f aca="false" t="array" ref="D89:D89">IFERROR(INDEX(Shrinkage!$O$2:$O$260,MATCH($A89,Shrinkage!$C$2:$C$260,0)),IFERROR(INDEX(Shrinkage!$O$2:$O$260,MATCH(SUBSTITUTE($A89," SS","  SS"),Shrinkage!$C$2:$C$260,0)),"NA"))</f>
        <v>38336</v>
      </c>
      <c r="E89" s="56" t="n">
        <f aca="false" t="array" ref="E89:E89">IFERROR(INDEX('Inventory Hygiene'!$I$2:$I$252,MATCH($A89,'Inventory Hygiene'!$A$2:$A$252,0)),IFERROR(INDEX('Inventory Hygiene'!$I$2:$I$252,MATCH(SUBSTITUTE($A89," SS","  SS"),'Inventory Hygiene'!$A$2:$A$252,0)),"NA"))</f>
        <v>0.66</v>
      </c>
      <c r="F89" s="54" t="n">
        <f aca="false" t="array" ref="F89:F89">IFERROR(INDEX('Bad Bins'!$J$2:$J$252,MATCH($A89,'Bad Bins'!$A$2:$A$252,0)),IFERROR(INDEX('Bad Bins'!$J$2:$J$252,MATCH(SUBSTITUTE($A89," SS","  SS"),'Bad Bins'!$A$2:$A$252,0)),"NA"))</f>
        <v>22</v>
      </c>
      <c r="G89" s="54" t="n">
        <f aca="false" t="array" ref="G89:G89">IFERROR(INDEX('RSTO &gt; 48hrs'!$G$2:$G$134,MATCH($A89,'RSTO &gt; 48hrs'!$A$2:$A$134,0)),IFERROR(INDEX('RSTO &gt; 48hrs'!$G$2:$G$134,MATCH(SUBSTITUTE($A89," SS","  SS"),'RSTO &gt; 48hrs'!$A$2:$A$134,0)),"NA"))</f>
        <v>217</v>
      </c>
      <c r="H89" s="54" t="n">
        <f aca="false" t="array" ref="H89:H89">IFERROR(INDEX('Recirculation &gt; 24 hrs'!$J$2:$J$150,MATCH($A89,'Recirculation &gt; 24 hrs'!$A$2:$A$150,0)),IFERROR(INDEX('Recirculation &gt; 24 hrs'!$J$2:$J$150,MATCH(SUBSTITUTE($A89," SS","  SS"),'Recirculation &gt; 24 hrs'!$A$2:$A$150,0)),"NA"))</f>
        <v>305</v>
      </c>
      <c r="I89" s="54" t="n">
        <f aca="false" t="array" ref="I89:I89">IFERROR(INDEX('Pending Putaway'!$D$2:$D$255,MATCH($A89,'Pending Putaway'!$A$2:$A$255,0)),IFERROR(INDEX('Pending Putaway'!$D$2:$D$255,MATCH(SUBSTITUTE($A89," SS","  SS"),'Pending Putaway'!$A$2:$A$255,0)),"NA"))</f>
        <v>4802</v>
      </c>
      <c r="J89" s="54" t="n">
        <f aca="false" t="array" ref="J89:J89">IFERROR(INDEX('Pending Putaway'!$K$2:$K$255,MATCH($A89,'Pending Putaway'!$A$2:$A$255,0)),IFERROR(INDEX('Pending Putaway'!$K$2:$K$255,MATCH(SUBSTITUTE($A89," SS","  SS"),'Pending Putaway'!$A$2:$A$255,0)),"NA"))</f>
        <v>103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customFormat="false" ht="15.75" hidden="false" customHeight="true" outlineLevel="0" collapsed="false">
      <c r="A90" s="54" t="s">
        <v>211</v>
      </c>
      <c r="B90" s="54" t="str">
        <f aca="false" t="array" ref="B90:B90">IFERROR(INDEX('CLM &amp; IM Mapping'!$B$2:$B$270,MATCH($A90,'CLM &amp; IM Mapping'!$A$2:$A$270,0)),"Not Mapped")</f>
        <v>Arun Raj</v>
      </c>
      <c r="C90" s="54" t="str">
        <f aca="false" t="array" ref="C90:C90">IFERROR(INDEX('CLM &amp; IM Mapping'!$C$2:$C$270,MATCH($A90,'CLM &amp; IM Mapping'!$A$2:$A$270,0)),"Not Mapped")</f>
        <v>Simon Manoharan</v>
      </c>
      <c r="D90" s="55" t="n">
        <f aca="false" t="array" ref="D90:D90">IFERROR(INDEX(Shrinkage!$O$2:$O$260,MATCH($A90,Shrinkage!$C$2:$C$260,0)),IFERROR(INDEX(Shrinkage!$O$2:$O$260,MATCH(SUBSTITUTE($A90," SS","  SS"),Shrinkage!$C$2:$C$260,0)),"NA"))</f>
        <v>-2443</v>
      </c>
      <c r="E90" s="56" t="n">
        <f aca="false" t="array" ref="E90:E90">IFERROR(INDEX('Inventory Hygiene'!$I$2:$I$252,MATCH($A90,'Inventory Hygiene'!$A$2:$A$252,0)),IFERROR(INDEX('Inventory Hygiene'!$I$2:$I$252,MATCH(SUBSTITUTE($A90," SS","  SS"),'Inventory Hygiene'!$A$2:$A$252,0)),"NA"))</f>
        <v>0.33</v>
      </c>
      <c r="F90" s="54" t="n">
        <f aca="false" t="array" ref="F90:F90">IFERROR(INDEX('Bad Bins'!$J$2:$J$252,MATCH($A90,'Bad Bins'!$A$2:$A$252,0)),IFERROR(INDEX('Bad Bins'!$J$2:$J$252,MATCH(SUBSTITUTE($A90," SS","  SS"),'Bad Bins'!$A$2:$A$252,0)),"NA"))</f>
        <v>4</v>
      </c>
      <c r="G90" s="54" t="n">
        <f aca="false" t="array" ref="G90:G90">IFERROR(INDEX('RSTO &gt; 48hrs'!$G$2:$G$134,MATCH($A90,'RSTO &gt; 48hrs'!$A$2:$A$134,0)),IFERROR(INDEX('RSTO &gt; 48hrs'!$G$2:$G$134,MATCH(SUBSTITUTE($A90," SS","  SS"),'RSTO &gt; 48hrs'!$A$2:$A$134,0)),"NA"))</f>
        <v>113</v>
      </c>
      <c r="H90" s="54" t="n">
        <f aca="false" t="array" ref="H90:H90">IFERROR(INDEX('Recirculation &gt; 24 hrs'!$J$2:$J$150,MATCH($A90,'Recirculation &gt; 24 hrs'!$A$2:$A$150,0)),IFERROR(INDEX('Recirculation &gt; 24 hrs'!$J$2:$J$150,MATCH(SUBSTITUTE($A90," SS","  SS"),'Recirculation &gt; 24 hrs'!$A$2:$A$150,0)),"NA"))</f>
        <v>308</v>
      </c>
      <c r="I90" s="54" t="n">
        <f aca="false" t="array" ref="I90:I90">IFERROR(INDEX('Pending Putaway'!$D$2:$D$255,MATCH($A90,'Pending Putaway'!$A$2:$A$255,0)),IFERROR(INDEX('Pending Putaway'!$D$2:$D$255,MATCH(SUBSTITUTE($A90," SS","  SS"),'Pending Putaway'!$A$2:$A$255,0)),"NA"))</f>
        <v>1258</v>
      </c>
      <c r="J90" s="54" t="n">
        <f aca="false" t="array" ref="J90:J90">IFERROR(INDEX('Pending Putaway'!$K$2:$K$255,MATCH($A90,'Pending Putaway'!$A$2:$A$255,0)),IFERROR(INDEX('Pending Putaway'!$K$2:$K$255,MATCH(SUBSTITUTE($A90," SS","  SS"),'Pending Putaway'!$A$2:$A$255,0)),"NA"))</f>
        <v>6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customFormat="false" ht="15.75" hidden="false" customHeight="true" outlineLevel="0" collapsed="false">
      <c r="A91" s="54" t="s">
        <v>23</v>
      </c>
      <c r="B91" s="54" t="str">
        <f aca="false" t="array" ref="B91:B91">IFERROR(INDEX('CLM &amp; IM Mapping'!$B$2:$B$270,MATCH($A91,'CLM &amp; IM Mapping'!$A$2:$A$270,0)),"Not Mapped")</f>
        <v>Arun Raj</v>
      </c>
      <c r="C91" s="54" t="str">
        <f aca="false" t="array" ref="C91:C91">IFERROR(INDEX('CLM &amp; IM Mapping'!$C$2:$C$270,MATCH($A91,'CLM &amp; IM Mapping'!$A$2:$A$270,0)),"Not Mapped")</f>
        <v>Simon Manoharan</v>
      </c>
      <c r="D91" s="55" t="n">
        <f aca="false" t="array" ref="D91:D91">IFERROR(INDEX(Shrinkage!$O$2:$O$260,MATCH($A91,Shrinkage!$C$2:$C$260,0)),IFERROR(INDEX(Shrinkage!$O$2:$O$260,MATCH(SUBSTITUTE($A91," SS","  SS"),Shrinkage!$C$2:$C$260,0)),"NA"))</f>
        <v>155636</v>
      </c>
      <c r="E91" s="56" t="n">
        <f aca="false" t="array" ref="E91:E91">IFERROR(INDEX('Inventory Hygiene'!$I$2:$I$252,MATCH($A91,'Inventory Hygiene'!$A$2:$A$252,0)),IFERROR(INDEX('Inventory Hygiene'!$I$2:$I$252,MATCH(SUBSTITUTE($A91," SS","  SS"),'Inventory Hygiene'!$A$2:$A$252,0)),"NA"))</f>
        <v>0.33</v>
      </c>
      <c r="F91" s="54" t="n">
        <f aca="false" t="array" ref="F91:F91">IFERROR(INDEX('Bad Bins'!$J$2:$J$252,MATCH($A91,'Bad Bins'!$A$2:$A$252,0)),IFERROR(INDEX('Bad Bins'!$J$2:$J$252,MATCH(SUBSTITUTE($A91," SS","  SS"),'Bad Bins'!$A$2:$A$252,0)),"NA"))</f>
        <v>61</v>
      </c>
      <c r="G91" s="54" t="n">
        <f aca="false" t="array" ref="G91:G91">IFERROR(INDEX('RSTO &gt; 48hrs'!$G$2:$G$134,MATCH($A91,'RSTO &gt; 48hrs'!$A$2:$A$134,0)),IFERROR(INDEX('RSTO &gt; 48hrs'!$G$2:$G$134,MATCH(SUBSTITUTE($A91," SS","  SS"),'RSTO &gt; 48hrs'!$A$2:$A$134,0)),"NA"))</f>
        <v>18</v>
      </c>
      <c r="H91" s="54" t="n">
        <f aca="false" t="array" ref="H91:H91">IFERROR(INDEX('Recirculation &gt; 24 hrs'!$J$2:$J$150,MATCH($A91,'Recirculation &gt; 24 hrs'!$A$2:$A$150,0)),IFERROR(INDEX('Recirculation &gt; 24 hrs'!$J$2:$J$150,MATCH(SUBSTITUTE($A91," SS","  SS"),'Recirculation &gt; 24 hrs'!$A$2:$A$150,0)),"NA"))</f>
        <v>281</v>
      </c>
      <c r="I91" s="54" t="n">
        <f aca="false" t="array" ref="I91:I91">IFERROR(INDEX('Pending Putaway'!$D$2:$D$255,MATCH($A91,'Pending Putaway'!$A$2:$A$255,0)),IFERROR(INDEX('Pending Putaway'!$D$2:$D$255,MATCH(SUBSTITUTE($A91," SS","  SS"),'Pending Putaway'!$A$2:$A$255,0)),"NA"))</f>
        <v>4043</v>
      </c>
      <c r="J91" s="54" t="n">
        <f aca="false" t="array" ref="J91:J91">IFERROR(INDEX('Pending Putaway'!$K$2:$K$255,MATCH($A91,'Pending Putaway'!$A$2:$A$255,0)),IFERROR(INDEX('Pending Putaway'!$K$2:$K$255,MATCH(SUBSTITUTE($A91," SS","  SS"),'Pending Putaway'!$A$2:$A$255,0)),"NA"))</f>
        <v>867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customFormat="false" ht="15.75" hidden="false" customHeight="true" outlineLevel="0" collapsed="false">
      <c r="A92" s="54" t="s">
        <v>195</v>
      </c>
      <c r="B92" s="54" t="str">
        <f aca="false" t="array" ref="B92:B92">IFERROR(INDEX('CLM &amp; IM Mapping'!$B$2:$B$270,MATCH($A92,'CLM &amp; IM Mapping'!$A$2:$A$270,0)),"Not Mapped")</f>
        <v>Arun Raj</v>
      </c>
      <c r="C92" s="54" t="str">
        <f aca="false" t="array" ref="C92:C92">IFERROR(INDEX('CLM &amp; IM Mapping'!$C$2:$C$270,MATCH($A92,'CLM &amp; IM Mapping'!$A$2:$A$270,0)),"Not Mapped")</f>
        <v>Simon Manoharan</v>
      </c>
      <c r="D92" s="55" t="n">
        <f aca="false" t="array" ref="D92:D92">IFERROR(INDEX(Shrinkage!$O$2:$O$260,MATCH($A92,Shrinkage!$C$2:$C$260,0)),IFERROR(INDEX(Shrinkage!$O$2:$O$260,MATCH(SUBSTITUTE($A92," SS","  SS"),Shrinkage!$C$2:$C$260,0)),"NA"))</f>
        <v>-819</v>
      </c>
      <c r="E92" s="56" t="n">
        <f aca="false" t="array" ref="E92:E92">IFERROR(INDEX('Inventory Hygiene'!$I$2:$I$252,MATCH($A92,'Inventory Hygiene'!$A$2:$A$252,0)),IFERROR(INDEX('Inventory Hygiene'!$I$2:$I$252,MATCH(SUBSTITUTE($A92," SS","  SS"),'Inventory Hygiene'!$A$2:$A$252,0)),"NA"))</f>
        <v>0.14</v>
      </c>
      <c r="F92" s="54" t="n">
        <f aca="false" t="array" ref="F92:F92">IFERROR(INDEX('Bad Bins'!$J$2:$J$252,MATCH($A92,'Bad Bins'!$A$2:$A$252,0)),IFERROR(INDEX('Bad Bins'!$J$2:$J$252,MATCH(SUBSTITUTE($A92," SS","  SS"),'Bad Bins'!$A$2:$A$252,0)),"NA"))</f>
        <v>5</v>
      </c>
      <c r="G92" s="54" t="str">
        <f aca="false" t="array" ref="G92:G92">IFERROR(INDEX('RSTO &gt; 48hrs'!$G$2:$G$134,MATCH($A92,'RSTO &gt; 48hrs'!$A$2:$A$134,0)),IFERROR(INDEX('RSTO &gt; 48hrs'!$G$2:$G$134,MATCH(SUBSTITUTE($A92," SS","  SS"),'RSTO &gt; 48hrs'!$A$2:$A$134,0)),"NA"))</f>
        <v>NA</v>
      </c>
      <c r="H92" s="54" t="n">
        <f aca="false" t="array" ref="H92:H92">IFERROR(INDEX('Recirculation &gt; 24 hrs'!$J$2:$J$150,MATCH($A92,'Recirculation &gt; 24 hrs'!$A$2:$A$150,0)),IFERROR(INDEX('Recirculation &gt; 24 hrs'!$J$2:$J$150,MATCH(SUBSTITUTE($A92," SS","  SS"),'Recirculation &gt; 24 hrs'!$A$2:$A$150,0)),"NA"))</f>
        <v>424</v>
      </c>
      <c r="I92" s="54" t="n">
        <f aca="false" t="array" ref="I92:I92">IFERROR(INDEX('Pending Putaway'!$D$2:$D$255,MATCH($A92,'Pending Putaway'!$A$2:$A$255,0)),IFERROR(INDEX('Pending Putaway'!$D$2:$D$255,MATCH(SUBSTITUTE($A92," SS","  SS"),'Pending Putaway'!$A$2:$A$255,0)),"NA"))</f>
        <v>320</v>
      </c>
      <c r="J92" s="54" t="n">
        <f aca="false" t="array" ref="J92:J92">IFERROR(INDEX('Pending Putaway'!$K$2:$K$255,MATCH($A92,'Pending Putaway'!$A$2:$A$255,0)),IFERROR(INDEX('Pending Putaway'!$K$2:$K$255,MATCH(SUBSTITUTE($A92," SS","  SS"),'Pending Putaway'!$A$2:$A$255,0)),"NA"))</f>
        <v>309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customFormat="false" ht="15.75" hidden="false" customHeight="true" outlineLevel="0" collapsed="false">
      <c r="A93" s="54" t="s">
        <v>136</v>
      </c>
      <c r="B93" s="54" t="str">
        <f aca="false" t="array" ref="B93:B93">IFERROR(INDEX('CLM &amp; IM Mapping'!$B$2:$B$270,MATCH($A93,'CLM &amp; IM Mapping'!$A$2:$A$270,0)),"Not Mapped")</f>
        <v>Arun Raj</v>
      </c>
      <c r="C93" s="54" t="str">
        <f aca="false" t="array" ref="C93:C93">IFERROR(INDEX('CLM &amp; IM Mapping'!$C$2:$C$270,MATCH($A93,'CLM &amp; IM Mapping'!$A$2:$A$270,0)),"Not Mapped")</f>
        <v>Simon Manoharan</v>
      </c>
      <c r="D93" s="55" t="n">
        <f aca="false" t="array" ref="D93:D93">IFERROR(INDEX(Shrinkage!$O$2:$O$260,MATCH($A93,Shrinkage!$C$2:$C$260,0)),IFERROR(INDEX(Shrinkage!$O$2:$O$260,MATCH(SUBSTITUTE($A93," SS","  SS"),Shrinkage!$C$2:$C$260,0)),"NA"))</f>
        <v>7301</v>
      </c>
      <c r="E93" s="56" t="n">
        <f aca="false" t="array" ref="E93:E93">IFERROR(INDEX('Inventory Hygiene'!$I$2:$I$252,MATCH($A93,'Inventory Hygiene'!$A$2:$A$252,0)),IFERROR(INDEX('Inventory Hygiene'!$I$2:$I$252,MATCH(SUBSTITUTE($A93," SS","  SS"),'Inventory Hygiene'!$A$2:$A$252,0)),"NA"))</f>
        <v>0.35</v>
      </c>
      <c r="F93" s="54" t="n">
        <f aca="false" t="array" ref="F93:F93">IFERROR(INDEX('Bad Bins'!$J$2:$J$252,MATCH($A93,'Bad Bins'!$A$2:$A$252,0)),IFERROR(INDEX('Bad Bins'!$J$2:$J$252,MATCH(SUBSTITUTE($A93," SS","  SS"),'Bad Bins'!$A$2:$A$252,0)),"NA"))</f>
        <v>38</v>
      </c>
      <c r="G93" s="54" t="n">
        <f aca="false" t="array" ref="G93:G93">IFERROR(INDEX('RSTO &gt; 48hrs'!$G$2:$G$134,MATCH($A93,'RSTO &gt; 48hrs'!$A$2:$A$134,0)),IFERROR(INDEX('RSTO &gt; 48hrs'!$G$2:$G$134,MATCH(SUBSTITUTE($A93," SS","  SS"),'RSTO &gt; 48hrs'!$A$2:$A$134,0)),"NA"))</f>
        <v>2</v>
      </c>
      <c r="H93" s="54" t="n">
        <f aca="false" t="array" ref="H93:H93">IFERROR(INDEX('Recirculation &gt; 24 hrs'!$J$2:$J$150,MATCH($A93,'Recirculation &gt; 24 hrs'!$A$2:$A$150,0)),IFERROR(INDEX('Recirculation &gt; 24 hrs'!$J$2:$J$150,MATCH(SUBSTITUTE($A93," SS","  SS"),'Recirculation &gt; 24 hrs'!$A$2:$A$150,0)),"NA"))</f>
        <v>304</v>
      </c>
      <c r="I93" s="54" t="n">
        <f aca="false" t="array" ref="I93:I93">IFERROR(INDEX('Pending Putaway'!$D$2:$D$255,MATCH($A93,'Pending Putaway'!$A$2:$A$255,0)),IFERROR(INDEX('Pending Putaway'!$D$2:$D$255,MATCH(SUBSTITUTE($A93," SS","  SS"),'Pending Putaway'!$A$2:$A$255,0)),"NA"))</f>
        <v>2248</v>
      </c>
      <c r="J93" s="54" t="n">
        <f aca="false" t="array" ref="J93:J93">IFERROR(INDEX('Pending Putaway'!$K$2:$K$255,MATCH($A93,'Pending Putaway'!$A$2:$A$255,0)),IFERROR(INDEX('Pending Putaway'!$K$2:$K$255,MATCH(SUBSTITUTE($A93," SS","  SS"),'Pending Putaway'!$A$2:$A$255,0)),"NA"))</f>
        <v>65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customFormat="false" ht="15.75" hidden="false" customHeight="true" outlineLevel="0" collapsed="false">
      <c r="A94" s="54" t="s">
        <v>33</v>
      </c>
      <c r="B94" s="54" t="str">
        <f aca="false" t="array" ref="B94:B94">IFERROR(INDEX('CLM &amp; IM Mapping'!$B$2:$B$270,MATCH($A94,'CLM &amp; IM Mapping'!$A$2:$A$270,0)),"Not Mapped")</f>
        <v>Arun Raj</v>
      </c>
      <c r="C94" s="54" t="str">
        <f aca="false" t="array" ref="C94:C94">IFERROR(INDEX('CLM &amp; IM Mapping'!$C$2:$C$270,MATCH($A94,'CLM &amp; IM Mapping'!$A$2:$A$270,0)),"Not Mapped")</f>
        <v>Simon Manoharan</v>
      </c>
      <c r="D94" s="55" t="n">
        <f aca="false" t="array" ref="D94:D94">IFERROR(INDEX(Shrinkage!$O$2:$O$260,MATCH($A94,Shrinkage!$C$2:$C$260,0)),IFERROR(INDEX(Shrinkage!$O$2:$O$260,MATCH(SUBSTITUTE($A94," SS","  SS"),Shrinkage!$C$2:$C$260,0)),"NA"))</f>
        <v>58886</v>
      </c>
      <c r="E94" s="56" t="n">
        <f aca="false" t="array" ref="E94:E94">IFERROR(INDEX('Inventory Hygiene'!$I$2:$I$252,MATCH($A94,'Inventory Hygiene'!$A$2:$A$252,0)),IFERROR(INDEX('Inventory Hygiene'!$I$2:$I$252,MATCH(SUBSTITUTE($A94," SS","  SS"),'Inventory Hygiene'!$A$2:$A$252,0)),"NA"))</f>
        <v>0.14</v>
      </c>
      <c r="F94" s="54" t="n">
        <f aca="false" t="array" ref="F94:F94">IFERROR(INDEX('Bad Bins'!$J$2:$J$252,MATCH($A94,'Bad Bins'!$A$2:$A$252,0)),IFERROR(INDEX('Bad Bins'!$J$2:$J$252,MATCH(SUBSTITUTE($A94," SS","  SS"),'Bad Bins'!$A$2:$A$252,0)),"NA"))</f>
        <v>6</v>
      </c>
      <c r="G94" s="54" t="n">
        <f aca="false" t="array" ref="G94:G94">IFERROR(INDEX('RSTO &gt; 48hrs'!$G$2:$G$134,MATCH($A94,'RSTO &gt; 48hrs'!$A$2:$A$134,0)),IFERROR(INDEX('RSTO &gt; 48hrs'!$G$2:$G$134,MATCH(SUBSTITUTE($A94," SS","  SS"),'RSTO &gt; 48hrs'!$A$2:$A$134,0)),"NA"))</f>
        <v>58</v>
      </c>
      <c r="H94" s="54" t="n">
        <f aca="false" t="array" ref="H94:H94">IFERROR(INDEX('Recirculation &gt; 24 hrs'!$J$2:$J$150,MATCH($A94,'Recirculation &gt; 24 hrs'!$A$2:$A$150,0)),IFERROR(INDEX('Recirculation &gt; 24 hrs'!$J$2:$J$150,MATCH(SUBSTITUTE($A94," SS","  SS"),'Recirculation &gt; 24 hrs'!$A$2:$A$150,0)),"NA"))</f>
        <v>434</v>
      </c>
      <c r="I94" s="54" t="n">
        <f aca="false" t="array" ref="I94:I94">IFERROR(INDEX('Pending Putaway'!$D$2:$D$255,MATCH($A94,'Pending Putaway'!$A$2:$A$255,0)),IFERROR(INDEX('Pending Putaway'!$D$2:$D$255,MATCH(SUBSTITUTE($A94," SS","  SS"),'Pending Putaway'!$A$2:$A$255,0)),"NA"))</f>
        <v>4120</v>
      </c>
      <c r="J94" s="54" t="n">
        <f aca="false" t="array" ref="J94:J94">IFERROR(INDEX('Pending Putaway'!$K$2:$K$255,MATCH($A94,'Pending Putaway'!$A$2:$A$255,0)),IFERROR(INDEX('Pending Putaway'!$K$2:$K$255,MATCH(SUBSTITUTE($A94," SS","  SS"),'Pending Putaway'!$A$2:$A$255,0)),"NA"))</f>
        <v>660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customFormat="false" ht="15.75" hidden="false" customHeight="true" outlineLevel="0" collapsed="false">
      <c r="A95" s="54" t="s">
        <v>274</v>
      </c>
      <c r="B95" s="54" t="str">
        <f aca="false" t="array" ref="B95:B95">IFERROR(INDEX('CLM &amp; IM Mapping'!$B$2:$B$270,MATCH($A95,'CLM &amp; IM Mapping'!$A$2:$A$270,0)),"Not Mapped")</f>
        <v>Arun Raj</v>
      </c>
      <c r="C95" s="54" t="str">
        <f aca="false" t="array" ref="C95:C95">IFERROR(INDEX('CLM &amp; IM Mapping'!$C$2:$C$270,MATCH($A95,'CLM &amp; IM Mapping'!$A$2:$A$270,0)),"Not Mapped")</f>
        <v>Simon Manoharan</v>
      </c>
      <c r="D95" s="55" t="n">
        <f aca="false" t="array" ref="D95:D95">IFERROR(INDEX(Shrinkage!$O$2:$O$260,MATCH($A95,Shrinkage!$C$2:$C$260,0)),IFERROR(INDEX(Shrinkage!$O$2:$O$260,MATCH(SUBSTITUTE($A95," SS","  SS"),Shrinkage!$C$2:$C$260,0)),"NA"))</f>
        <v>-12144</v>
      </c>
      <c r="E95" s="56" t="n">
        <f aca="false" t="array" ref="E95:E95">IFERROR(INDEX('Inventory Hygiene'!$I$2:$I$252,MATCH($A95,'Inventory Hygiene'!$A$2:$A$252,0)),IFERROR(INDEX('Inventory Hygiene'!$I$2:$I$252,MATCH(SUBSTITUTE($A95," SS","  SS"),'Inventory Hygiene'!$A$2:$A$252,0)),"NA"))</f>
        <v>0.53</v>
      </c>
      <c r="F95" s="54" t="n">
        <f aca="false" t="array" ref="F95:F95">IFERROR(INDEX('Bad Bins'!$J$2:$J$252,MATCH($A95,'Bad Bins'!$A$2:$A$252,0)),IFERROR(INDEX('Bad Bins'!$J$2:$J$252,MATCH(SUBSTITUTE($A95," SS","  SS"),'Bad Bins'!$A$2:$A$252,0)),"NA"))</f>
        <v>0</v>
      </c>
      <c r="G95" s="54" t="str">
        <f aca="false" t="array" ref="G95:G95">IFERROR(INDEX('RSTO &gt; 48hrs'!$G$2:$G$134,MATCH($A95,'RSTO &gt; 48hrs'!$A$2:$A$134,0)),IFERROR(INDEX('RSTO &gt; 48hrs'!$G$2:$G$134,MATCH(SUBSTITUTE($A95," SS","  SS"),'RSTO &gt; 48hrs'!$A$2:$A$134,0)),"NA"))</f>
        <v>NA</v>
      </c>
      <c r="H95" s="54" t="n">
        <f aca="false" t="array" ref="H95:H95">IFERROR(INDEX('Recirculation &gt; 24 hrs'!$J$2:$J$150,MATCH($A95,'Recirculation &gt; 24 hrs'!$A$2:$A$150,0)),IFERROR(INDEX('Recirculation &gt; 24 hrs'!$J$2:$J$150,MATCH(SUBSTITUTE($A95," SS","  SS"),'Recirculation &gt; 24 hrs'!$A$2:$A$150,0)),"NA"))</f>
        <v>405</v>
      </c>
      <c r="I95" s="54" t="n">
        <f aca="false" t="array" ref="I95:I95">IFERROR(INDEX('Pending Putaway'!$D$2:$D$255,MATCH($A95,'Pending Putaway'!$A$2:$A$255,0)),IFERROR(INDEX('Pending Putaway'!$D$2:$D$255,MATCH(SUBSTITUTE($A95," SS","  SS"),'Pending Putaway'!$A$2:$A$255,0)),"NA"))</f>
        <v>350</v>
      </c>
      <c r="J95" s="54" t="n">
        <f aca="false" t="array" ref="J95:J95">IFERROR(INDEX('Pending Putaway'!$K$2:$K$255,MATCH($A95,'Pending Putaway'!$A$2:$A$255,0)),IFERROR(INDEX('Pending Putaway'!$K$2:$K$255,MATCH(SUBSTITUTE($A95," SS","  SS"),'Pending Putaway'!$A$2:$A$255,0)),"NA"))</f>
        <v>0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customFormat="false" ht="15.75" hidden="false" customHeight="true" outlineLevel="0" collapsed="false">
      <c r="A96" s="54" t="s">
        <v>264</v>
      </c>
      <c r="B96" s="54" t="str">
        <f aca="false" t="array" ref="B96:B96">IFERROR(INDEX('CLM &amp; IM Mapping'!$B$2:$B$270,MATCH($A96,'CLM &amp; IM Mapping'!$A$2:$A$270,0)),"Not Mapped")</f>
        <v>Arun Raj</v>
      </c>
      <c r="C96" s="54" t="str">
        <f aca="false" t="array" ref="C96:C96">IFERROR(INDEX('CLM &amp; IM Mapping'!$C$2:$C$270,MATCH($A96,'CLM &amp; IM Mapping'!$A$2:$A$270,0)),"Not Mapped")</f>
        <v>Simon Manoharan</v>
      </c>
      <c r="D96" s="55" t="n">
        <f aca="false" t="array" ref="D96:D96">IFERROR(INDEX(Shrinkage!$O$2:$O$260,MATCH($A96,Shrinkage!$C$2:$C$260,0)),IFERROR(INDEX(Shrinkage!$O$2:$O$260,MATCH(SUBSTITUTE($A96," SS","  SS"),Shrinkage!$C$2:$C$260,0)),"NA"))</f>
        <v>-10970</v>
      </c>
      <c r="E96" s="56" t="n">
        <f aca="false" t="array" ref="E96:E96">IFERROR(INDEX('Inventory Hygiene'!$I$2:$I$252,MATCH($A96,'Inventory Hygiene'!$A$2:$A$252,0)),IFERROR(INDEX('Inventory Hygiene'!$I$2:$I$252,MATCH(SUBSTITUTE($A96," SS","  SS"),'Inventory Hygiene'!$A$2:$A$252,0)),"NA"))</f>
        <v>0.06</v>
      </c>
      <c r="F96" s="54" t="n">
        <f aca="false" t="array" ref="F96:F96">IFERROR(INDEX('Bad Bins'!$J$2:$J$252,MATCH($A96,'Bad Bins'!$A$2:$A$252,0)),IFERROR(INDEX('Bad Bins'!$J$2:$J$252,MATCH(SUBSTITUTE($A96," SS","  SS"),'Bad Bins'!$A$2:$A$252,0)),"NA"))</f>
        <v>4</v>
      </c>
      <c r="G96" s="54" t="n">
        <f aca="false" t="array" ref="G96:G96">IFERROR(INDEX('RSTO &gt; 48hrs'!$G$2:$G$134,MATCH($A96,'RSTO &gt; 48hrs'!$A$2:$A$134,0)),IFERROR(INDEX('RSTO &gt; 48hrs'!$G$2:$G$134,MATCH(SUBSTITUTE($A96," SS","  SS"),'RSTO &gt; 48hrs'!$A$2:$A$134,0)),"NA"))</f>
        <v>235</v>
      </c>
      <c r="H96" s="54" t="n">
        <f aca="false" t="array" ref="H96:H96">IFERROR(INDEX('Recirculation &gt; 24 hrs'!$J$2:$J$150,MATCH($A96,'Recirculation &gt; 24 hrs'!$A$2:$A$150,0)),IFERROR(INDEX('Recirculation &gt; 24 hrs'!$J$2:$J$150,MATCH(SUBSTITUTE($A96," SS","  SS"),'Recirculation &gt; 24 hrs'!$A$2:$A$150,0)),"NA"))</f>
        <v>4863</v>
      </c>
      <c r="I96" s="54" t="str">
        <f aca="false" t="array" ref="I96:I96">IFERROR(INDEX('Pending Putaway'!$D$2:$D$255,MATCH($A96,'Pending Putaway'!$A$2:$A$255,0)),IFERROR(INDEX('Pending Putaway'!$D$2:$D$255,MATCH(SUBSTITUTE($A96," SS","  SS"),'Pending Putaway'!$A$2:$A$255,0)),"NA"))</f>
        <v>NA</v>
      </c>
      <c r="J96" s="54" t="str">
        <f aca="false" t="array" ref="J96:J96">IFERROR(INDEX('Pending Putaway'!$K$2:$K$255,MATCH($A96,'Pending Putaway'!$A$2:$A$255,0)),IFERROR(INDEX('Pending Putaway'!$K$2:$K$255,MATCH(SUBSTITUTE($A96," SS","  SS"),'Pending Putaway'!$A$2:$A$255,0)),"NA"))</f>
        <v>NA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 customFormat="false" ht="15.75" hidden="false" customHeight="true" outlineLevel="0" collapsed="false">
      <c r="A97" s="54" t="s">
        <v>252</v>
      </c>
      <c r="B97" s="54" t="str">
        <f aca="false" t="array" ref="B97:B97">IFERROR(INDEX('CLM &amp; IM Mapping'!$B$2:$B$270,MATCH($A97,'CLM &amp; IM Mapping'!$A$2:$A$270,0)),"Not Mapped")</f>
        <v>Arun Raj</v>
      </c>
      <c r="C97" s="54" t="str">
        <f aca="false" t="array" ref="C97:C97">IFERROR(INDEX('CLM &amp; IM Mapping'!$C$2:$C$270,MATCH($A97,'CLM &amp; IM Mapping'!$A$2:$A$270,0)),"Not Mapped")</f>
        <v>Simon Manoharan</v>
      </c>
      <c r="D97" s="55" t="n">
        <f aca="false" t="array" ref="D97:D97">IFERROR(INDEX(Shrinkage!$O$2:$O$260,MATCH($A97,Shrinkage!$C$2:$C$260,0)),IFERROR(INDEX(Shrinkage!$O$2:$O$260,MATCH(SUBSTITUTE($A97," SS","  SS"),Shrinkage!$C$2:$C$260,0)),"NA"))</f>
        <v>-7634</v>
      </c>
      <c r="E97" s="56" t="n">
        <f aca="false" t="array" ref="E97:E97">IFERROR(INDEX('Inventory Hygiene'!$I$2:$I$252,MATCH($A97,'Inventory Hygiene'!$A$2:$A$252,0)),IFERROR(INDEX('Inventory Hygiene'!$I$2:$I$252,MATCH(SUBSTITUTE($A97," SS","  SS"),'Inventory Hygiene'!$A$2:$A$252,0)),"NA"))</f>
        <v>0.34</v>
      </c>
      <c r="F97" s="54" t="n">
        <f aca="false" t="array" ref="F97:F97">IFERROR(INDEX('Bad Bins'!$J$2:$J$252,MATCH($A97,'Bad Bins'!$A$2:$A$252,0)),IFERROR(INDEX('Bad Bins'!$J$2:$J$252,MATCH(SUBSTITUTE($A97," SS","  SS"),'Bad Bins'!$A$2:$A$252,0)),"NA"))</f>
        <v>16</v>
      </c>
      <c r="G97" s="54" t="str">
        <f aca="false" t="array" ref="G97:G97">IFERROR(INDEX('RSTO &gt; 48hrs'!$G$2:$G$134,MATCH($A97,'RSTO &gt; 48hrs'!$A$2:$A$134,0)),IFERROR(INDEX('RSTO &gt; 48hrs'!$G$2:$G$134,MATCH(SUBSTITUTE($A97," SS","  SS"),'RSTO &gt; 48hrs'!$A$2:$A$134,0)),"NA"))</f>
        <v>NA</v>
      </c>
      <c r="H97" s="54" t="n">
        <f aca="false" t="array" ref="H97:H97">IFERROR(INDEX('Recirculation &gt; 24 hrs'!$J$2:$J$150,MATCH($A97,'Recirculation &gt; 24 hrs'!$A$2:$A$150,0)),IFERROR(INDEX('Recirculation &gt; 24 hrs'!$J$2:$J$150,MATCH(SUBSTITUTE($A97," SS","  SS"),'Recirculation &gt; 24 hrs'!$A$2:$A$150,0)),"NA"))</f>
        <v>301</v>
      </c>
      <c r="I97" s="54" t="n">
        <f aca="false" t="array" ref="I97:I97">IFERROR(INDEX('Pending Putaway'!$D$2:$D$255,MATCH($A97,'Pending Putaway'!$A$2:$A$255,0)),IFERROR(INDEX('Pending Putaway'!$D$2:$D$255,MATCH(SUBSTITUTE($A97," SS","  SS"),'Pending Putaway'!$A$2:$A$255,0)),"NA"))</f>
        <v>2015</v>
      </c>
      <c r="J97" s="54" t="n">
        <f aca="false" t="array" ref="J97:J97">IFERROR(INDEX('Pending Putaway'!$K$2:$K$255,MATCH($A97,'Pending Putaway'!$A$2:$A$255,0)),IFERROR(INDEX('Pending Putaway'!$K$2:$K$255,MATCH(SUBSTITUTE($A97," SS","  SS"),'Pending Putaway'!$A$2:$A$255,0)),"NA"))</f>
        <v>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 customFormat="false" ht="15.75" hidden="false" customHeight="true" outlineLevel="0" collapsed="false">
      <c r="A98" s="54" t="s">
        <v>317</v>
      </c>
      <c r="B98" s="54" t="str">
        <f aca="false" t="array" ref="B98:B98">IFERROR(INDEX('CLM &amp; IM Mapping'!$B$2:$B$270,MATCH($A98,'CLM &amp; IM Mapping'!$A$2:$A$270,0)),"Not Mapped")</f>
        <v>Arun Raj</v>
      </c>
      <c r="C98" s="54" t="str">
        <f aca="false" t="array" ref="C98:C98">IFERROR(INDEX('CLM &amp; IM Mapping'!$C$2:$C$270,MATCH($A98,'CLM &amp; IM Mapping'!$A$2:$A$270,0)),"Not Mapped")</f>
        <v>Simon Manoharan</v>
      </c>
      <c r="D98" s="55" t="n">
        <f aca="false" t="array" ref="D98:D98">IFERROR(INDEX(Shrinkage!$O$2:$O$260,MATCH($A98,Shrinkage!$C$2:$C$260,0)),IFERROR(INDEX(Shrinkage!$O$2:$O$260,MATCH(SUBSTITUTE($A98," SS","  SS"),Shrinkage!$C$2:$C$260,0)),"NA"))</f>
        <v>603</v>
      </c>
      <c r="E98" s="56" t="n">
        <f aca="false" t="array" ref="E98:E98">IFERROR(INDEX('Inventory Hygiene'!$I$2:$I$252,MATCH($A98,'Inventory Hygiene'!$A$2:$A$252,0)),IFERROR(INDEX('Inventory Hygiene'!$I$2:$I$252,MATCH(SUBSTITUTE($A98," SS","  SS"),'Inventory Hygiene'!$A$2:$A$252,0)),"NA"))</f>
        <v>0.3</v>
      </c>
      <c r="F98" s="54" t="n">
        <f aca="false" t="array" ref="F98:F98">IFERROR(INDEX('Bad Bins'!$J$2:$J$252,MATCH($A98,'Bad Bins'!$A$2:$A$252,0)),IFERROR(INDEX('Bad Bins'!$J$2:$J$252,MATCH(SUBSTITUTE($A98," SS","  SS"),'Bad Bins'!$A$2:$A$252,0)),"NA"))</f>
        <v>20</v>
      </c>
      <c r="G98" s="54" t="str">
        <f aca="false" t="array" ref="G98:G98">IFERROR(INDEX('RSTO &gt; 48hrs'!$G$2:$G$134,MATCH($A98,'RSTO &gt; 48hrs'!$A$2:$A$134,0)),IFERROR(INDEX('RSTO &gt; 48hrs'!$G$2:$G$134,MATCH(SUBSTITUTE($A98," SS","  SS"),'RSTO &gt; 48hrs'!$A$2:$A$134,0)),"NA"))</f>
        <v>NA</v>
      </c>
      <c r="H98" s="54" t="n">
        <f aca="false" t="array" ref="H98:H98">IFERROR(INDEX('Recirculation &gt; 24 hrs'!$J$2:$J$150,MATCH($A98,'Recirculation &gt; 24 hrs'!$A$2:$A$150,0)),IFERROR(INDEX('Recirculation &gt; 24 hrs'!$J$2:$J$150,MATCH(SUBSTITUTE($A98," SS","  SS"),'Recirculation &gt; 24 hrs'!$A$2:$A$150,0)),"NA"))</f>
        <v>300</v>
      </c>
      <c r="I98" s="54" t="n">
        <f aca="false" t="array" ref="I98:I98">IFERROR(INDEX('Pending Putaway'!$D$2:$D$255,MATCH($A98,'Pending Putaway'!$A$2:$A$255,0)),IFERROR(INDEX('Pending Putaway'!$D$2:$D$255,MATCH(SUBSTITUTE($A98," SS","  SS"),'Pending Putaway'!$A$2:$A$255,0)),"NA"))</f>
        <v>1549</v>
      </c>
      <c r="J98" s="54" t="n">
        <f aca="false" t="array" ref="J98:J98">IFERROR(INDEX('Pending Putaway'!$K$2:$K$255,MATCH($A98,'Pending Putaway'!$A$2:$A$255,0)),IFERROR(INDEX('Pending Putaway'!$K$2:$K$255,MATCH(SUBSTITUTE($A98," SS","  SS"),'Pending Putaway'!$A$2:$A$255,0)),"NA"))</f>
        <v>1549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customFormat="false" ht="15.75" hidden="false" customHeight="true" outlineLevel="0" collapsed="false">
      <c r="A99" s="54" t="s">
        <v>169</v>
      </c>
      <c r="B99" s="54" t="str">
        <f aca="false" t="array" ref="B99:B99">IFERROR(INDEX('CLM &amp; IM Mapping'!$B$2:$B$270,MATCH($A99,'CLM &amp; IM Mapping'!$A$2:$A$270,0)),"Not Mapped")</f>
        <v>Arun Raj</v>
      </c>
      <c r="C99" s="54" t="str">
        <f aca="false" t="array" ref="C99:C99">IFERROR(INDEX('CLM &amp; IM Mapping'!$C$2:$C$270,MATCH($A99,'CLM &amp; IM Mapping'!$A$2:$A$270,0)),"Not Mapped")</f>
        <v>Simon Manoharan</v>
      </c>
      <c r="D99" s="55" t="n">
        <f aca="false" t="array" ref="D99:D99">IFERROR(INDEX(Shrinkage!$O$2:$O$260,MATCH($A99,Shrinkage!$C$2:$C$260,0)),IFERROR(INDEX(Shrinkage!$O$2:$O$260,MATCH(SUBSTITUTE($A99," SS","  SS"),Shrinkage!$C$2:$C$260,0)),"NA"))</f>
        <v>1782</v>
      </c>
      <c r="E99" s="56" t="n">
        <f aca="false" t="array" ref="E99:E99">IFERROR(INDEX('Inventory Hygiene'!$I$2:$I$252,MATCH($A99,'Inventory Hygiene'!$A$2:$A$252,0)),IFERROR(INDEX('Inventory Hygiene'!$I$2:$I$252,MATCH(SUBSTITUTE($A99," SS","  SS"),'Inventory Hygiene'!$A$2:$A$252,0)),"NA"))</f>
        <v>0.39</v>
      </c>
      <c r="F99" s="54" t="n">
        <f aca="false" t="array" ref="F99:F99">IFERROR(INDEX('Bad Bins'!$J$2:$J$252,MATCH($A99,'Bad Bins'!$A$2:$A$252,0)),IFERROR(INDEX('Bad Bins'!$J$2:$J$252,MATCH(SUBSTITUTE($A99," SS","  SS"),'Bad Bins'!$A$2:$A$252,0)),"NA"))</f>
        <v>32</v>
      </c>
      <c r="G99" s="54" t="n">
        <f aca="false" t="array" ref="G99:G99">IFERROR(INDEX('RSTO &gt; 48hrs'!$G$2:$G$134,MATCH($A99,'RSTO &gt; 48hrs'!$A$2:$A$134,0)),IFERROR(INDEX('RSTO &gt; 48hrs'!$G$2:$G$134,MATCH(SUBSTITUTE($A99," SS","  SS"),'RSTO &gt; 48hrs'!$A$2:$A$134,0)),"NA"))</f>
        <v>10</v>
      </c>
      <c r="H99" s="54" t="n">
        <f aca="false" t="array" ref="H99:H99">IFERROR(INDEX('Recirculation &gt; 24 hrs'!$J$2:$J$150,MATCH($A99,'Recirculation &gt; 24 hrs'!$A$2:$A$150,0)),IFERROR(INDEX('Recirculation &gt; 24 hrs'!$J$2:$J$150,MATCH(SUBSTITUTE($A99," SS","  SS"),'Recirculation &gt; 24 hrs'!$A$2:$A$150,0)),"NA"))</f>
        <v>553</v>
      </c>
      <c r="I99" s="54" t="n">
        <f aca="false" t="array" ref="I99:I99">IFERROR(INDEX('Pending Putaway'!$D$2:$D$255,MATCH($A99,'Pending Putaway'!$A$2:$A$255,0)),IFERROR(INDEX('Pending Putaway'!$D$2:$D$255,MATCH(SUBSTITUTE($A99," SS","  SS"),'Pending Putaway'!$A$2:$A$255,0)),"NA"))</f>
        <v>2182</v>
      </c>
      <c r="J99" s="54" t="n">
        <f aca="false" t="array" ref="J99:J99">IFERROR(INDEX('Pending Putaway'!$K$2:$K$255,MATCH($A99,'Pending Putaway'!$A$2:$A$255,0)),IFERROR(INDEX('Pending Putaway'!$K$2:$K$255,MATCH(SUBSTITUTE($A99," SS","  SS"),'Pending Putaway'!$A$2:$A$255,0)),"NA"))</f>
        <v>3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 customFormat="false" ht="15.75" hidden="false" customHeight="true" outlineLevel="0" collapsed="false">
      <c r="A100" s="54" t="s">
        <v>218</v>
      </c>
      <c r="B100" s="54" t="str">
        <f aca="false" t="array" ref="B100:B100">IFERROR(INDEX('CLM &amp; IM Mapping'!$B$2:$B$270,MATCH($A100,'CLM &amp; IM Mapping'!$A$2:$A$270,0)),"Not Mapped")</f>
        <v>Arun Raj</v>
      </c>
      <c r="C100" s="54" t="str">
        <f aca="false" t="array" ref="C100:C100">IFERROR(INDEX('CLM &amp; IM Mapping'!$C$2:$C$270,MATCH($A100,'CLM &amp; IM Mapping'!$A$2:$A$270,0)),"Not Mapped")</f>
        <v>Simon Manoharan</v>
      </c>
      <c r="D100" s="55" t="n">
        <f aca="false" t="array" ref="D100:D100">IFERROR(INDEX(Shrinkage!$O$2:$O$260,MATCH($A100,Shrinkage!$C$2:$C$260,0)),IFERROR(INDEX(Shrinkage!$O$2:$O$260,MATCH(SUBSTITUTE($A100," SS","  SS"),Shrinkage!$C$2:$C$260,0)),"NA"))</f>
        <v>-3514</v>
      </c>
      <c r="E100" s="56" t="n">
        <f aca="false" t="array" ref="E100:E100">IFERROR(INDEX('Inventory Hygiene'!$I$2:$I$252,MATCH($A100,'Inventory Hygiene'!$A$2:$A$252,0)),IFERROR(INDEX('Inventory Hygiene'!$I$2:$I$252,MATCH(SUBSTITUTE($A100," SS","  SS"),'Inventory Hygiene'!$A$2:$A$252,0)),"NA"))</f>
        <v>0.54</v>
      </c>
      <c r="F100" s="54" t="n">
        <f aca="false" t="array" ref="F100:F100">IFERROR(INDEX('Bad Bins'!$J$2:$J$252,MATCH($A100,'Bad Bins'!$A$2:$A$252,0)),IFERROR(INDEX('Bad Bins'!$J$2:$J$252,MATCH(SUBSTITUTE($A100," SS","  SS"),'Bad Bins'!$A$2:$A$252,0)),"NA"))</f>
        <v>13</v>
      </c>
      <c r="G100" s="54" t="str">
        <f aca="false" t="array" ref="G100:G100">IFERROR(INDEX('RSTO &gt; 48hrs'!$G$2:$G$134,MATCH($A100,'RSTO &gt; 48hrs'!$A$2:$A$134,0)),IFERROR(INDEX('RSTO &gt; 48hrs'!$G$2:$G$134,MATCH(SUBSTITUTE($A100," SS","  SS"),'RSTO &gt; 48hrs'!$A$2:$A$134,0)),"NA"))</f>
        <v>NA</v>
      </c>
      <c r="H100" s="54" t="n">
        <f aca="false" t="array" ref="H100:H100">IFERROR(INDEX('Recirculation &gt; 24 hrs'!$J$2:$J$150,MATCH($A100,'Recirculation &gt; 24 hrs'!$A$2:$A$150,0)),IFERROR(INDEX('Recirculation &gt; 24 hrs'!$J$2:$J$150,MATCH(SUBSTITUTE($A100," SS","  SS"),'Recirculation &gt; 24 hrs'!$A$2:$A$150,0)),"NA"))</f>
        <v>299</v>
      </c>
      <c r="I100" s="54" t="n">
        <f aca="false" t="array" ref="I100:I100">IFERROR(INDEX('Pending Putaway'!$D$2:$D$255,MATCH($A100,'Pending Putaway'!$A$2:$A$255,0)),IFERROR(INDEX('Pending Putaway'!$D$2:$D$255,MATCH(SUBSTITUTE($A100," SS","  SS"),'Pending Putaway'!$A$2:$A$255,0)),"NA"))</f>
        <v>0</v>
      </c>
      <c r="J100" s="54" t="n">
        <f aca="false" t="array" ref="J100:J100">IFERROR(INDEX('Pending Putaway'!$K$2:$K$255,MATCH($A100,'Pending Putaway'!$A$2:$A$255,0)),IFERROR(INDEX('Pending Putaway'!$K$2:$K$255,MATCH(SUBSTITUTE($A100," SS","  SS"),'Pending Putaway'!$A$2:$A$255,0)),"NA"))</f>
        <v>0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customFormat="false" ht="15.75" hidden="false" customHeight="true" outlineLevel="0" collapsed="false">
      <c r="A101" s="54" t="s">
        <v>300</v>
      </c>
      <c r="B101" s="54" t="str">
        <f aca="false" t="array" ref="B101:B101">IFERROR(INDEX('CLM &amp; IM Mapping'!$B$2:$B$270,MATCH($A101,'CLM &amp; IM Mapping'!$A$2:$A$270,0)),"Not Mapped")</f>
        <v>Arun Raj</v>
      </c>
      <c r="C101" s="54" t="str">
        <f aca="false" t="array" ref="C101:C101">IFERROR(INDEX('CLM &amp; IM Mapping'!$C$2:$C$270,MATCH($A101,'CLM &amp; IM Mapping'!$A$2:$A$270,0)),"Not Mapped")</f>
        <v>Simon Manoharan</v>
      </c>
      <c r="D101" s="55" t="n">
        <f aca="false" t="array" ref="D101:D101">IFERROR(INDEX(Shrinkage!$O$2:$O$260,MATCH($A101,Shrinkage!$C$2:$C$260,0)),IFERROR(INDEX(Shrinkage!$O$2:$O$260,MATCH(SUBSTITUTE($A101," SS","  SS"),Shrinkage!$C$2:$C$260,0)),"NA"))</f>
        <v>-91484</v>
      </c>
      <c r="E101" s="56" t="n">
        <f aca="false" t="array" ref="E101:E101">IFERROR(INDEX('Inventory Hygiene'!$I$2:$I$252,MATCH($A101,'Inventory Hygiene'!$A$2:$A$252,0)),IFERROR(INDEX('Inventory Hygiene'!$I$2:$I$252,MATCH(SUBSTITUTE($A101," SS","  SS"),'Inventory Hygiene'!$A$2:$A$252,0)),"NA"))</f>
        <v>0.02</v>
      </c>
      <c r="F101" s="54" t="n">
        <f aca="false" t="array" ref="F101:F101">IFERROR(INDEX('Bad Bins'!$J$2:$J$252,MATCH($A101,'Bad Bins'!$A$2:$A$252,0)),IFERROR(INDEX('Bad Bins'!$J$2:$J$252,MATCH(SUBSTITUTE($A101," SS","  SS"),'Bad Bins'!$A$2:$A$252,0)),"NA"))</f>
        <v>69</v>
      </c>
      <c r="G101" s="54" t="n">
        <f aca="false" t="array" ref="G101:G101">IFERROR(INDEX('RSTO &gt; 48hrs'!$G$2:$G$134,MATCH($A101,'RSTO &gt; 48hrs'!$A$2:$A$134,0)),IFERROR(INDEX('RSTO &gt; 48hrs'!$G$2:$G$134,MATCH(SUBSTITUTE($A101," SS","  SS"),'RSTO &gt; 48hrs'!$A$2:$A$134,0)),"NA"))</f>
        <v>131</v>
      </c>
      <c r="H101" s="54" t="n">
        <f aca="false" t="array" ref="H101:H101">IFERROR(INDEX('Recirculation &gt; 24 hrs'!$J$2:$J$150,MATCH($A101,'Recirculation &gt; 24 hrs'!$A$2:$A$150,0)),IFERROR(INDEX('Recirculation &gt; 24 hrs'!$J$2:$J$150,MATCH(SUBSTITUTE($A101," SS","  SS"),'Recirculation &gt; 24 hrs'!$A$2:$A$150,0)),"NA"))</f>
        <v>4559</v>
      </c>
      <c r="I101" s="54" t="n">
        <f aca="false" t="array" ref="I101:I101">IFERROR(INDEX('Pending Putaway'!$D$2:$D$255,MATCH($A101,'Pending Putaway'!$A$2:$A$255,0)),IFERROR(INDEX('Pending Putaway'!$D$2:$D$255,MATCH(SUBSTITUTE($A101," SS","  SS"),'Pending Putaway'!$A$2:$A$255,0)),"NA"))</f>
        <v>0</v>
      </c>
      <c r="J101" s="54" t="n">
        <f aca="false" t="array" ref="J101:J101">IFERROR(INDEX('Pending Putaway'!$K$2:$K$255,MATCH($A101,'Pending Putaway'!$A$2:$A$255,0)),IFERROR(INDEX('Pending Putaway'!$K$2:$K$255,MATCH(SUBSTITUTE($A101," SS","  SS"),'Pending Putaway'!$A$2:$A$255,0)),"NA"))</f>
        <v>0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customFormat="false" ht="15.75" hidden="false" customHeight="true" outlineLevel="0" collapsed="false">
      <c r="A102" s="54" t="s">
        <v>25</v>
      </c>
      <c r="B102" s="54" t="str">
        <f aca="false" t="array" ref="B102:B102">IFERROR(INDEX('CLM &amp; IM Mapping'!$B$2:$B$270,MATCH($A102,'CLM &amp; IM Mapping'!$A$2:$A$270,0)),"Not Mapped")</f>
        <v>Arun Raj</v>
      </c>
      <c r="C102" s="54" t="str">
        <f aca="false" t="array" ref="C102:C102">IFERROR(INDEX('CLM &amp; IM Mapping'!$C$2:$C$270,MATCH($A102,'CLM &amp; IM Mapping'!$A$2:$A$270,0)),"Not Mapped")</f>
        <v>Simon Manoharan</v>
      </c>
      <c r="D102" s="55" t="n">
        <f aca="false" t="array" ref="D102:D102">IFERROR(INDEX(Shrinkage!$O$2:$O$260,MATCH($A102,Shrinkage!$C$2:$C$260,0)),IFERROR(INDEX(Shrinkage!$O$2:$O$260,MATCH(SUBSTITUTE($A102," SS","  SS"),Shrinkage!$C$2:$C$260,0)),"NA"))</f>
        <v>135225</v>
      </c>
      <c r="E102" s="56" t="n">
        <f aca="false" t="array" ref="E102:E102">IFERROR(INDEX('Inventory Hygiene'!$I$2:$I$252,MATCH($A102,'Inventory Hygiene'!$A$2:$A$252,0)),IFERROR(INDEX('Inventory Hygiene'!$I$2:$I$252,MATCH(SUBSTITUTE($A102," SS","  SS"),'Inventory Hygiene'!$A$2:$A$252,0)),"NA"))</f>
        <v>0.13</v>
      </c>
      <c r="F102" s="54" t="n">
        <f aca="false" t="array" ref="F102:F102">IFERROR(INDEX('Bad Bins'!$J$2:$J$252,MATCH($A102,'Bad Bins'!$A$2:$A$252,0)),IFERROR(INDEX('Bad Bins'!$J$2:$J$252,MATCH(SUBSTITUTE($A102," SS","  SS"),'Bad Bins'!$A$2:$A$252,0)),"NA"))</f>
        <v>3</v>
      </c>
      <c r="G102" s="54" t="n">
        <f aca="false" t="array" ref="G102:G102">IFERROR(INDEX('RSTO &gt; 48hrs'!$G$2:$G$134,MATCH($A102,'RSTO &gt; 48hrs'!$A$2:$A$134,0)),IFERROR(INDEX('RSTO &gt; 48hrs'!$G$2:$G$134,MATCH(SUBSTITUTE($A102," SS","  SS"),'RSTO &gt; 48hrs'!$A$2:$A$134,0)),"NA"))</f>
        <v>30</v>
      </c>
      <c r="H102" s="54" t="n">
        <f aca="false" t="array" ref="H102:H102">IFERROR(INDEX('Recirculation &gt; 24 hrs'!$J$2:$J$150,MATCH($A102,'Recirculation &gt; 24 hrs'!$A$2:$A$150,0)),IFERROR(INDEX('Recirculation &gt; 24 hrs'!$J$2:$J$150,MATCH(SUBSTITUTE($A102," SS","  SS"),'Recirculation &gt; 24 hrs'!$A$2:$A$150,0)),"NA"))</f>
        <v>349</v>
      </c>
      <c r="I102" s="54" t="n">
        <f aca="false" t="array" ref="I102:I102">IFERROR(INDEX('Pending Putaway'!$D$2:$D$255,MATCH($A102,'Pending Putaway'!$A$2:$A$255,0)),IFERROR(INDEX('Pending Putaway'!$D$2:$D$255,MATCH(SUBSTITUTE($A102," SS","  SS"),'Pending Putaway'!$A$2:$A$255,0)),"NA"))</f>
        <v>8084</v>
      </c>
      <c r="J102" s="54" t="n">
        <f aca="false" t="array" ref="J102:J102">IFERROR(INDEX('Pending Putaway'!$K$2:$K$255,MATCH($A102,'Pending Putaway'!$A$2:$A$255,0)),IFERROR(INDEX('Pending Putaway'!$K$2:$K$255,MATCH(SUBSTITUTE($A102," SS","  SS"),'Pending Putaway'!$A$2:$A$255,0)),"NA"))</f>
        <v>5612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customFormat="false" ht="15.75" hidden="false" customHeight="true" outlineLevel="0" collapsed="false">
      <c r="A103" s="54" t="s">
        <v>281</v>
      </c>
      <c r="B103" s="54" t="str">
        <f aca="false" t="array" ref="B103:B103">IFERROR(INDEX('CLM &amp; IM Mapping'!$B$2:$B$270,MATCH($A103,'CLM &amp; IM Mapping'!$A$2:$A$270,0)),"Not Mapped")</f>
        <v>Basil Scariya</v>
      </c>
      <c r="C103" s="54" t="str">
        <f aca="false" t="array" ref="C103:C103">IFERROR(INDEX('CLM &amp; IM Mapping'!$C$2:$C$270,MATCH($A103,'CLM &amp; IM Mapping'!$A$2:$A$270,0)),"Not Mapped")</f>
        <v>Prakash BS</v>
      </c>
      <c r="D103" s="55" t="n">
        <f aca="false" t="array" ref="D103:D103">IFERROR(INDEX(Shrinkage!$O$2:$O$260,MATCH($A103,Shrinkage!$C$2:$C$260,0)),IFERROR(INDEX(Shrinkage!$O$2:$O$260,MATCH(SUBSTITUTE($A103," SS","  SS"),Shrinkage!$C$2:$C$260,0)),"NA"))</f>
        <v>-16246</v>
      </c>
      <c r="E103" s="56" t="n">
        <f aca="false" t="array" ref="E103:E103">IFERROR(INDEX('Inventory Hygiene'!$I$2:$I$252,MATCH($A103,'Inventory Hygiene'!$A$2:$A$252,0)),IFERROR(INDEX('Inventory Hygiene'!$I$2:$I$252,MATCH(SUBSTITUTE($A103," SS","  SS"),'Inventory Hygiene'!$A$2:$A$252,0)),"NA"))</f>
        <v>0.58</v>
      </c>
      <c r="F103" s="54" t="n">
        <f aca="false" t="array" ref="F103:F103">IFERROR(INDEX('Bad Bins'!$J$2:$J$252,MATCH($A103,'Bad Bins'!$A$2:$A$252,0)),IFERROR(INDEX('Bad Bins'!$J$2:$J$252,MATCH(SUBSTITUTE($A103," SS","  SS"),'Bad Bins'!$A$2:$A$252,0)),"NA"))</f>
        <v>355</v>
      </c>
      <c r="G103" s="54" t="n">
        <f aca="false" t="array" ref="G103:G103">IFERROR(INDEX('RSTO &gt; 48hrs'!$G$2:$G$134,MATCH($A103,'RSTO &gt; 48hrs'!$A$2:$A$134,0)),IFERROR(INDEX('RSTO &gt; 48hrs'!$G$2:$G$134,MATCH(SUBSTITUTE($A103," SS","  SS"),'RSTO &gt; 48hrs'!$A$2:$A$134,0)),"NA"))</f>
        <v>35</v>
      </c>
      <c r="H103" s="54" t="n">
        <f aca="false" t="array" ref="H103:H103">IFERROR(INDEX('Recirculation &gt; 24 hrs'!$J$2:$J$150,MATCH($A103,'Recirculation &gt; 24 hrs'!$A$2:$A$150,0)),IFERROR(INDEX('Recirculation &gt; 24 hrs'!$J$2:$J$150,MATCH(SUBSTITUTE($A103," SS","  SS"),'Recirculation &gt; 24 hrs'!$A$2:$A$150,0)),"NA"))</f>
        <v>1599</v>
      </c>
      <c r="I103" s="54" t="n">
        <f aca="false" t="array" ref="I103:I103">IFERROR(INDEX('Pending Putaway'!$D$2:$D$255,MATCH($A103,'Pending Putaway'!$A$2:$A$255,0)),IFERROR(INDEX('Pending Putaway'!$D$2:$D$255,MATCH(SUBSTITUTE($A103," SS","  SS"),'Pending Putaway'!$A$2:$A$255,0)),"NA"))</f>
        <v>265</v>
      </c>
      <c r="J103" s="54" t="n">
        <f aca="false" t="array" ref="J103:J103">IFERROR(INDEX('Pending Putaway'!$K$2:$K$255,MATCH($A103,'Pending Putaway'!$A$2:$A$255,0)),IFERROR(INDEX('Pending Putaway'!$K$2:$K$255,MATCH(SUBSTITUTE($A103," SS","  SS"),'Pending Putaway'!$A$2:$A$255,0)),"NA"))</f>
        <v>265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customFormat="false" ht="15.75" hidden="false" customHeight="true" outlineLevel="0" collapsed="false">
      <c r="A104" s="54" t="s">
        <v>290</v>
      </c>
      <c r="B104" s="54" t="str">
        <f aca="false" t="array" ref="B104:B104">IFERROR(INDEX('CLM &amp; IM Mapping'!$B$2:$B$270,MATCH($A104,'CLM &amp; IM Mapping'!$A$2:$A$270,0)),"Not Mapped")</f>
        <v>Basil Scariya</v>
      </c>
      <c r="C104" s="54" t="str">
        <f aca="false" t="array" ref="C104:C104">IFERROR(INDEX('CLM &amp; IM Mapping'!$C$2:$C$270,MATCH($A104,'CLM &amp; IM Mapping'!$A$2:$A$270,0)),"Not Mapped")</f>
        <v>Prakash BS</v>
      </c>
      <c r="D104" s="55" t="n">
        <f aca="false" t="array" ref="D104:D104">IFERROR(INDEX(Shrinkage!$O$2:$O$260,MATCH($A104,Shrinkage!$C$2:$C$260,0)),IFERROR(INDEX(Shrinkage!$O$2:$O$260,MATCH(SUBSTITUTE($A104," SS","  SS"),Shrinkage!$C$2:$C$260,0)),"NA"))</f>
        <v>-25796</v>
      </c>
      <c r="E104" s="56" t="n">
        <f aca="false" t="array" ref="E104:E104">IFERROR(INDEX('Inventory Hygiene'!$I$2:$I$252,MATCH($A104,'Inventory Hygiene'!$A$2:$A$252,0)),IFERROR(INDEX('Inventory Hygiene'!$I$2:$I$252,MATCH(SUBSTITUTE($A104," SS","  SS"),'Inventory Hygiene'!$A$2:$A$252,0)),"NA"))</f>
        <v>0.49</v>
      </c>
      <c r="F104" s="54" t="n">
        <f aca="false" t="array" ref="F104:F104">IFERROR(INDEX('Bad Bins'!$J$2:$J$252,MATCH($A104,'Bad Bins'!$A$2:$A$252,0)),IFERROR(INDEX('Bad Bins'!$J$2:$J$252,MATCH(SUBSTITUTE($A104," SS","  SS"),'Bad Bins'!$A$2:$A$252,0)),"NA"))</f>
        <v>57</v>
      </c>
      <c r="G104" s="54" t="n">
        <f aca="false" t="array" ref="G104:G104">IFERROR(INDEX('RSTO &gt; 48hrs'!$G$2:$G$134,MATCH($A104,'RSTO &gt; 48hrs'!$A$2:$A$134,0)),IFERROR(INDEX('RSTO &gt; 48hrs'!$G$2:$G$134,MATCH(SUBSTITUTE($A104," SS","  SS"),'RSTO &gt; 48hrs'!$A$2:$A$134,0)),"NA"))</f>
        <v>69</v>
      </c>
      <c r="H104" s="54" t="str">
        <f aca="false" t="array" ref="H104:H104">IFERROR(INDEX('Recirculation &gt; 24 hrs'!$J$2:$J$150,MATCH($A104,'Recirculation &gt; 24 hrs'!$A$2:$A$150,0)),IFERROR(INDEX('Recirculation &gt; 24 hrs'!$J$2:$J$150,MATCH(SUBSTITUTE($A104," SS","  SS"),'Recirculation &gt; 24 hrs'!$A$2:$A$150,0)),"NA"))</f>
        <v>NA</v>
      </c>
      <c r="I104" s="54" t="n">
        <f aca="false" t="array" ref="I104:I104">IFERROR(INDEX('Pending Putaway'!$D$2:$D$255,MATCH($A104,'Pending Putaway'!$A$2:$A$255,0)),IFERROR(INDEX('Pending Putaway'!$D$2:$D$255,MATCH(SUBSTITUTE($A104," SS","  SS"),'Pending Putaway'!$A$2:$A$255,0)),"NA"))</f>
        <v>2464</v>
      </c>
      <c r="J104" s="54" t="n">
        <f aca="false" t="array" ref="J104:J104">IFERROR(INDEX('Pending Putaway'!$K$2:$K$255,MATCH($A104,'Pending Putaway'!$A$2:$A$255,0)),IFERROR(INDEX('Pending Putaway'!$K$2:$K$255,MATCH(SUBSTITUTE($A104," SS","  SS"),'Pending Putaway'!$A$2:$A$255,0)),"NA"))</f>
        <v>2463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customFormat="false" ht="15.75" hidden="false" customHeight="true" outlineLevel="0" collapsed="false">
      <c r="A105" s="54" t="s">
        <v>315</v>
      </c>
      <c r="B105" s="54" t="str">
        <f aca="false" t="array" ref="B105:B105">IFERROR(INDEX('CLM &amp; IM Mapping'!$B$2:$B$270,MATCH($A105,'CLM &amp; IM Mapping'!$A$2:$A$270,0)),"Not Mapped")</f>
        <v>Basil Scariya</v>
      </c>
      <c r="C105" s="54" t="str">
        <f aca="false" t="array" ref="C105:C105">IFERROR(INDEX('CLM &amp; IM Mapping'!$C$2:$C$270,MATCH($A105,'CLM &amp; IM Mapping'!$A$2:$A$270,0)),"Not Mapped")</f>
        <v>Prakash BS</v>
      </c>
      <c r="D105" s="55" t="str">
        <f aca="false" t="array" ref="D105:D105">IFERROR(INDEX(Shrinkage!$O$2:$O$260,MATCH($A105,Shrinkage!$C$2:$C$260,0)),IFERROR(INDEX(Shrinkage!$O$2:$O$260,MATCH(SUBSTITUTE($A105," SS","  SS"),Shrinkage!$C$2:$C$260,0)),"NA"))</f>
        <v>NA</v>
      </c>
      <c r="E105" s="56" t="n">
        <f aca="false" t="array" ref="E105:E105">IFERROR(INDEX('Inventory Hygiene'!$I$2:$I$252,MATCH($A105,'Inventory Hygiene'!$A$2:$A$252,0)),IFERROR(INDEX('Inventory Hygiene'!$I$2:$I$252,MATCH(SUBSTITUTE($A105," SS","  SS"),'Inventory Hygiene'!$A$2:$A$252,0)),"NA"))</f>
        <v>0</v>
      </c>
      <c r="F105" s="54" t="n">
        <f aca="false" t="array" ref="F105:F105">IFERROR(INDEX('Bad Bins'!$J$2:$J$252,MATCH($A105,'Bad Bins'!$A$2:$A$252,0)),IFERROR(INDEX('Bad Bins'!$J$2:$J$252,MATCH(SUBSTITUTE($A105," SS","  SS"),'Bad Bins'!$A$2:$A$252,0)),"NA"))</f>
        <v>0</v>
      </c>
      <c r="G105" s="54" t="n">
        <f aca="false" t="array" ref="G105:G105">IFERROR(INDEX('RSTO &gt; 48hrs'!$G$2:$G$134,MATCH($A105,'RSTO &gt; 48hrs'!$A$2:$A$134,0)),IFERROR(INDEX('RSTO &gt; 48hrs'!$G$2:$G$134,MATCH(SUBSTITUTE($A105," SS","  SS"),'RSTO &gt; 48hrs'!$A$2:$A$134,0)),"NA"))</f>
        <v>44</v>
      </c>
      <c r="H105" s="54" t="str">
        <f aca="false" t="array" ref="H105:H105">IFERROR(INDEX('Recirculation &gt; 24 hrs'!$J$2:$J$150,MATCH($A105,'Recirculation &gt; 24 hrs'!$A$2:$A$150,0)),IFERROR(INDEX('Recirculation &gt; 24 hrs'!$J$2:$J$150,MATCH(SUBSTITUTE($A105," SS","  SS"),'Recirculation &gt; 24 hrs'!$A$2:$A$150,0)),"NA"))</f>
        <v>NA</v>
      </c>
      <c r="I105" s="54" t="n">
        <f aca="false" t="array" ref="I105:I105">IFERROR(INDEX('Pending Putaway'!$D$2:$D$255,MATCH($A105,'Pending Putaway'!$A$2:$A$255,0)),IFERROR(INDEX('Pending Putaway'!$D$2:$D$255,MATCH(SUBSTITUTE($A105," SS","  SS"),'Pending Putaway'!$A$2:$A$255,0)),"NA"))</f>
        <v>0</v>
      </c>
      <c r="J105" s="54" t="n">
        <f aca="false" t="array" ref="J105:J105">IFERROR(INDEX('Pending Putaway'!$K$2:$K$255,MATCH($A105,'Pending Putaway'!$A$2:$A$255,0)),IFERROR(INDEX('Pending Putaway'!$K$2:$K$255,MATCH(SUBSTITUTE($A105," SS","  SS"),'Pending Putaway'!$A$2:$A$255,0)),"NA"))</f>
        <v>0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customFormat="false" ht="15.75" hidden="false" customHeight="true" outlineLevel="0" collapsed="false">
      <c r="A106" s="54" t="s">
        <v>37</v>
      </c>
      <c r="B106" s="54" t="str">
        <f aca="false" t="array" ref="B106:B106">IFERROR(INDEX('CLM &amp; IM Mapping'!$B$2:$B$270,MATCH($A106,'CLM &amp; IM Mapping'!$A$2:$A$270,0)),"Not Mapped")</f>
        <v>Basil Scariya</v>
      </c>
      <c r="C106" s="54" t="str">
        <f aca="false" t="array" ref="C106:C106">IFERROR(INDEX('CLM &amp; IM Mapping'!$C$2:$C$270,MATCH($A106,'CLM &amp; IM Mapping'!$A$2:$A$270,0)),"Not Mapped")</f>
        <v>Prakash BS</v>
      </c>
      <c r="D106" s="55" t="n">
        <f aca="false" t="array" ref="D106:D106">IFERROR(INDEX(Shrinkage!$O$2:$O$260,MATCH($A106,Shrinkage!$C$2:$C$260,0)),IFERROR(INDEX(Shrinkage!$O$2:$O$260,MATCH(SUBSTITUTE($A106," SS","  SS"),Shrinkage!$C$2:$C$260,0)),"NA"))</f>
        <v>52152</v>
      </c>
      <c r="E106" s="56" t="n">
        <f aca="false" t="array" ref="E106:E106">IFERROR(INDEX('Inventory Hygiene'!$I$2:$I$252,MATCH($A106,'Inventory Hygiene'!$A$2:$A$252,0)),IFERROR(INDEX('Inventory Hygiene'!$I$2:$I$252,MATCH(SUBSTITUTE($A106," SS","  SS"),'Inventory Hygiene'!$A$2:$A$252,0)),"NA"))</f>
        <v>0.55</v>
      </c>
      <c r="F106" s="54" t="n">
        <f aca="false" t="array" ref="F106:F106">IFERROR(INDEX('Bad Bins'!$J$2:$J$252,MATCH($A106,'Bad Bins'!$A$2:$A$252,0)),IFERROR(INDEX('Bad Bins'!$J$2:$J$252,MATCH(SUBSTITUTE($A106," SS","  SS"),'Bad Bins'!$A$2:$A$252,0)),"NA"))</f>
        <v>47</v>
      </c>
      <c r="G106" s="54" t="n">
        <f aca="false" t="array" ref="G106:G106">IFERROR(INDEX('RSTO &gt; 48hrs'!$G$2:$G$134,MATCH($A106,'RSTO &gt; 48hrs'!$A$2:$A$134,0)),IFERROR(INDEX('RSTO &gt; 48hrs'!$G$2:$G$134,MATCH(SUBSTITUTE($A106," SS","  SS"),'RSTO &gt; 48hrs'!$A$2:$A$134,0)),"NA"))</f>
        <v>17</v>
      </c>
      <c r="H106" s="54" t="n">
        <f aca="false" t="array" ref="H106:H106">IFERROR(INDEX('Recirculation &gt; 24 hrs'!$J$2:$J$150,MATCH($A106,'Recirculation &gt; 24 hrs'!$A$2:$A$150,0)),IFERROR(INDEX('Recirculation &gt; 24 hrs'!$J$2:$J$150,MATCH(SUBSTITUTE($A106," SS","  SS"),'Recirculation &gt; 24 hrs'!$A$2:$A$150,0)),"NA"))</f>
        <v>3</v>
      </c>
      <c r="I106" s="54" t="n">
        <f aca="false" t="array" ref="I106:I106">IFERROR(INDEX('Pending Putaway'!$D$2:$D$255,MATCH($A106,'Pending Putaway'!$A$2:$A$255,0)),IFERROR(INDEX('Pending Putaway'!$D$2:$D$255,MATCH(SUBSTITUTE($A106," SS","  SS"),'Pending Putaway'!$A$2:$A$255,0)),"NA"))</f>
        <v>3644</v>
      </c>
      <c r="J106" s="54" t="n">
        <f aca="false" t="array" ref="J106:J106">IFERROR(INDEX('Pending Putaway'!$K$2:$K$255,MATCH($A106,'Pending Putaway'!$A$2:$A$255,0)),IFERROR(INDEX('Pending Putaway'!$K$2:$K$255,MATCH(SUBSTITUTE($A106," SS","  SS"),'Pending Putaway'!$A$2:$A$255,0)),"NA"))</f>
        <v>0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customFormat="false" ht="15.75" hidden="false" customHeight="true" outlineLevel="0" collapsed="false">
      <c r="A107" s="54" t="s">
        <v>163</v>
      </c>
      <c r="B107" s="54" t="str">
        <f aca="false" t="array" ref="B107:B107">IFERROR(INDEX('CLM &amp; IM Mapping'!$B$2:$B$270,MATCH($A107,'CLM &amp; IM Mapping'!$A$2:$A$270,0)),"Not Mapped")</f>
        <v>Basil Scariya</v>
      </c>
      <c r="C107" s="54" t="str">
        <f aca="false" t="array" ref="C107:C107">IFERROR(INDEX('CLM &amp; IM Mapping'!$C$2:$C$270,MATCH($A107,'CLM &amp; IM Mapping'!$A$2:$A$270,0)),"Not Mapped")</f>
        <v>Prakash BS</v>
      </c>
      <c r="D107" s="55" t="n">
        <f aca="false" t="array" ref="D107:D107">IFERROR(INDEX(Shrinkage!$O$2:$O$260,MATCH($A107,Shrinkage!$C$2:$C$260,0)),IFERROR(INDEX(Shrinkage!$O$2:$O$260,MATCH(SUBSTITUTE($A107," SS","  SS"),Shrinkage!$C$2:$C$260,0)),"NA"))</f>
        <v>2681</v>
      </c>
      <c r="E107" s="56" t="n">
        <f aca="false" t="array" ref="E107:E107">IFERROR(INDEX('Inventory Hygiene'!$I$2:$I$252,MATCH($A107,'Inventory Hygiene'!$A$2:$A$252,0)),IFERROR(INDEX('Inventory Hygiene'!$I$2:$I$252,MATCH(SUBSTITUTE($A107," SS","  SS"),'Inventory Hygiene'!$A$2:$A$252,0)),"NA"))</f>
        <v>0.86</v>
      </c>
      <c r="F107" s="54" t="n">
        <f aca="false" t="array" ref="F107:F107">IFERROR(INDEX('Bad Bins'!$J$2:$J$252,MATCH($A107,'Bad Bins'!$A$2:$A$252,0)),IFERROR(INDEX('Bad Bins'!$J$2:$J$252,MATCH(SUBSTITUTE($A107," SS","  SS"),'Bad Bins'!$A$2:$A$252,0)),"NA"))</f>
        <v>3</v>
      </c>
      <c r="G107" s="54" t="n">
        <f aca="false" t="array" ref="G107:G107">IFERROR(INDEX('RSTO &gt; 48hrs'!$G$2:$G$134,MATCH($A107,'RSTO &gt; 48hrs'!$A$2:$A$134,0)),IFERROR(INDEX('RSTO &gt; 48hrs'!$G$2:$G$134,MATCH(SUBSTITUTE($A107," SS","  SS"),'RSTO &gt; 48hrs'!$A$2:$A$134,0)),"NA"))</f>
        <v>9</v>
      </c>
      <c r="H107" s="54" t="str">
        <f aca="false" t="array" ref="H107:H107">IFERROR(INDEX('Recirculation &gt; 24 hrs'!$J$2:$J$150,MATCH($A107,'Recirculation &gt; 24 hrs'!$A$2:$A$150,0)),IFERROR(INDEX('Recirculation &gt; 24 hrs'!$J$2:$J$150,MATCH(SUBSTITUTE($A107," SS","  SS"),'Recirculation &gt; 24 hrs'!$A$2:$A$150,0)),"NA"))</f>
        <v>NA</v>
      </c>
      <c r="I107" s="54" t="n">
        <f aca="false" t="array" ref="I107:I107">IFERROR(INDEX('Pending Putaway'!$D$2:$D$255,MATCH($A107,'Pending Putaway'!$A$2:$A$255,0)),IFERROR(INDEX('Pending Putaway'!$D$2:$D$255,MATCH(SUBSTITUTE($A107," SS","  SS"),'Pending Putaway'!$A$2:$A$255,0)),"NA"))</f>
        <v>0</v>
      </c>
      <c r="J107" s="54" t="n">
        <f aca="false" t="array" ref="J107:J107">IFERROR(INDEX('Pending Putaway'!$K$2:$K$255,MATCH($A107,'Pending Putaway'!$A$2:$A$255,0)),IFERROR(INDEX('Pending Putaway'!$K$2:$K$255,MATCH(SUBSTITUTE($A107," SS","  SS"),'Pending Putaway'!$A$2:$A$255,0)),"NA"))</f>
        <v>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customFormat="false" ht="15.75" hidden="false" customHeight="true" outlineLevel="0" collapsed="false">
      <c r="A108" s="54" t="s">
        <v>120</v>
      </c>
      <c r="B108" s="54" t="str">
        <f aca="false" t="array" ref="B108:B108">IFERROR(INDEX('CLM &amp; IM Mapping'!$B$2:$B$270,MATCH($A108,'CLM &amp; IM Mapping'!$A$2:$A$270,0)),"Not Mapped")</f>
        <v>Basil Scariya</v>
      </c>
      <c r="C108" s="54" t="str">
        <f aca="false" t="array" ref="C108:C108">IFERROR(INDEX('CLM &amp; IM Mapping'!$C$2:$C$270,MATCH($A108,'CLM &amp; IM Mapping'!$A$2:$A$270,0)),"Not Mapped")</f>
        <v>Prakash BS</v>
      </c>
      <c r="D108" s="55" t="n">
        <f aca="false" t="array" ref="D108:D108">IFERROR(INDEX(Shrinkage!$O$2:$O$260,MATCH($A108,Shrinkage!$C$2:$C$260,0)),IFERROR(INDEX(Shrinkage!$O$2:$O$260,MATCH(SUBSTITUTE($A108," SS","  SS"),Shrinkage!$C$2:$C$260,0)),"NA"))</f>
        <v>11074</v>
      </c>
      <c r="E108" s="56" t="n">
        <f aca="false" t="array" ref="E108:E108">IFERROR(INDEX('Inventory Hygiene'!$I$2:$I$252,MATCH($A108,'Inventory Hygiene'!$A$2:$A$252,0)),IFERROR(INDEX('Inventory Hygiene'!$I$2:$I$252,MATCH(SUBSTITUTE($A108," SS","  SS"),'Inventory Hygiene'!$A$2:$A$252,0)),"NA"))</f>
        <v>0.52</v>
      </c>
      <c r="F108" s="54" t="n">
        <f aca="false" t="array" ref="F108:F108">IFERROR(INDEX('Bad Bins'!$J$2:$J$252,MATCH($A108,'Bad Bins'!$A$2:$A$252,0)),IFERROR(INDEX('Bad Bins'!$J$2:$J$252,MATCH(SUBSTITUTE($A108," SS","  SS"),'Bad Bins'!$A$2:$A$252,0)),"NA"))</f>
        <v>387</v>
      </c>
      <c r="G108" s="54" t="n">
        <f aca="false" t="array" ref="G108:G108">IFERROR(INDEX('RSTO &gt; 48hrs'!$G$2:$G$134,MATCH($A108,'RSTO &gt; 48hrs'!$A$2:$A$134,0)),IFERROR(INDEX('RSTO &gt; 48hrs'!$G$2:$G$134,MATCH(SUBSTITUTE($A108," SS","  SS"),'RSTO &gt; 48hrs'!$A$2:$A$134,0)),"NA"))</f>
        <v>417</v>
      </c>
      <c r="H108" s="54" t="n">
        <f aca="false" t="array" ref="H108:H108">IFERROR(INDEX('Recirculation &gt; 24 hrs'!$J$2:$J$150,MATCH($A108,'Recirculation &gt; 24 hrs'!$A$2:$A$150,0)),IFERROR(INDEX('Recirculation &gt; 24 hrs'!$J$2:$J$150,MATCH(SUBSTITUTE($A108," SS","  SS"),'Recirculation &gt; 24 hrs'!$A$2:$A$150,0)),"NA"))</f>
        <v>6</v>
      </c>
      <c r="I108" s="54" t="n">
        <f aca="false" t="array" ref="I108:I108">IFERROR(INDEX('Pending Putaway'!$D$2:$D$255,MATCH($A108,'Pending Putaway'!$A$2:$A$255,0)),IFERROR(INDEX('Pending Putaway'!$D$2:$D$255,MATCH(SUBSTITUTE($A108," SS","  SS"),'Pending Putaway'!$A$2:$A$255,0)),"NA"))</f>
        <v>3326</v>
      </c>
      <c r="J108" s="54" t="n">
        <f aca="false" t="array" ref="J108:J108">IFERROR(INDEX('Pending Putaway'!$K$2:$K$255,MATCH($A108,'Pending Putaway'!$A$2:$A$255,0)),IFERROR(INDEX('Pending Putaway'!$K$2:$K$255,MATCH(SUBSTITUTE($A108," SS","  SS"),'Pending Putaway'!$A$2:$A$255,0)),"NA"))</f>
        <v>3212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customFormat="false" ht="15.75" hidden="false" customHeight="true" outlineLevel="0" collapsed="false">
      <c r="A109" s="54" t="s">
        <v>127</v>
      </c>
      <c r="B109" s="54" t="str">
        <f aca="false" t="array" ref="B109:B109">IFERROR(INDEX('CLM &amp; IM Mapping'!$B$2:$B$270,MATCH($A109,'CLM &amp; IM Mapping'!$A$2:$A$270,0)),"Not Mapped")</f>
        <v>Rizwan Ahmed</v>
      </c>
      <c r="C109" s="54" t="str">
        <f aca="false" t="array" ref="C109:C109">IFERROR(INDEX('CLM &amp; IM Mapping'!$C$2:$C$270,MATCH($A109,'CLM &amp; IM Mapping'!$A$2:$A$270,0)),"Not Mapped")</f>
        <v>Prakash BS</v>
      </c>
      <c r="D109" s="55" t="n">
        <f aca="false" t="array" ref="D109:D109">IFERROR(INDEX(Shrinkage!$O$2:$O$260,MATCH($A109,Shrinkage!$C$2:$C$260,0)),IFERROR(INDEX(Shrinkage!$O$2:$O$260,MATCH(SUBSTITUTE($A109," SS","  SS"),Shrinkage!$C$2:$C$260,0)),"NA"))</f>
        <v>8883</v>
      </c>
      <c r="E109" s="56" t="n">
        <f aca="false" t="array" ref="E109:E109">IFERROR(INDEX('Inventory Hygiene'!$I$2:$I$252,MATCH($A109,'Inventory Hygiene'!$A$2:$A$252,0)),IFERROR(INDEX('Inventory Hygiene'!$I$2:$I$252,MATCH(SUBSTITUTE($A109," SS","  SS"),'Inventory Hygiene'!$A$2:$A$252,0)),"NA"))</f>
        <v>0.61</v>
      </c>
      <c r="F109" s="54" t="n">
        <f aca="false" t="array" ref="F109:F109">IFERROR(INDEX('Bad Bins'!$J$2:$J$252,MATCH($A109,'Bad Bins'!$A$2:$A$252,0)),IFERROR(INDEX('Bad Bins'!$J$2:$J$252,MATCH(SUBSTITUTE($A109," SS","  SS"),'Bad Bins'!$A$2:$A$252,0)),"NA"))</f>
        <v>350</v>
      </c>
      <c r="G109" s="54" t="n">
        <f aca="false" t="array" ref="G109:G109">IFERROR(INDEX('RSTO &gt; 48hrs'!$G$2:$G$134,MATCH($A109,'RSTO &gt; 48hrs'!$A$2:$A$134,0)),IFERROR(INDEX('RSTO &gt; 48hrs'!$G$2:$G$134,MATCH(SUBSTITUTE($A109," SS","  SS"),'RSTO &gt; 48hrs'!$A$2:$A$134,0)),"NA"))</f>
        <v>445</v>
      </c>
      <c r="H109" s="54" t="n">
        <f aca="false" t="array" ref="H109:H109">IFERROR(INDEX('Recirculation &gt; 24 hrs'!$J$2:$J$150,MATCH($A109,'Recirculation &gt; 24 hrs'!$A$2:$A$150,0)),IFERROR(INDEX('Recirculation &gt; 24 hrs'!$J$2:$J$150,MATCH(SUBSTITUTE($A109," SS","  SS"),'Recirculation &gt; 24 hrs'!$A$2:$A$150,0)),"NA"))</f>
        <v>337</v>
      </c>
      <c r="I109" s="54" t="n">
        <f aca="false" t="array" ref="I109:I109">IFERROR(INDEX('Pending Putaway'!$D$2:$D$255,MATCH($A109,'Pending Putaway'!$A$2:$A$255,0)),IFERROR(INDEX('Pending Putaway'!$D$2:$D$255,MATCH(SUBSTITUTE($A109," SS","  SS"),'Pending Putaway'!$A$2:$A$255,0)),"NA"))</f>
        <v>3771</v>
      </c>
      <c r="J109" s="54" t="n">
        <f aca="false" t="array" ref="J109:J109">IFERROR(INDEX('Pending Putaway'!$K$2:$K$255,MATCH($A109,'Pending Putaway'!$A$2:$A$255,0)),IFERROR(INDEX('Pending Putaway'!$K$2:$K$255,MATCH(SUBSTITUTE($A109," SS","  SS"),'Pending Putaway'!$A$2:$A$255,0)),"NA"))</f>
        <v>225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customFormat="false" ht="15.75" hidden="false" customHeight="true" outlineLevel="0" collapsed="false">
      <c r="A110" s="54" t="s">
        <v>122</v>
      </c>
      <c r="B110" s="54" t="str">
        <f aca="false" t="array" ref="B110:B110">IFERROR(INDEX('CLM &amp; IM Mapping'!$B$2:$B$270,MATCH($A110,'CLM &amp; IM Mapping'!$A$2:$A$270,0)),"Not Mapped")</f>
        <v>Raghavendra Vernekar</v>
      </c>
      <c r="C110" s="54" t="str">
        <f aca="false" t="array" ref="C110:C110">IFERROR(INDEX('CLM &amp; IM Mapping'!$C$2:$C$270,MATCH($A110,'CLM &amp; IM Mapping'!$A$2:$A$270,0)),"Not Mapped")</f>
        <v>Prakash BS</v>
      </c>
      <c r="D110" s="55" t="n">
        <f aca="false" t="array" ref="D110:D110">IFERROR(INDEX(Shrinkage!$O$2:$O$260,MATCH($A110,Shrinkage!$C$2:$C$260,0)),IFERROR(INDEX(Shrinkage!$O$2:$O$260,MATCH(SUBSTITUTE($A110," SS","  SS"),Shrinkage!$C$2:$C$260,0)),"NA"))</f>
        <v>10056</v>
      </c>
      <c r="E110" s="56" t="n">
        <f aca="false" t="array" ref="E110:E110">IFERROR(INDEX('Inventory Hygiene'!$I$2:$I$252,MATCH($A110,'Inventory Hygiene'!$A$2:$A$252,0)),IFERROR(INDEX('Inventory Hygiene'!$I$2:$I$252,MATCH(SUBSTITUTE($A110," SS","  SS"),'Inventory Hygiene'!$A$2:$A$252,0)),"NA"))</f>
        <v>0.72</v>
      </c>
      <c r="F110" s="54" t="n">
        <f aca="false" t="array" ref="F110:F110">IFERROR(INDEX('Bad Bins'!$J$2:$J$252,MATCH($A110,'Bad Bins'!$A$2:$A$252,0)),IFERROR(INDEX('Bad Bins'!$J$2:$J$252,MATCH(SUBSTITUTE($A110," SS","  SS"),'Bad Bins'!$A$2:$A$252,0)),"NA"))</f>
        <v>448</v>
      </c>
      <c r="G110" s="54" t="n">
        <f aca="false" t="array" ref="G110:G110">IFERROR(INDEX('RSTO &gt; 48hrs'!$G$2:$G$134,MATCH($A110,'RSTO &gt; 48hrs'!$A$2:$A$134,0)),IFERROR(INDEX('RSTO &gt; 48hrs'!$G$2:$G$134,MATCH(SUBSTITUTE($A110," SS","  SS"),'RSTO &gt; 48hrs'!$A$2:$A$134,0)),"NA"))</f>
        <v>15</v>
      </c>
      <c r="H110" s="54" t="n">
        <f aca="false" t="array" ref="H110:H110">IFERROR(INDEX('Recirculation &gt; 24 hrs'!$J$2:$J$150,MATCH($A110,'Recirculation &gt; 24 hrs'!$A$2:$A$150,0)),IFERROR(INDEX('Recirculation &gt; 24 hrs'!$J$2:$J$150,MATCH(SUBSTITUTE($A110," SS","  SS"),'Recirculation &gt; 24 hrs'!$A$2:$A$150,0)),"NA"))</f>
        <v>1452</v>
      </c>
      <c r="I110" s="54" t="n">
        <f aca="false" t="array" ref="I110:I110">IFERROR(INDEX('Pending Putaway'!$D$2:$D$255,MATCH($A110,'Pending Putaway'!$A$2:$A$255,0)),IFERROR(INDEX('Pending Putaway'!$D$2:$D$255,MATCH(SUBSTITUTE($A110," SS","  SS"),'Pending Putaway'!$A$2:$A$255,0)),"NA"))</f>
        <v>1352</v>
      </c>
      <c r="J110" s="54" t="n">
        <f aca="false" t="array" ref="J110:J110">IFERROR(INDEX('Pending Putaway'!$K$2:$K$255,MATCH($A110,'Pending Putaway'!$A$2:$A$255,0)),IFERROR(INDEX('Pending Putaway'!$K$2:$K$255,MATCH(SUBSTITUTE($A110," SS","  SS"),'Pending Putaway'!$A$2:$A$255,0)),"NA"))</f>
        <v>0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customFormat="false" ht="15.75" hidden="false" customHeight="true" outlineLevel="0" collapsed="false">
      <c r="A111" s="54" t="s">
        <v>337</v>
      </c>
      <c r="B111" s="54" t="str">
        <f aca="false" t="array" ref="B111:B111">IFERROR(INDEX('CLM &amp; IM Mapping'!$B$2:$B$270,MATCH($A111,'CLM &amp; IM Mapping'!$A$2:$A$270,0)),"Not Mapped")</f>
        <v>Raghavendra Vernekar</v>
      </c>
      <c r="C111" s="54" t="str">
        <f aca="false" t="array" ref="C111:C111">IFERROR(INDEX('CLM &amp; IM Mapping'!$C$2:$C$270,MATCH($A111,'CLM &amp; IM Mapping'!$A$2:$A$270,0)),"Not Mapped")</f>
        <v>Prakash BS</v>
      </c>
      <c r="D111" s="55" t="n">
        <f aca="false" t="array" ref="D111:D111">IFERROR(INDEX(Shrinkage!$O$2:$O$260,MATCH($A111,Shrinkage!$C$2:$C$260,0)),IFERROR(INDEX(Shrinkage!$O$2:$O$260,MATCH(SUBSTITUTE($A111," SS","  SS"),Shrinkage!$C$2:$C$260,0)),"NA"))</f>
        <v>39369</v>
      </c>
      <c r="E111" s="56" t="n">
        <f aca="false" t="array" ref="E111:E111">IFERROR(INDEX('Inventory Hygiene'!$I$2:$I$252,MATCH($A111,'Inventory Hygiene'!$A$2:$A$252,0)),IFERROR(INDEX('Inventory Hygiene'!$I$2:$I$252,MATCH(SUBSTITUTE($A111," SS","  SS"),'Inventory Hygiene'!$A$2:$A$252,0)),"NA"))</f>
        <v>0.25</v>
      </c>
      <c r="F111" s="54" t="n">
        <f aca="false" t="array" ref="F111:F111">IFERROR(INDEX('Bad Bins'!$J$2:$J$252,MATCH($A111,'Bad Bins'!$A$2:$A$252,0)),IFERROR(INDEX('Bad Bins'!$J$2:$J$252,MATCH(SUBSTITUTE($A111," SS","  SS"),'Bad Bins'!$A$2:$A$252,0)),"NA"))</f>
        <v>282</v>
      </c>
      <c r="G111" s="54" t="str">
        <f aca="false" t="array" ref="G111:G111">IFERROR(INDEX('RSTO &gt; 48hrs'!$G$2:$G$134,MATCH($A111,'RSTO &gt; 48hrs'!$A$2:$A$134,0)),IFERROR(INDEX('RSTO &gt; 48hrs'!$G$2:$G$134,MATCH(SUBSTITUTE($A111," SS","  SS"),'RSTO &gt; 48hrs'!$A$2:$A$134,0)),"NA"))</f>
        <v>NA</v>
      </c>
      <c r="H111" s="54" t="str">
        <f aca="false" t="array" ref="H111:H111">IFERROR(INDEX('Recirculation &gt; 24 hrs'!$J$2:$J$150,MATCH($A111,'Recirculation &gt; 24 hrs'!$A$2:$A$150,0)),IFERROR(INDEX('Recirculation &gt; 24 hrs'!$J$2:$J$150,MATCH(SUBSTITUTE($A111," SS","  SS"),'Recirculation &gt; 24 hrs'!$A$2:$A$150,0)),"NA"))</f>
        <v>NA</v>
      </c>
      <c r="I111" s="54" t="n">
        <f aca="false" t="array" ref="I111:I111">IFERROR(INDEX('Pending Putaway'!$D$2:$D$255,MATCH($A111,'Pending Putaway'!$A$2:$A$255,0)),IFERROR(INDEX('Pending Putaway'!$D$2:$D$255,MATCH(SUBSTITUTE($A111," SS","  SS"),'Pending Putaway'!$A$2:$A$255,0)),"NA"))</f>
        <v>3712</v>
      </c>
      <c r="J111" s="54" t="n">
        <f aca="false" t="array" ref="J111:J111">IFERROR(INDEX('Pending Putaway'!$K$2:$K$255,MATCH($A111,'Pending Putaway'!$A$2:$A$255,0)),IFERROR(INDEX('Pending Putaway'!$K$2:$K$255,MATCH(SUBSTITUTE($A111," SS","  SS"),'Pending Putaway'!$A$2:$A$255,0)),"NA"))</f>
        <v>12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customFormat="false" ht="15.75" hidden="false" customHeight="true" outlineLevel="0" collapsed="false">
      <c r="A112" s="54" t="s">
        <v>174</v>
      </c>
      <c r="B112" s="54" t="str">
        <f aca="false" t="array" ref="B112:B112">IFERROR(INDEX('CLM &amp; IM Mapping'!$B$2:$B$270,MATCH($A112,'CLM &amp; IM Mapping'!$A$2:$A$270,0)),"Not Mapped")</f>
        <v>Raghavendra Vernekar</v>
      </c>
      <c r="C112" s="54" t="str">
        <f aca="false" t="array" ref="C112:C112">IFERROR(INDEX('CLM &amp; IM Mapping'!$C$2:$C$270,MATCH($A112,'CLM &amp; IM Mapping'!$A$2:$A$270,0)),"Not Mapped")</f>
        <v>Prakash BS</v>
      </c>
      <c r="D112" s="55" t="n">
        <f aca="false" t="array" ref="D112:D112">IFERROR(INDEX(Shrinkage!$O$2:$O$260,MATCH($A112,Shrinkage!$C$2:$C$260,0)),IFERROR(INDEX(Shrinkage!$O$2:$O$260,MATCH(SUBSTITUTE($A112," SS","  SS"),Shrinkage!$C$2:$C$260,0)),"NA"))</f>
        <v>711</v>
      </c>
      <c r="E112" s="56" t="n">
        <f aca="false" t="array" ref="E112:E112">IFERROR(INDEX('Inventory Hygiene'!$I$2:$I$252,MATCH($A112,'Inventory Hygiene'!$A$2:$A$252,0)),IFERROR(INDEX('Inventory Hygiene'!$I$2:$I$252,MATCH(SUBSTITUTE($A112," SS","  SS"),'Inventory Hygiene'!$A$2:$A$252,0)),"NA"))</f>
        <v>0.55</v>
      </c>
      <c r="F112" s="54" t="n">
        <f aca="false" t="array" ref="F112:F112">IFERROR(INDEX('Bad Bins'!$J$2:$J$252,MATCH($A112,'Bad Bins'!$A$2:$A$252,0)),IFERROR(INDEX('Bad Bins'!$J$2:$J$252,MATCH(SUBSTITUTE($A112," SS","  SS"),'Bad Bins'!$A$2:$A$252,0)),"NA"))</f>
        <v>11</v>
      </c>
      <c r="G112" s="54" t="str">
        <f aca="false" t="array" ref="G112:G112">IFERROR(INDEX('RSTO &gt; 48hrs'!$G$2:$G$134,MATCH($A112,'RSTO &gt; 48hrs'!$A$2:$A$134,0)),IFERROR(INDEX('RSTO &gt; 48hrs'!$G$2:$G$134,MATCH(SUBSTITUTE($A112," SS","  SS"),'RSTO &gt; 48hrs'!$A$2:$A$134,0)),"NA"))</f>
        <v>NA</v>
      </c>
      <c r="H112" s="54" t="str">
        <f aca="false" t="array" ref="H112:H112">IFERROR(INDEX('Recirculation &gt; 24 hrs'!$J$2:$J$150,MATCH($A112,'Recirculation &gt; 24 hrs'!$A$2:$A$150,0)),IFERROR(INDEX('Recirculation &gt; 24 hrs'!$J$2:$J$150,MATCH(SUBSTITUTE($A112," SS","  SS"),'Recirculation &gt; 24 hrs'!$A$2:$A$150,0)),"NA"))</f>
        <v>NA</v>
      </c>
      <c r="I112" s="54" t="n">
        <f aca="false" t="array" ref="I112:I112">IFERROR(INDEX('Pending Putaway'!$D$2:$D$255,MATCH($A112,'Pending Putaway'!$A$2:$A$255,0)),IFERROR(INDEX('Pending Putaway'!$D$2:$D$255,MATCH(SUBSTITUTE($A112," SS","  SS"),'Pending Putaway'!$A$2:$A$255,0)),"NA"))</f>
        <v>545</v>
      </c>
      <c r="J112" s="54" t="n">
        <f aca="false" t="array" ref="J112:J112">IFERROR(INDEX('Pending Putaway'!$K$2:$K$255,MATCH($A112,'Pending Putaway'!$A$2:$A$255,0)),IFERROR(INDEX('Pending Putaway'!$K$2:$K$255,MATCH(SUBSTITUTE($A112," SS","  SS"),'Pending Putaway'!$A$2:$A$255,0)),"NA"))</f>
        <v>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customFormat="false" ht="15.75" hidden="false" customHeight="true" outlineLevel="0" collapsed="false">
      <c r="A113" s="54" t="s">
        <v>51</v>
      </c>
      <c r="B113" s="54" t="str">
        <f aca="false" t="array" ref="B113:B113">IFERROR(INDEX('CLM &amp; IM Mapping'!$B$2:$B$270,MATCH($A113,'CLM &amp; IM Mapping'!$A$2:$A$270,0)),"Not Mapped")</f>
        <v>Raghavendra Vernekar</v>
      </c>
      <c r="C113" s="54" t="str">
        <f aca="false" t="array" ref="C113:C113">IFERROR(INDEX('CLM &amp; IM Mapping'!$C$2:$C$270,MATCH($A113,'CLM &amp; IM Mapping'!$A$2:$A$270,0)),"Not Mapped")</f>
        <v>Prakash BS</v>
      </c>
      <c r="D113" s="55" t="n">
        <f aca="false" t="array" ref="D113:D113">IFERROR(INDEX(Shrinkage!$O$2:$O$260,MATCH($A113,Shrinkage!$C$2:$C$260,0)),IFERROR(INDEX(Shrinkage!$O$2:$O$260,MATCH(SUBSTITUTE($A113," SS","  SS"),Shrinkage!$C$2:$C$260,0)),"NA"))</f>
        <v>42952</v>
      </c>
      <c r="E113" s="56" t="n">
        <f aca="false" t="array" ref="E113:E113">IFERROR(INDEX('Inventory Hygiene'!$I$2:$I$252,MATCH($A113,'Inventory Hygiene'!$A$2:$A$252,0)),IFERROR(INDEX('Inventory Hygiene'!$I$2:$I$252,MATCH(SUBSTITUTE($A113," SS","  SS"),'Inventory Hygiene'!$A$2:$A$252,0)),"NA"))</f>
        <v>0.56</v>
      </c>
      <c r="F113" s="54" t="n">
        <f aca="false" t="array" ref="F113:F113">IFERROR(INDEX('Bad Bins'!$J$2:$J$252,MATCH($A113,'Bad Bins'!$A$2:$A$252,0)),IFERROR(INDEX('Bad Bins'!$J$2:$J$252,MATCH(SUBSTITUTE($A113," SS","  SS"),'Bad Bins'!$A$2:$A$252,0)),"NA"))</f>
        <v>142</v>
      </c>
      <c r="G113" s="54" t="n">
        <f aca="false" t="array" ref="G113:G113">IFERROR(INDEX('RSTO &gt; 48hrs'!$G$2:$G$134,MATCH($A113,'RSTO &gt; 48hrs'!$A$2:$A$134,0)),IFERROR(INDEX('RSTO &gt; 48hrs'!$G$2:$G$134,MATCH(SUBSTITUTE($A113," SS","  SS"),'RSTO &gt; 48hrs'!$A$2:$A$134,0)),"NA"))</f>
        <v>147</v>
      </c>
      <c r="H113" s="54" t="n">
        <f aca="false" t="array" ref="H113:H113">IFERROR(INDEX('Recirculation &gt; 24 hrs'!$J$2:$J$150,MATCH($A113,'Recirculation &gt; 24 hrs'!$A$2:$A$150,0)),IFERROR(INDEX('Recirculation &gt; 24 hrs'!$J$2:$J$150,MATCH(SUBSTITUTE($A113," SS","  SS"),'Recirculation &gt; 24 hrs'!$A$2:$A$150,0)),"NA"))</f>
        <v>24</v>
      </c>
      <c r="I113" s="54" t="n">
        <f aca="false" t="array" ref="I113:I113">IFERROR(INDEX('Pending Putaway'!$D$2:$D$255,MATCH($A113,'Pending Putaway'!$A$2:$A$255,0)),IFERROR(INDEX('Pending Putaway'!$D$2:$D$255,MATCH(SUBSTITUTE($A113," SS","  SS"),'Pending Putaway'!$A$2:$A$255,0)),"NA"))</f>
        <v>5089</v>
      </c>
      <c r="J113" s="54" t="n">
        <f aca="false" t="array" ref="J113:J113">IFERROR(INDEX('Pending Putaway'!$K$2:$K$255,MATCH($A113,'Pending Putaway'!$A$2:$A$255,0)),IFERROR(INDEX('Pending Putaway'!$K$2:$K$255,MATCH(SUBSTITUTE($A113," SS","  SS"),'Pending Putaway'!$A$2:$A$255,0)),"NA"))</f>
        <v>25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customFormat="false" ht="15.75" hidden="false" customHeight="true" outlineLevel="0" collapsed="false">
      <c r="A114" s="54" t="s">
        <v>182</v>
      </c>
      <c r="B114" s="54" t="str">
        <f aca="false" t="array" ref="B114:B114">IFERROR(INDEX('CLM &amp; IM Mapping'!$B$2:$B$270,MATCH($A114,'CLM &amp; IM Mapping'!$A$2:$A$270,0)),"Not Mapped")</f>
        <v>Raghavendra Vernekar</v>
      </c>
      <c r="C114" s="54" t="str">
        <f aca="false" t="array" ref="C114:C114">IFERROR(INDEX('CLM &amp; IM Mapping'!$C$2:$C$270,MATCH($A114,'CLM &amp; IM Mapping'!$A$2:$A$270,0)),"Not Mapped")</f>
        <v>Prakash BS</v>
      </c>
      <c r="D114" s="55" t="n">
        <f aca="false" t="array" ref="D114:D114">IFERROR(INDEX(Shrinkage!$O$2:$O$260,MATCH($A114,Shrinkage!$C$2:$C$260,0)),IFERROR(INDEX(Shrinkage!$O$2:$O$260,MATCH(SUBSTITUTE($A114," SS","  SS"),Shrinkage!$C$2:$C$260,0)),"NA"))</f>
        <v>0</v>
      </c>
      <c r="E114" s="56" t="str">
        <f aca="false" t="array" ref="E114:E114">IFERROR(INDEX('Inventory Hygiene'!$I$2:$I$252,MATCH($A114,'Inventory Hygiene'!$A$2:$A$252,0)),IFERROR(INDEX('Inventory Hygiene'!$I$2:$I$252,MATCH(SUBSTITUTE($A114," SS","  SS"),'Inventory Hygiene'!$A$2:$A$252,0)),"NA"))</f>
        <v>NA</v>
      </c>
      <c r="F114" s="54" t="str">
        <f aca="false" t="array" ref="F114:F114">IFERROR(INDEX('Bad Bins'!$J$2:$J$252,MATCH($A114,'Bad Bins'!$A$2:$A$252,0)),IFERROR(INDEX('Bad Bins'!$J$2:$J$252,MATCH(SUBSTITUTE($A114," SS","  SS"),'Bad Bins'!$A$2:$A$252,0)),"NA"))</f>
        <v>NA</v>
      </c>
      <c r="G114" s="54" t="str">
        <f aca="false" t="array" ref="G114:G114">IFERROR(INDEX('RSTO &gt; 48hrs'!$G$2:$G$134,MATCH($A114,'RSTO &gt; 48hrs'!$A$2:$A$134,0)),IFERROR(INDEX('RSTO &gt; 48hrs'!$G$2:$G$134,MATCH(SUBSTITUTE($A114," SS","  SS"),'RSTO &gt; 48hrs'!$A$2:$A$134,0)),"NA"))</f>
        <v>NA</v>
      </c>
      <c r="H114" s="54" t="n">
        <f aca="false" t="array" ref="H114:H114">IFERROR(INDEX('Recirculation &gt; 24 hrs'!$J$2:$J$150,MATCH($A114,'Recirculation &gt; 24 hrs'!$A$2:$A$150,0)),IFERROR(INDEX('Recirculation &gt; 24 hrs'!$J$2:$J$150,MATCH(SUBSTITUTE($A114," SS","  SS"),'Recirculation &gt; 24 hrs'!$A$2:$A$150,0)),"NA"))</f>
        <v>4</v>
      </c>
      <c r="I114" s="54" t="str">
        <f aca="false" t="array" ref="I114:I114">IFERROR(INDEX('Pending Putaway'!$D$2:$D$255,MATCH($A114,'Pending Putaway'!$A$2:$A$255,0)),IFERROR(INDEX('Pending Putaway'!$D$2:$D$255,MATCH(SUBSTITUTE($A114," SS","  SS"),'Pending Putaway'!$A$2:$A$255,0)),"NA"))</f>
        <v>NA</v>
      </c>
      <c r="J114" s="54" t="str">
        <f aca="false" t="array" ref="J114:J114">IFERROR(INDEX('Pending Putaway'!$K$2:$K$255,MATCH($A114,'Pending Putaway'!$A$2:$A$255,0)),IFERROR(INDEX('Pending Putaway'!$K$2:$K$255,MATCH(SUBSTITUTE($A114," SS","  SS"),'Pending Putaway'!$A$2:$A$255,0)),"NA"))</f>
        <v>NA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customFormat="false" ht="15.75" hidden="false" customHeight="true" outlineLevel="0" collapsed="false">
      <c r="A115" s="54" t="s">
        <v>47</v>
      </c>
      <c r="B115" s="54" t="str">
        <f aca="false" t="array" ref="B115:B115">IFERROR(INDEX('CLM &amp; IM Mapping'!$B$2:$B$270,MATCH($A115,'CLM &amp; IM Mapping'!$A$2:$A$270,0)),"Not Mapped")</f>
        <v>Raghavendra Vernekar</v>
      </c>
      <c r="C115" s="54" t="str">
        <f aca="false" t="array" ref="C115:C115">IFERROR(INDEX('CLM &amp; IM Mapping'!$C$2:$C$270,MATCH($A115,'CLM &amp; IM Mapping'!$A$2:$A$270,0)),"Not Mapped")</f>
        <v>Prakash BS</v>
      </c>
      <c r="D115" s="55" t="n">
        <f aca="false" t="array" ref="D115:D115">IFERROR(INDEX(Shrinkage!$O$2:$O$260,MATCH($A115,Shrinkage!$C$2:$C$260,0)),IFERROR(INDEX(Shrinkage!$O$2:$O$260,MATCH(SUBSTITUTE($A115," SS","  SS"),Shrinkage!$C$2:$C$260,0)),"NA"))</f>
        <v>46374</v>
      </c>
      <c r="E115" s="56" t="n">
        <f aca="false" t="array" ref="E115:E115">IFERROR(INDEX('Inventory Hygiene'!$I$2:$I$252,MATCH($A115,'Inventory Hygiene'!$A$2:$A$252,0)),IFERROR(INDEX('Inventory Hygiene'!$I$2:$I$252,MATCH(SUBSTITUTE($A115," SS","  SS"),'Inventory Hygiene'!$A$2:$A$252,0)),"NA"))</f>
        <v>0.69</v>
      </c>
      <c r="F115" s="54" t="n">
        <f aca="false" t="array" ref="F115:F115">IFERROR(INDEX('Bad Bins'!$J$2:$J$252,MATCH($A115,'Bad Bins'!$A$2:$A$252,0)),IFERROR(INDEX('Bad Bins'!$J$2:$J$252,MATCH(SUBSTITUTE($A115," SS","  SS"),'Bad Bins'!$A$2:$A$252,0)),"NA"))</f>
        <v>47</v>
      </c>
      <c r="G115" s="54" t="str">
        <f aca="false" t="array" ref="G115:G115">IFERROR(INDEX('RSTO &gt; 48hrs'!$G$2:$G$134,MATCH($A115,'RSTO &gt; 48hrs'!$A$2:$A$134,0)),IFERROR(INDEX('RSTO &gt; 48hrs'!$G$2:$G$134,MATCH(SUBSTITUTE($A115," SS","  SS"),'RSTO &gt; 48hrs'!$A$2:$A$134,0)),"NA"))</f>
        <v>NA</v>
      </c>
      <c r="H115" s="54" t="n">
        <f aca="false" t="array" ref="H115:H115">IFERROR(INDEX('Recirculation &gt; 24 hrs'!$J$2:$J$150,MATCH($A115,'Recirculation &gt; 24 hrs'!$A$2:$A$150,0)),IFERROR(INDEX('Recirculation &gt; 24 hrs'!$J$2:$J$150,MATCH(SUBSTITUTE($A115," SS","  SS"),'Recirculation &gt; 24 hrs'!$A$2:$A$150,0)),"NA"))</f>
        <v>2</v>
      </c>
      <c r="I115" s="54" t="n">
        <f aca="false" t="array" ref="I115:I115">IFERROR(INDEX('Pending Putaway'!$D$2:$D$255,MATCH($A115,'Pending Putaway'!$A$2:$A$255,0)),IFERROR(INDEX('Pending Putaway'!$D$2:$D$255,MATCH(SUBSTITUTE($A115," SS","  SS"),'Pending Putaway'!$A$2:$A$255,0)),"NA"))</f>
        <v>3424</v>
      </c>
      <c r="J115" s="54" t="n">
        <f aca="false" t="array" ref="J115:J115">IFERROR(INDEX('Pending Putaway'!$K$2:$K$255,MATCH($A115,'Pending Putaway'!$A$2:$A$255,0)),IFERROR(INDEX('Pending Putaway'!$K$2:$K$255,MATCH(SUBSTITUTE($A115," SS","  SS"),'Pending Putaway'!$A$2:$A$255,0)),"NA"))</f>
        <v>118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customFormat="false" ht="15.75" hidden="false" customHeight="true" outlineLevel="0" collapsed="false">
      <c r="A116" s="54" t="s">
        <v>259</v>
      </c>
      <c r="B116" s="54" t="str">
        <f aca="false" t="array" ref="B116:B116">IFERROR(INDEX('CLM &amp; IM Mapping'!$B$2:$B$270,MATCH($A116,'CLM &amp; IM Mapping'!$A$2:$A$270,0)),"Not Mapped")</f>
        <v>Raghavendra Vernekar</v>
      </c>
      <c r="C116" s="54" t="str">
        <f aca="false" t="array" ref="C116:C116">IFERROR(INDEX('CLM &amp; IM Mapping'!$C$2:$C$270,MATCH($A116,'CLM &amp; IM Mapping'!$A$2:$A$270,0)),"Not Mapped")</f>
        <v>Prakash BS</v>
      </c>
      <c r="D116" s="55" t="n">
        <f aca="false" t="array" ref="D116:D116">IFERROR(INDEX(Shrinkage!$O$2:$O$260,MATCH($A116,Shrinkage!$C$2:$C$260,0)),IFERROR(INDEX(Shrinkage!$O$2:$O$260,MATCH(SUBSTITUTE($A116," SS","  SS"),Shrinkage!$C$2:$C$260,0)),"NA"))</f>
        <v>-8853</v>
      </c>
      <c r="E116" s="56" t="n">
        <f aca="false" t="array" ref="E116:E116">IFERROR(INDEX('Inventory Hygiene'!$I$2:$I$252,MATCH($A116,'Inventory Hygiene'!$A$2:$A$252,0)),IFERROR(INDEX('Inventory Hygiene'!$I$2:$I$252,MATCH(SUBSTITUTE($A116," SS","  SS"),'Inventory Hygiene'!$A$2:$A$252,0)),"NA"))</f>
        <v>0.99</v>
      </c>
      <c r="F116" s="54" t="n">
        <f aca="false" t="array" ref="F116:F116">IFERROR(INDEX('Bad Bins'!$J$2:$J$252,MATCH($A116,'Bad Bins'!$A$2:$A$252,0)),IFERROR(INDEX('Bad Bins'!$J$2:$J$252,MATCH(SUBSTITUTE($A116," SS","  SS"),'Bad Bins'!$A$2:$A$252,0)),"NA"))</f>
        <v>386</v>
      </c>
      <c r="G116" s="54" t="str">
        <f aca="false" t="array" ref="G116:G116">IFERROR(INDEX('RSTO &gt; 48hrs'!$G$2:$G$134,MATCH($A116,'RSTO &gt; 48hrs'!$A$2:$A$134,0)),IFERROR(INDEX('RSTO &gt; 48hrs'!$G$2:$G$134,MATCH(SUBSTITUTE($A116," SS","  SS"),'RSTO &gt; 48hrs'!$A$2:$A$134,0)),"NA"))</f>
        <v>NA</v>
      </c>
      <c r="H116" s="54" t="str">
        <f aca="false" t="array" ref="H116:H116">IFERROR(INDEX('Recirculation &gt; 24 hrs'!$J$2:$J$150,MATCH($A116,'Recirculation &gt; 24 hrs'!$A$2:$A$150,0)),IFERROR(INDEX('Recirculation &gt; 24 hrs'!$J$2:$J$150,MATCH(SUBSTITUTE($A116," SS","  SS"),'Recirculation &gt; 24 hrs'!$A$2:$A$150,0)),"NA"))</f>
        <v>NA</v>
      </c>
      <c r="I116" s="54" t="n">
        <f aca="false" t="array" ref="I116:I116">IFERROR(INDEX('Pending Putaway'!$D$2:$D$255,MATCH($A116,'Pending Putaway'!$A$2:$A$255,0)),IFERROR(INDEX('Pending Putaway'!$D$2:$D$255,MATCH(SUBSTITUTE($A116," SS","  SS"),'Pending Putaway'!$A$2:$A$255,0)),"NA"))</f>
        <v>0</v>
      </c>
      <c r="J116" s="54" t="n">
        <f aca="false" t="array" ref="J116:J116">IFERROR(INDEX('Pending Putaway'!$K$2:$K$255,MATCH($A116,'Pending Putaway'!$A$2:$A$255,0)),IFERROR(INDEX('Pending Putaway'!$K$2:$K$255,MATCH(SUBSTITUTE($A116," SS","  SS"),'Pending Putaway'!$A$2:$A$255,0)),"NA"))</f>
        <v>0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customFormat="false" ht="15.75" hidden="false" customHeight="true" outlineLevel="0" collapsed="false">
      <c r="A117" s="54" t="s">
        <v>206</v>
      </c>
      <c r="B117" s="54" t="str">
        <f aca="false" t="array" ref="B117:B117">IFERROR(INDEX('CLM &amp; IM Mapping'!$B$2:$B$270,MATCH($A117,'CLM &amp; IM Mapping'!$A$2:$A$270,0)),"Not Mapped")</f>
        <v>Raghavendra Vernekar</v>
      </c>
      <c r="C117" s="54" t="str">
        <f aca="false" t="array" ref="C117:C117">IFERROR(INDEX('CLM &amp; IM Mapping'!$C$2:$C$270,MATCH($A117,'CLM &amp; IM Mapping'!$A$2:$A$270,0)),"Not Mapped")</f>
        <v>Prakash BS</v>
      </c>
      <c r="D117" s="55" t="n">
        <f aca="false" t="array" ref="D117:D117">IFERROR(INDEX(Shrinkage!$O$2:$O$260,MATCH($A117,Shrinkage!$C$2:$C$260,0)),IFERROR(INDEX(Shrinkage!$O$2:$O$260,MATCH(SUBSTITUTE($A117," SS","  SS"),Shrinkage!$C$2:$C$260,0)),"NA"))</f>
        <v>-1945</v>
      </c>
      <c r="E117" s="56" t="n">
        <f aca="false" t="array" ref="E117:E117">IFERROR(INDEX('Inventory Hygiene'!$I$2:$I$252,MATCH($A117,'Inventory Hygiene'!$A$2:$A$252,0)),IFERROR(INDEX('Inventory Hygiene'!$I$2:$I$252,MATCH(SUBSTITUTE($A117," SS","  SS"),'Inventory Hygiene'!$A$2:$A$252,0)),"NA"))</f>
        <v>0.62</v>
      </c>
      <c r="F117" s="54" t="n">
        <f aca="false" t="array" ref="F117:F117">IFERROR(INDEX('Bad Bins'!$J$2:$J$252,MATCH($A117,'Bad Bins'!$A$2:$A$252,0)),IFERROR(INDEX('Bad Bins'!$J$2:$J$252,MATCH(SUBSTITUTE($A117," SS","  SS"),'Bad Bins'!$A$2:$A$252,0)),"NA"))</f>
        <v>176</v>
      </c>
      <c r="G117" s="54" t="n">
        <f aca="false" t="array" ref="G117:G117">IFERROR(INDEX('RSTO &gt; 48hrs'!$G$2:$G$134,MATCH($A117,'RSTO &gt; 48hrs'!$A$2:$A$134,0)),IFERROR(INDEX('RSTO &gt; 48hrs'!$G$2:$G$134,MATCH(SUBSTITUTE($A117," SS","  SS"),'RSTO &gt; 48hrs'!$A$2:$A$134,0)),"NA"))</f>
        <v>138</v>
      </c>
      <c r="H117" s="54" t="n">
        <f aca="false" t="array" ref="H117:H117">IFERROR(INDEX('Recirculation &gt; 24 hrs'!$J$2:$J$150,MATCH($A117,'Recirculation &gt; 24 hrs'!$A$2:$A$150,0)),IFERROR(INDEX('Recirculation &gt; 24 hrs'!$J$2:$J$150,MATCH(SUBSTITUTE($A117," SS","  SS"),'Recirculation &gt; 24 hrs'!$A$2:$A$150,0)),"NA"))</f>
        <v>892</v>
      </c>
      <c r="I117" s="54" t="n">
        <f aca="false" t="array" ref="I117:I117">IFERROR(INDEX('Pending Putaway'!$D$2:$D$255,MATCH($A117,'Pending Putaway'!$A$2:$A$255,0)),IFERROR(INDEX('Pending Putaway'!$D$2:$D$255,MATCH(SUBSTITUTE($A117," SS","  SS"),'Pending Putaway'!$A$2:$A$255,0)),"NA"))</f>
        <v>85</v>
      </c>
      <c r="J117" s="54" t="n">
        <f aca="false" t="array" ref="J117:J117">IFERROR(INDEX('Pending Putaway'!$K$2:$K$255,MATCH($A117,'Pending Putaway'!$A$2:$A$255,0)),IFERROR(INDEX('Pending Putaway'!$K$2:$K$255,MATCH(SUBSTITUTE($A117," SS","  SS"),'Pending Putaway'!$A$2:$A$255,0)),"NA"))</f>
        <v>0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customFormat="false" ht="15.75" hidden="false" customHeight="true" outlineLevel="0" collapsed="false">
      <c r="A118" s="54" t="s">
        <v>121</v>
      </c>
      <c r="B118" s="54" t="str">
        <f aca="false" t="array" ref="B118:B118">IFERROR(INDEX('CLM &amp; IM Mapping'!$B$2:$B$270,MATCH($A118,'CLM &amp; IM Mapping'!$A$2:$A$270,0)),"Not Mapped")</f>
        <v>Raghavendra Vernekar</v>
      </c>
      <c r="C118" s="54" t="str">
        <f aca="false" t="array" ref="C118:C118">IFERROR(INDEX('CLM &amp; IM Mapping'!$C$2:$C$270,MATCH($A118,'CLM &amp; IM Mapping'!$A$2:$A$270,0)),"Not Mapped")</f>
        <v>Prakash BS</v>
      </c>
      <c r="D118" s="55" t="n">
        <f aca="false" t="array" ref="D118:D118">IFERROR(INDEX(Shrinkage!$O$2:$O$260,MATCH($A118,Shrinkage!$C$2:$C$260,0)),IFERROR(INDEX(Shrinkage!$O$2:$O$260,MATCH(SUBSTITUTE($A118," SS","  SS"),Shrinkage!$C$2:$C$260,0)),"NA"))</f>
        <v>10941</v>
      </c>
      <c r="E118" s="56" t="n">
        <f aca="false" t="array" ref="E118:E118">IFERROR(INDEX('Inventory Hygiene'!$I$2:$I$252,MATCH($A118,'Inventory Hygiene'!$A$2:$A$252,0)),IFERROR(INDEX('Inventory Hygiene'!$I$2:$I$252,MATCH(SUBSTITUTE($A118," SS","  SS"),'Inventory Hygiene'!$A$2:$A$252,0)),"NA"))</f>
        <v>0.6</v>
      </c>
      <c r="F118" s="54" t="n">
        <f aca="false" t="array" ref="F118:F118">IFERROR(INDEX('Bad Bins'!$J$2:$J$252,MATCH($A118,'Bad Bins'!$A$2:$A$252,0)),IFERROR(INDEX('Bad Bins'!$J$2:$J$252,MATCH(SUBSTITUTE($A118," SS","  SS"),'Bad Bins'!$A$2:$A$252,0)),"NA"))</f>
        <v>191</v>
      </c>
      <c r="G118" s="54" t="n">
        <f aca="false" t="array" ref="G118:G118">IFERROR(INDEX('RSTO &gt; 48hrs'!$G$2:$G$134,MATCH($A118,'RSTO &gt; 48hrs'!$A$2:$A$134,0)),IFERROR(INDEX('RSTO &gt; 48hrs'!$G$2:$G$134,MATCH(SUBSTITUTE($A118," SS","  SS"),'RSTO &gt; 48hrs'!$A$2:$A$134,0)),"NA"))</f>
        <v>2</v>
      </c>
      <c r="H118" s="54" t="n">
        <f aca="false" t="array" ref="H118:H118">IFERROR(INDEX('Recirculation &gt; 24 hrs'!$J$2:$J$150,MATCH($A118,'Recirculation &gt; 24 hrs'!$A$2:$A$150,0)),IFERROR(INDEX('Recirculation &gt; 24 hrs'!$J$2:$J$150,MATCH(SUBSTITUTE($A118," SS","  SS"),'Recirculation &gt; 24 hrs'!$A$2:$A$150,0)),"NA"))</f>
        <v>1</v>
      </c>
      <c r="I118" s="54" t="n">
        <f aca="false" t="array" ref="I118:I118">IFERROR(INDEX('Pending Putaway'!$D$2:$D$255,MATCH($A118,'Pending Putaway'!$A$2:$A$255,0)),IFERROR(INDEX('Pending Putaway'!$D$2:$D$255,MATCH(SUBSTITUTE($A118," SS","  SS"),'Pending Putaway'!$A$2:$A$255,0)),"NA"))</f>
        <v>6985</v>
      </c>
      <c r="J118" s="54" t="n">
        <f aca="false" t="array" ref="J118:J118">IFERROR(INDEX('Pending Putaway'!$K$2:$K$255,MATCH($A118,'Pending Putaway'!$A$2:$A$255,0)),IFERROR(INDEX('Pending Putaway'!$K$2:$K$255,MATCH(SUBSTITUTE($A118," SS","  SS"),'Pending Putaway'!$A$2:$A$255,0)),"NA"))</f>
        <v>1865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customFormat="false" ht="15.75" hidden="false" customHeight="true" outlineLevel="0" collapsed="false">
      <c r="A119" s="54" t="s">
        <v>181</v>
      </c>
      <c r="B119" s="54" t="str">
        <f aca="false" t="array" ref="B119:B119">IFERROR(INDEX('CLM &amp; IM Mapping'!$B$2:$B$270,MATCH($A119,'CLM &amp; IM Mapping'!$A$2:$A$270,0)),"Not Mapped")</f>
        <v>Raghavendra Vernekar</v>
      </c>
      <c r="C119" s="54" t="str">
        <f aca="false" t="array" ref="C119:C119">IFERROR(INDEX('CLM &amp; IM Mapping'!$C$2:$C$270,MATCH($A119,'CLM &amp; IM Mapping'!$A$2:$A$270,0)),"Not Mapped")</f>
        <v>Prakash BS</v>
      </c>
      <c r="D119" s="55" t="n">
        <f aca="false" t="array" ref="D119:D119">IFERROR(INDEX(Shrinkage!$O$2:$O$260,MATCH($A119,Shrinkage!$C$2:$C$260,0)),IFERROR(INDEX(Shrinkage!$O$2:$O$260,MATCH(SUBSTITUTE($A119," SS","  SS"),Shrinkage!$C$2:$C$260,0)),"NA"))</f>
        <v>34</v>
      </c>
      <c r="E119" s="56" t="n">
        <f aca="false" t="array" ref="E119:E119">IFERROR(INDEX('Inventory Hygiene'!$I$2:$I$252,MATCH($A119,'Inventory Hygiene'!$A$2:$A$252,0)),IFERROR(INDEX('Inventory Hygiene'!$I$2:$I$252,MATCH(SUBSTITUTE($A119," SS","  SS"),'Inventory Hygiene'!$A$2:$A$252,0)),"NA"))</f>
        <v>0.77</v>
      </c>
      <c r="F119" s="54" t="n">
        <f aca="false" t="array" ref="F119:F119">IFERROR(INDEX('Bad Bins'!$J$2:$J$252,MATCH($A119,'Bad Bins'!$A$2:$A$252,0)),IFERROR(INDEX('Bad Bins'!$J$2:$J$252,MATCH(SUBSTITUTE($A119," SS","  SS"),'Bad Bins'!$A$2:$A$252,0)),"NA"))</f>
        <v>382</v>
      </c>
      <c r="G119" s="54" t="n">
        <f aca="false" t="array" ref="G119:G119">IFERROR(INDEX('RSTO &gt; 48hrs'!$G$2:$G$134,MATCH($A119,'RSTO &gt; 48hrs'!$A$2:$A$134,0)),IFERROR(INDEX('RSTO &gt; 48hrs'!$G$2:$G$134,MATCH(SUBSTITUTE($A119," SS","  SS"),'RSTO &gt; 48hrs'!$A$2:$A$134,0)),"NA"))</f>
        <v>11</v>
      </c>
      <c r="H119" s="54" t="n">
        <f aca="false" t="array" ref="H119:H119">IFERROR(INDEX('Recirculation &gt; 24 hrs'!$J$2:$J$150,MATCH($A119,'Recirculation &gt; 24 hrs'!$A$2:$A$150,0)),IFERROR(INDEX('Recirculation &gt; 24 hrs'!$J$2:$J$150,MATCH(SUBSTITUTE($A119," SS","  SS"),'Recirculation &gt; 24 hrs'!$A$2:$A$150,0)),"NA"))</f>
        <v>7</v>
      </c>
      <c r="I119" s="54" t="n">
        <f aca="false" t="array" ref="I119:I119">IFERROR(INDEX('Pending Putaway'!$D$2:$D$255,MATCH($A119,'Pending Putaway'!$A$2:$A$255,0)),IFERROR(INDEX('Pending Putaway'!$D$2:$D$255,MATCH(SUBSTITUTE($A119," SS","  SS"),'Pending Putaway'!$A$2:$A$255,0)),"NA"))</f>
        <v>5653</v>
      </c>
      <c r="J119" s="54" t="n">
        <f aca="false" t="array" ref="J119:J119">IFERROR(INDEX('Pending Putaway'!$K$2:$K$255,MATCH($A119,'Pending Putaway'!$A$2:$A$255,0)),IFERROR(INDEX('Pending Putaway'!$K$2:$K$255,MATCH(SUBSTITUTE($A119," SS","  SS"),'Pending Putaway'!$A$2:$A$255,0)),"NA"))</f>
        <v>2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customFormat="false" ht="15.75" hidden="false" customHeight="true" outlineLevel="0" collapsed="false">
      <c r="A120" s="54" t="s">
        <v>267</v>
      </c>
      <c r="B120" s="54" t="str">
        <f aca="false" t="array" ref="B120:B120">IFERROR(INDEX('CLM &amp; IM Mapping'!$B$2:$B$270,MATCH($A120,'CLM &amp; IM Mapping'!$A$2:$A$270,0)),"Not Mapped")</f>
        <v>Raghavendra Vernekar</v>
      </c>
      <c r="C120" s="54" t="str">
        <f aca="false" t="array" ref="C120:C120">IFERROR(INDEX('CLM &amp; IM Mapping'!$C$2:$C$270,MATCH($A120,'CLM &amp; IM Mapping'!$A$2:$A$270,0)),"Not Mapped")</f>
        <v>Prakash BS</v>
      </c>
      <c r="D120" s="55" t="n">
        <f aca="false" t="array" ref="D120:D120">IFERROR(INDEX(Shrinkage!$O$2:$O$260,MATCH($A120,Shrinkage!$C$2:$C$260,0)),IFERROR(INDEX(Shrinkage!$O$2:$O$260,MATCH(SUBSTITUTE($A120," SS","  SS"),Shrinkage!$C$2:$C$260,0)),"NA"))</f>
        <v>-11283</v>
      </c>
      <c r="E120" s="56" t="n">
        <f aca="false" t="array" ref="E120:E120">IFERROR(INDEX('Inventory Hygiene'!$I$2:$I$252,MATCH($A120,'Inventory Hygiene'!$A$2:$A$252,0)),IFERROR(INDEX('Inventory Hygiene'!$I$2:$I$252,MATCH(SUBSTITUTE($A120," SS","  SS"),'Inventory Hygiene'!$A$2:$A$252,0)),"NA"))</f>
        <v>0.67</v>
      </c>
      <c r="F120" s="54" t="n">
        <f aca="false" t="array" ref="F120:F120">IFERROR(INDEX('Bad Bins'!$J$2:$J$252,MATCH($A120,'Bad Bins'!$A$2:$A$252,0)),IFERROR(INDEX('Bad Bins'!$J$2:$J$252,MATCH(SUBSTITUTE($A120," SS","  SS"),'Bad Bins'!$A$2:$A$252,0)),"NA"))</f>
        <v>90</v>
      </c>
      <c r="G120" s="54" t="str">
        <f aca="false" t="array" ref="G120:G120">IFERROR(INDEX('RSTO &gt; 48hrs'!$G$2:$G$134,MATCH($A120,'RSTO &gt; 48hrs'!$A$2:$A$134,0)),IFERROR(INDEX('RSTO &gt; 48hrs'!$G$2:$G$134,MATCH(SUBSTITUTE($A120," SS","  SS"),'RSTO &gt; 48hrs'!$A$2:$A$134,0)),"NA"))</f>
        <v>NA</v>
      </c>
      <c r="H120" s="54" t="n">
        <f aca="false" t="array" ref="H120:H120">IFERROR(INDEX('Recirculation &gt; 24 hrs'!$J$2:$J$150,MATCH($A120,'Recirculation &gt; 24 hrs'!$A$2:$A$150,0)),IFERROR(INDEX('Recirculation &gt; 24 hrs'!$J$2:$J$150,MATCH(SUBSTITUTE($A120," SS","  SS"),'Recirculation &gt; 24 hrs'!$A$2:$A$150,0)),"NA"))</f>
        <v>1</v>
      </c>
      <c r="I120" s="54" t="n">
        <f aca="false" t="array" ref="I120:I120">IFERROR(INDEX('Pending Putaway'!$D$2:$D$255,MATCH($A120,'Pending Putaway'!$A$2:$A$255,0)),IFERROR(INDEX('Pending Putaway'!$D$2:$D$255,MATCH(SUBSTITUTE($A120," SS","  SS"),'Pending Putaway'!$A$2:$A$255,0)),"NA"))</f>
        <v>1681</v>
      </c>
      <c r="J120" s="54" t="n">
        <f aca="false" t="array" ref="J120:J120">IFERROR(INDEX('Pending Putaway'!$K$2:$K$255,MATCH($A120,'Pending Putaway'!$A$2:$A$255,0)),IFERROR(INDEX('Pending Putaway'!$K$2:$K$255,MATCH(SUBSTITUTE($A120," SS","  SS"),'Pending Putaway'!$A$2:$A$255,0)),"NA"))</f>
        <v>212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customFormat="false" ht="15.75" hidden="false" customHeight="true" outlineLevel="0" collapsed="false">
      <c r="A121" s="54" t="s">
        <v>152</v>
      </c>
      <c r="B121" s="54" t="str">
        <f aca="false" t="array" ref="B121:B121">IFERROR(INDEX('CLM &amp; IM Mapping'!$B$2:$B$270,MATCH($A121,'CLM &amp; IM Mapping'!$A$2:$A$270,0)),"Not Mapped")</f>
        <v>Basil Scariya</v>
      </c>
      <c r="C121" s="54" t="str">
        <f aca="false" t="array" ref="C121:C121">IFERROR(INDEX('CLM &amp; IM Mapping'!$C$2:$C$270,MATCH($A121,'CLM &amp; IM Mapping'!$A$2:$A$270,0)),"Not Mapped")</f>
        <v>Prakash BS</v>
      </c>
      <c r="D121" s="55" t="n">
        <f aca="false" t="array" ref="D121:D121">IFERROR(INDEX(Shrinkage!$O$2:$O$260,MATCH($A121,Shrinkage!$C$2:$C$260,0)),IFERROR(INDEX(Shrinkage!$O$2:$O$260,MATCH(SUBSTITUTE($A121," SS","  SS"),Shrinkage!$C$2:$C$260,0)),"NA"))</f>
        <v>4387</v>
      </c>
      <c r="E121" s="56" t="n">
        <f aca="false" t="array" ref="E121:E121">IFERROR(INDEX('Inventory Hygiene'!$I$2:$I$252,MATCH($A121,'Inventory Hygiene'!$A$2:$A$252,0)),IFERROR(INDEX('Inventory Hygiene'!$I$2:$I$252,MATCH(SUBSTITUTE($A121," SS","  SS"),'Inventory Hygiene'!$A$2:$A$252,0)),"NA"))</f>
        <v>0.62</v>
      </c>
      <c r="F121" s="54" t="n">
        <f aca="false" t="array" ref="F121:F121">IFERROR(INDEX('Bad Bins'!$J$2:$J$252,MATCH($A121,'Bad Bins'!$A$2:$A$252,0)),IFERROR(INDEX('Bad Bins'!$J$2:$J$252,MATCH(SUBSTITUTE($A121," SS","  SS"),'Bad Bins'!$A$2:$A$252,0)),"NA"))</f>
        <v>87</v>
      </c>
      <c r="G121" s="54" t="n">
        <f aca="false" t="array" ref="G121:G121">IFERROR(INDEX('RSTO &gt; 48hrs'!$G$2:$G$134,MATCH($A121,'RSTO &gt; 48hrs'!$A$2:$A$134,0)),IFERROR(INDEX('RSTO &gt; 48hrs'!$G$2:$G$134,MATCH(SUBSTITUTE($A121," SS","  SS"),'RSTO &gt; 48hrs'!$A$2:$A$134,0)),"NA"))</f>
        <v>4</v>
      </c>
      <c r="H121" s="54" t="n">
        <f aca="false" t="array" ref="H121:H121">IFERROR(INDEX('Recirculation &gt; 24 hrs'!$J$2:$J$150,MATCH($A121,'Recirculation &gt; 24 hrs'!$A$2:$A$150,0)),IFERROR(INDEX('Recirculation &gt; 24 hrs'!$J$2:$J$150,MATCH(SUBSTITUTE($A121," SS","  SS"),'Recirculation &gt; 24 hrs'!$A$2:$A$150,0)),"NA"))</f>
        <v>15</v>
      </c>
      <c r="I121" s="54" t="n">
        <f aca="false" t="array" ref="I121:I121">IFERROR(INDEX('Pending Putaway'!$D$2:$D$255,MATCH($A121,'Pending Putaway'!$A$2:$A$255,0)),IFERROR(INDEX('Pending Putaway'!$D$2:$D$255,MATCH(SUBSTITUTE($A121," SS","  SS"),'Pending Putaway'!$A$2:$A$255,0)),"NA"))</f>
        <v>3157</v>
      </c>
      <c r="J121" s="54" t="n">
        <f aca="false" t="array" ref="J121:J121">IFERROR(INDEX('Pending Putaway'!$K$2:$K$255,MATCH($A121,'Pending Putaway'!$A$2:$A$255,0)),IFERROR(INDEX('Pending Putaway'!$K$2:$K$255,MATCH(SUBSTITUTE($A121," SS","  SS"),'Pending Putaway'!$A$2:$A$255,0)),"NA"))</f>
        <v>261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customFormat="false" ht="15.75" hidden="false" customHeight="true" outlineLevel="0" collapsed="false">
      <c r="A122" s="54" t="s">
        <v>282</v>
      </c>
      <c r="B122" s="54" t="str">
        <f aca="false" t="array" ref="B122:B122">IFERROR(INDEX('CLM &amp; IM Mapping'!$B$2:$B$270,MATCH($A122,'CLM &amp; IM Mapping'!$A$2:$A$270,0)),"Not Mapped")</f>
        <v>Raghavendra Vernekar</v>
      </c>
      <c r="C122" s="54" t="str">
        <f aca="false" t="array" ref="C122:C122">IFERROR(INDEX('CLM &amp; IM Mapping'!$C$2:$C$270,MATCH($A122,'CLM &amp; IM Mapping'!$A$2:$A$270,0)),"Not Mapped")</f>
        <v>Prakash BS</v>
      </c>
      <c r="D122" s="55" t="n">
        <f aca="false" t="array" ref="D122:D122">IFERROR(INDEX(Shrinkage!$O$2:$O$260,MATCH($A122,Shrinkage!$C$2:$C$260,0)),IFERROR(INDEX(Shrinkage!$O$2:$O$260,MATCH(SUBSTITUTE($A122," SS","  SS"),Shrinkage!$C$2:$C$260,0)),"NA"))</f>
        <v>-16644</v>
      </c>
      <c r="E122" s="56" t="n">
        <f aca="false" t="array" ref="E122:E122">IFERROR(INDEX('Inventory Hygiene'!$I$2:$I$252,MATCH($A122,'Inventory Hygiene'!$A$2:$A$252,0)),IFERROR(INDEX('Inventory Hygiene'!$I$2:$I$252,MATCH(SUBSTITUTE($A122," SS","  SS"),'Inventory Hygiene'!$A$2:$A$252,0)),"NA"))</f>
        <v>0.99</v>
      </c>
      <c r="F122" s="54" t="n">
        <f aca="false" t="array" ref="F122:F122">IFERROR(INDEX('Bad Bins'!$J$2:$J$252,MATCH($A122,'Bad Bins'!$A$2:$A$252,0)),IFERROR(INDEX('Bad Bins'!$J$2:$J$252,MATCH(SUBSTITUTE($A122," SS","  SS"),'Bad Bins'!$A$2:$A$252,0)),"NA"))</f>
        <v>229</v>
      </c>
      <c r="G122" s="54" t="n">
        <f aca="false" t="array" ref="G122:G122">IFERROR(INDEX('RSTO &gt; 48hrs'!$G$2:$G$134,MATCH($A122,'RSTO &gt; 48hrs'!$A$2:$A$134,0)),IFERROR(INDEX('RSTO &gt; 48hrs'!$G$2:$G$134,MATCH(SUBSTITUTE($A122," SS","  SS"),'RSTO &gt; 48hrs'!$A$2:$A$134,0)),"NA"))</f>
        <v>2</v>
      </c>
      <c r="H122" s="54" t="n">
        <f aca="false" t="array" ref="H122:H122">IFERROR(INDEX('Recirculation &gt; 24 hrs'!$J$2:$J$150,MATCH($A122,'Recirculation &gt; 24 hrs'!$A$2:$A$150,0)),IFERROR(INDEX('Recirculation &gt; 24 hrs'!$J$2:$J$150,MATCH(SUBSTITUTE($A122," SS","  SS"),'Recirculation &gt; 24 hrs'!$A$2:$A$150,0)),"NA"))</f>
        <v>1</v>
      </c>
      <c r="I122" s="54" t="n">
        <f aca="false" t="array" ref="I122:I122">IFERROR(INDEX('Pending Putaway'!$D$2:$D$255,MATCH($A122,'Pending Putaway'!$A$2:$A$255,0)),IFERROR(INDEX('Pending Putaway'!$D$2:$D$255,MATCH(SUBSTITUTE($A122," SS","  SS"),'Pending Putaway'!$A$2:$A$255,0)),"NA"))</f>
        <v>7877</v>
      </c>
      <c r="J122" s="54" t="n">
        <f aca="false" t="array" ref="J122:J122">IFERROR(INDEX('Pending Putaway'!$K$2:$K$255,MATCH($A122,'Pending Putaway'!$A$2:$A$255,0)),IFERROR(INDEX('Pending Putaway'!$K$2:$K$255,MATCH(SUBSTITUTE($A122," SS","  SS"),'Pending Putaway'!$A$2:$A$255,0)),"NA"))</f>
        <v>0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customFormat="false" ht="15.75" hidden="false" customHeight="true" outlineLevel="0" collapsed="false">
      <c r="A123" s="54" t="s">
        <v>48</v>
      </c>
      <c r="B123" s="54" t="str">
        <f aca="false" t="array" ref="B123:B123">IFERROR(INDEX('CLM &amp; IM Mapping'!$B$2:$B$270,MATCH($A123,'CLM &amp; IM Mapping'!$A$2:$A$270,0)),"Not Mapped")</f>
        <v>Raghavendra Vernekar</v>
      </c>
      <c r="C123" s="54" t="str">
        <f aca="false" t="array" ref="C123:C123">IFERROR(INDEX('CLM &amp; IM Mapping'!$C$2:$C$270,MATCH($A123,'CLM &amp; IM Mapping'!$A$2:$A$270,0)),"Not Mapped")</f>
        <v>Prakash BS</v>
      </c>
      <c r="D123" s="55" t="n">
        <f aca="false" t="array" ref="D123:D123">IFERROR(INDEX(Shrinkage!$O$2:$O$260,MATCH($A123,Shrinkage!$C$2:$C$260,0)),IFERROR(INDEX(Shrinkage!$O$2:$O$260,MATCH(SUBSTITUTE($A123," SS","  SS"),Shrinkage!$C$2:$C$260,0)),"NA"))</f>
        <v>43795</v>
      </c>
      <c r="E123" s="56" t="n">
        <f aca="false" t="array" ref="E123:E123">IFERROR(INDEX('Inventory Hygiene'!$I$2:$I$252,MATCH($A123,'Inventory Hygiene'!$A$2:$A$252,0)),IFERROR(INDEX('Inventory Hygiene'!$I$2:$I$252,MATCH(SUBSTITUTE($A123," SS","  SS"),'Inventory Hygiene'!$A$2:$A$252,0)),"NA"))</f>
        <v>0.35</v>
      </c>
      <c r="F123" s="54" t="n">
        <f aca="false" t="array" ref="F123:F123">IFERROR(INDEX('Bad Bins'!$J$2:$J$252,MATCH($A123,'Bad Bins'!$A$2:$A$252,0)),IFERROR(INDEX('Bad Bins'!$J$2:$J$252,MATCH(SUBSTITUTE($A123," SS","  SS"),'Bad Bins'!$A$2:$A$252,0)),"NA"))</f>
        <v>40</v>
      </c>
      <c r="G123" s="54" t="n">
        <f aca="false" t="array" ref="G123:G123">IFERROR(INDEX('RSTO &gt; 48hrs'!$G$2:$G$134,MATCH($A123,'RSTO &gt; 48hrs'!$A$2:$A$134,0)),IFERROR(INDEX('RSTO &gt; 48hrs'!$G$2:$G$134,MATCH(SUBSTITUTE($A123," SS","  SS"),'RSTO &gt; 48hrs'!$A$2:$A$134,0)),"NA"))</f>
        <v>27</v>
      </c>
      <c r="H123" s="54" t="str">
        <f aca="false" t="array" ref="H123:H123">IFERROR(INDEX('Recirculation &gt; 24 hrs'!$J$2:$J$150,MATCH($A123,'Recirculation &gt; 24 hrs'!$A$2:$A$150,0)),IFERROR(INDEX('Recirculation &gt; 24 hrs'!$J$2:$J$150,MATCH(SUBSTITUTE($A123," SS","  SS"),'Recirculation &gt; 24 hrs'!$A$2:$A$150,0)),"NA"))</f>
        <v>NA</v>
      </c>
      <c r="I123" s="54" t="n">
        <f aca="false" t="array" ref="I123:I123">IFERROR(INDEX('Pending Putaway'!$D$2:$D$255,MATCH($A123,'Pending Putaway'!$A$2:$A$255,0)),IFERROR(INDEX('Pending Putaway'!$D$2:$D$255,MATCH(SUBSTITUTE($A123," SS","  SS"),'Pending Putaway'!$A$2:$A$255,0)),"NA"))</f>
        <v>8</v>
      </c>
      <c r="J123" s="54" t="n">
        <f aca="false" t="array" ref="J123:J123">IFERROR(INDEX('Pending Putaway'!$K$2:$K$255,MATCH($A123,'Pending Putaway'!$A$2:$A$255,0)),IFERROR(INDEX('Pending Putaway'!$K$2:$K$255,MATCH(SUBSTITUTE($A123," SS","  SS"),'Pending Putaway'!$A$2:$A$255,0)),"NA"))</f>
        <v>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customFormat="false" ht="15.75" hidden="false" customHeight="true" outlineLevel="0" collapsed="false">
      <c r="A124" s="54" t="s">
        <v>116</v>
      </c>
      <c r="B124" s="54" t="str">
        <f aca="false" t="array" ref="B124:B124">IFERROR(INDEX('CLM &amp; IM Mapping'!$B$2:$B$270,MATCH($A124,'CLM &amp; IM Mapping'!$A$2:$A$270,0)),"Not Mapped")</f>
        <v>Adhavan Subramani</v>
      </c>
      <c r="C124" s="54" t="str">
        <f aca="false" t="array" ref="C124:C124">IFERROR(INDEX('CLM &amp; IM Mapping'!$C$2:$C$270,MATCH($A124,'CLM &amp; IM Mapping'!$A$2:$A$270,0)),"Not Mapped")</f>
        <v>Mohammed Akbar</v>
      </c>
      <c r="D124" s="55" t="n">
        <f aca="false" t="array" ref="D124:D124">IFERROR(INDEX(Shrinkage!$O$2:$O$260,MATCH($A124,Shrinkage!$C$2:$C$260,0)),IFERROR(INDEX(Shrinkage!$O$2:$O$260,MATCH(SUBSTITUTE($A124," SS","  SS"),Shrinkage!$C$2:$C$260,0)),"NA"))</f>
        <v>12922</v>
      </c>
      <c r="E124" s="56" t="n">
        <f aca="false" t="array" ref="E124:E124">IFERROR(INDEX('Inventory Hygiene'!$I$2:$I$252,MATCH($A124,'Inventory Hygiene'!$A$2:$A$252,0)),IFERROR(INDEX('Inventory Hygiene'!$I$2:$I$252,MATCH(SUBSTITUTE($A124," SS","  SS"),'Inventory Hygiene'!$A$2:$A$252,0)),"NA"))</f>
        <v>0.72</v>
      </c>
      <c r="F124" s="54" t="n">
        <f aca="false" t="array" ref="F124:F124">IFERROR(INDEX('Bad Bins'!$J$2:$J$252,MATCH($A124,'Bad Bins'!$A$2:$A$252,0)),IFERROR(INDEX('Bad Bins'!$J$2:$J$252,MATCH(SUBSTITUTE($A124," SS","  SS"),'Bad Bins'!$A$2:$A$252,0)),"NA"))</f>
        <v>47</v>
      </c>
      <c r="G124" s="54" t="str">
        <f aca="false" t="array" ref="G124:G124">IFERROR(INDEX('RSTO &gt; 48hrs'!$G$2:$G$134,MATCH($A124,'RSTO &gt; 48hrs'!$A$2:$A$134,0)),IFERROR(INDEX('RSTO &gt; 48hrs'!$G$2:$G$134,MATCH(SUBSTITUTE($A124," SS","  SS"),'RSTO &gt; 48hrs'!$A$2:$A$134,0)),"NA"))</f>
        <v>NA</v>
      </c>
      <c r="H124" s="54" t="str">
        <f aca="false" t="array" ref="H124:H124">IFERROR(INDEX('Recirculation &gt; 24 hrs'!$J$2:$J$150,MATCH($A124,'Recirculation &gt; 24 hrs'!$A$2:$A$150,0)),IFERROR(INDEX('Recirculation &gt; 24 hrs'!$J$2:$J$150,MATCH(SUBSTITUTE($A124," SS","  SS"),'Recirculation &gt; 24 hrs'!$A$2:$A$150,0)),"NA"))</f>
        <v>NA</v>
      </c>
      <c r="I124" s="54" t="n">
        <f aca="false" t="array" ref="I124:I124">IFERROR(INDEX('Pending Putaway'!$D$2:$D$255,MATCH($A124,'Pending Putaway'!$A$2:$A$255,0)),IFERROR(INDEX('Pending Putaway'!$D$2:$D$255,MATCH(SUBSTITUTE($A124," SS","  SS"),'Pending Putaway'!$A$2:$A$255,0)),"NA"))</f>
        <v>9165</v>
      </c>
      <c r="J124" s="54" t="n">
        <f aca="false" t="array" ref="J124:J124">IFERROR(INDEX('Pending Putaway'!$K$2:$K$255,MATCH($A124,'Pending Putaway'!$A$2:$A$255,0)),IFERROR(INDEX('Pending Putaway'!$K$2:$K$255,MATCH(SUBSTITUTE($A124," SS","  SS"),'Pending Putaway'!$A$2:$A$255,0)),"NA"))</f>
        <v>1570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customFormat="false" ht="15.75" hidden="false" customHeight="true" outlineLevel="0" collapsed="false">
      <c r="A125" s="54" t="s">
        <v>60</v>
      </c>
      <c r="B125" s="54" t="str">
        <f aca="false" t="array" ref="B125:B125">IFERROR(INDEX('CLM &amp; IM Mapping'!$B$2:$B$270,MATCH($A125,'CLM &amp; IM Mapping'!$A$2:$A$270,0)),"Not Mapped")</f>
        <v>Adhavan Subramani</v>
      </c>
      <c r="C125" s="54" t="str">
        <f aca="false" t="array" ref="C125:C125">IFERROR(INDEX('CLM &amp; IM Mapping'!$C$2:$C$270,MATCH($A125,'CLM &amp; IM Mapping'!$A$2:$A$270,0)),"Not Mapped")</f>
        <v>Mohammed Akbar</v>
      </c>
      <c r="D125" s="55" t="n">
        <f aca="false" t="array" ref="D125:D125">IFERROR(INDEX(Shrinkage!$O$2:$O$260,MATCH($A125,Shrinkage!$C$2:$C$260,0)),IFERROR(INDEX(Shrinkage!$O$2:$O$260,MATCH(SUBSTITUTE($A125," SS","  SS"),Shrinkage!$C$2:$C$260,0)),"NA"))</f>
        <v>41109</v>
      </c>
      <c r="E125" s="56" t="n">
        <f aca="false" t="array" ref="E125:E125">IFERROR(INDEX('Inventory Hygiene'!$I$2:$I$252,MATCH($A125,'Inventory Hygiene'!$A$2:$A$252,0)),IFERROR(INDEX('Inventory Hygiene'!$I$2:$I$252,MATCH(SUBSTITUTE($A125," SS","  SS"),'Inventory Hygiene'!$A$2:$A$252,0)),"NA"))</f>
        <v>0.33</v>
      </c>
      <c r="F125" s="54" t="n">
        <f aca="false" t="array" ref="F125:F125">IFERROR(INDEX('Bad Bins'!$J$2:$J$252,MATCH($A125,'Bad Bins'!$A$2:$A$252,0)),IFERROR(INDEX('Bad Bins'!$J$2:$J$252,MATCH(SUBSTITUTE($A125," SS","  SS"),'Bad Bins'!$A$2:$A$252,0)),"NA"))</f>
        <v>207</v>
      </c>
      <c r="G125" s="54" t="n">
        <f aca="false" t="array" ref="G125:G125">IFERROR(INDEX('RSTO &gt; 48hrs'!$G$2:$G$134,MATCH($A125,'RSTO &gt; 48hrs'!$A$2:$A$134,0)),IFERROR(INDEX('RSTO &gt; 48hrs'!$G$2:$G$134,MATCH(SUBSTITUTE($A125," SS","  SS"),'RSTO &gt; 48hrs'!$A$2:$A$134,0)),"NA"))</f>
        <v>15</v>
      </c>
      <c r="H125" s="54" t="n">
        <f aca="false" t="array" ref="H125:H125">IFERROR(INDEX('Recirculation &gt; 24 hrs'!$J$2:$J$150,MATCH($A125,'Recirculation &gt; 24 hrs'!$A$2:$A$150,0)),IFERROR(INDEX('Recirculation &gt; 24 hrs'!$J$2:$J$150,MATCH(SUBSTITUTE($A125," SS","  SS"),'Recirculation &gt; 24 hrs'!$A$2:$A$150,0)),"NA"))</f>
        <v>11</v>
      </c>
      <c r="I125" s="54" t="n">
        <f aca="false" t="array" ref="I125:I125">IFERROR(INDEX('Pending Putaway'!$D$2:$D$255,MATCH($A125,'Pending Putaway'!$A$2:$A$255,0)),IFERROR(INDEX('Pending Putaway'!$D$2:$D$255,MATCH(SUBSTITUTE($A125," SS","  SS"),'Pending Putaway'!$A$2:$A$255,0)),"NA"))</f>
        <v>4607</v>
      </c>
      <c r="J125" s="54" t="n">
        <f aca="false" t="array" ref="J125:J125">IFERROR(INDEX('Pending Putaway'!$K$2:$K$255,MATCH($A125,'Pending Putaway'!$A$2:$A$255,0)),IFERROR(INDEX('Pending Putaway'!$K$2:$K$255,MATCH(SUBSTITUTE($A125," SS","  SS"),'Pending Putaway'!$A$2:$A$255,0)),"NA"))</f>
        <v>4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customFormat="false" ht="15.75" hidden="false" customHeight="true" outlineLevel="0" collapsed="false">
      <c r="A126" s="54" t="s">
        <v>59</v>
      </c>
      <c r="B126" s="54" t="str">
        <f aca="false" t="array" ref="B126:B126">IFERROR(INDEX('CLM &amp; IM Mapping'!$B$2:$B$270,MATCH($A126,'CLM &amp; IM Mapping'!$A$2:$A$270,0)),"Not Mapped")</f>
        <v>Adhavan Subramani</v>
      </c>
      <c r="C126" s="54" t="str">
        <f aca="false" t="array" ref="C126:C126">IFERROR(INDEX('CLM &amp; IM Mapping'!$C$2:$C$270,MATCH($A126,'CLM &amp; IM Mapping'!$A$2:$A$270,0)),"Not Mapped")</f>
        <v>Mohammed Akbar</v>
      </c>
      <c r="D126" s="55" t="n">
        <f aca="false" t="array" ref="D126:D126">IFERROR(INDEX(Shrinkage!$O$2:$O$260,MATCH($A126,Shrinkage!$C$2:$C$260,0)),IFERROR(INDEX(Shrinkage!$O$2:$O$260,MATCH(SUBSTITUTE($A126," SS","  SS"),Shrinkage!$C$2:$C$260,0)),"NA"))</f>
        <v>41326</v>
      </c>
      <c r="E126" s="56" t="n">
        <f aca="false" t="array" ref="E126:E126">IFERROR(INDEX('Inventory Hygiene'!$I$2:$I$252,MATCH($A126,'Inventory Hygiene'!$A$2:$A$252,0)),IFERROR(INDEX('Inventory Hygiene'!$I$2:$I$252,MATCH(SUBSTITUTE($A126," SS","  SS"),'Inventory Hygiene'!$A$2:$A$252,0)),"NA"))</f>
        <v>0.49</v>
      </c>
      <c r="F126" s="54" t="n">
        <f aca="false" t="array" ref="F126:F126">IFERROR(INDEX('Bad Bins'!$J$2:$J$252,MATCH($A126,'Bad Bins'!$A$2:$A$252,0)),IFERROR(INDEX('Bad Bins'!$J$2:$J$252,MATCH(SUBSTITUTE($A126," SS","  SS"),'Bad Bins'!$A$2:$A$252,0)),"NA"))</f>
        <v>77</v>
      </c>
      <c r="G126" s="54" t="str">
        <f aca="false" t="array" ref="G126:G126">IFERROR(INDEX('RSTO &gt; 48hrs'!$G$2:$G$134,MATCH($A126,'RSTO &gt; 48hrs'!$A$2:$A$134,0)),IFERROR(INDEX('RSTO &gt; 48hrs'!$G$2:$G$134,MATCH(SUBSTITUTE($A126," SS","  SS"),'RSTO &gt; 48hrs'!$A$2:$A$134,0)),"NA"))</f>
        <v>NA</v>
      </c>
      <c r="H126" s="54" t="n">
        <f aca="false" t="array" ref="H126:H126">IFERROR(INDEX('Recirculation &gt; 24 hrs'!$J$2:$J$150,MATCH($A126,'Recirculation &gt; 24 hrs'!$A$2:$A$150,0)),IFERROR(INDEX('Recirculation &gt; 24 hrs'!$J$2:$J$150,MATCH(SUBSTITUTE($A126," SS","  SS"),'Recirculation &gt; 24 hrs'!$A$2:$A$150,0)),"NA"))</f>
        <v>11</v>
      </c>
      <c r="I126" s="54" t="n">
        <f aca="false" t="array" ref="I126:I126">IFERROR(INDEX('Pending Putaway'!$D$2:$D$255,MATCH($A126,'Pending Putaway'!$A$2:$A$255,0)),IFERROR(INDEX('Pending Putaway'!$D$2:$D$255,MATCH(SUBSTITUTE($A126," SS","  SS"),'Pending Putaway'!$A$2:$A$255,0)),"NA"))</f>
        <v>160</v>
      </c>
      <c r="J126" s="54" t="n">
        <f aca="false" t="array" ref="J126:J126">IFERROR(INDEX('Pending Putaway'!$K$2:$K$255,MATCH($A126,'Pending Putaway'!$A$2:$A$255,0)),IFERROR(INDEX('Pending Putaway'!$K$2:$K$255,MATCH(SUBSTITUTE($A126," SS","  SS"),'Pending Putaway'!$A$2:$A$255,0)),"NA"))</f>
        <v>160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customFormat="false" ht="15.75" hidden="false" customHeight="true" outlineLevel="0" collapsed="false">
      <c r="A127" s="54" t="s">
        <v>38</v>
      </c>
      <c r="B127" s="54" t="str">
        <f aca="false" t="array" ref="B127:B127">IFERROR(INDEX('CLM &amp; IM Mapping'!$B$2:$B$270,MATCH($A127,'CLM &amp; IM Mapping'!$A$2:$A$270,0)),"Not Mapped")</f>
        <v>Adhavan Subramani</v>
      </c>
      <c r="C127" s="54" t="str">
        <f aca="false" t="array" ref="C127:C127">IFERROR(INDEX('CLM &amp; IM Mapping'!$C$2:$C$270,MATCH($A127,'CLM &amp; IM Mapping'!$A$2:$A$270,0)),"Not Mapped")</f>
        <v>Mohammed Akbar</v>
      </c>
      <c r="D127" s="55" t="n">
        <f aca="false" t="array" ref="D127:D127">IFERROR(INDEX(Shrinkage!$O$2:$O$260,MATCH($A127,Shrinkage!$C$2:$C$260,0)),IFERROR(INDEX(Shrinkage!$O$2:$O$260,MATCH(SUBSTITUTE($A127," SS","  SS"),Shrinkage!$C$2:$C$260,0)),"NA"))</f>
        <v>51771</v>
      </c>
      <c r="E127" s="56" t="n">
        <f aca="false" t="array" ref="E127:E127">IFERROR(INDEX('Inventory Hygiene'!$I$2:$I$252,MATCH($A127,'Inventory Hygiene'!$A$2:$A$252,0)),IFERROR(INDEX('Inventory Hygiene'!$I$2:$I$252,MATCH(SUBSTITUTE($A127," SS","  SS"),'Inventory Hygiene'!$A$2:$A$252,0)),"NA"))</f>
        <v>0.7</v>
      </c>
      <c r="F127" s="54" t="n">
        <f aca="false" t="array" ref="F127:F127">IFERROR(INDEX('Bad Bins'!$J$2:$J$252,MATCH($A127,'Bad Bins'!$A$2:$A$252,0)),IFERROR(INDEX('Bad Bins'!$J$2:$J$252,MATCH(SUBSTITUTE($A127," SS","  SS"),'Bad Bins'!$A$2:$A$252,0)),"NA"))</f>
        <v>681</v>
      </c>
      <c r="G127" s="54" t="n">
        <f aca="false" t="array" ref="G127:G127">IFERROR(INDEX('RSTO &gt; 48hrs'!$G$2:$G$134,MATCH($A127,'RSTO &gt; 48hrs'!$A$2:$A$134,0)),IFERROR(INDEX('RSTO &gt; 48hrs'!$G$2:$G$134,MATCH(SUBSTITUTE($A127," SS","  SS"),'RSTO &gt; 48hrs'!$A$2:$A$134,0)),"NA"))</f>
        <v>263</v>
      </c>
      <c r="H127" s="54" t="n">
        <f aca="false" t="array" ref="H127:H127">IFERROR(INDEX('Recirculation &gt; 24 hrs'!$J$2:$J$150,MATCH($A127,'Recirculation &gt; 24 hrs'!$A$2:$A$150,0)),IFERROR(INDEX('Recirculation &gt; 24 hrs'!$J$2:$J$150,MATCH(SUBSTITUTE($A127," SS","  SS"),'Recirculation &gt; 24 hrs'!$A$2:$A$150,0)),"NA"))</f>
        <v>993</v>
      </c>
      <c r="I127" s="54" t="n">
        <f aca="false" t="array" ref="I127:I127">IFERROR(INDEX('Pending Putaway'!$D$2:$D$255,MATCH($A127,'Pending Putaway'!$A$2:$A$255,0)),IFERROR(INDEX('Pending Putaway'!$D$2:$D$255,MATCH(SUBSTITUTE($A127," SS","  SS"),'Pending Putaway'!$A$2:$A$255,0)),"NA"))</f>
        <v>1568</v>
      </c>
      <c r="J127" s="54" t="n">
        <f aca="false" t="array" ref="J127:J127">IFERROR(INDEX('Pending Putaway'!$K$2:$K$255,MATCH($A127,'Pending Putaway'!$A$2:$A$255,0)),IFERROR(INDEX('Pending Putaway'!$K$2:$K$255,MATCH(SUBSTITUTE($A127," SS","  SS"),'Pending Putaway'!$A$2:$A$255,0)),"NA"))</f>
        <v>215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customFormat="false" ht="15.75" hidden="false" customHeight="true" outlineLevel="0" collapsed="false">
      <c r="A128" s="54" t="s">
        <v>92</v>
      </c>
      <c r="B128" s="54" t="str">
        <f aca="false" t="array" ref="B128:B128">IFERROR(INDEX('CLM &amp; IM Mapping'!$B$2:$B$270,MATCH($A128,'CLM &amp; IM Mapping'!$A$2:$A$270,0)),"Not Mapped")</f>
        <v>Adhavan Subramani</v>
      </c>
      <c r="C128" s="54" t="str">
        <f aca="false" t="array" ref="C128:C128">IFERROR(INDEX('CLM &amp; IM Mapping'!$C$2:$C$270,MATCH($A128,'CLM &amp; IM Mapping'!$A$2:$A$270,0)),"Not Mapped")</f>
        <v>Mohammed Akbar</v>
      </c>
      <c r="D128" s="55" t="n">
        <f aca="false" t="array" ref="D128:D128">IFERROR(INDEX(Shrinkage!$O$2:$O$260,MATCH($A128,Shrinkage!$C$2:$C$260,0)),IFERROR(INDEX(Shrinkage!$O$2:$O$260,MATCH(SUBSTITUTE($A128," SS","  SS"),Shrinkage!$C$2:$C$260,0)),"NA"))</f>
        <v>22354</v>
      </c>
      <c r="E128" s="56" t="n">
        <f aca="false" t="array" ref="E128:E128">IFERROR(INDEX('Inventory Hygiene'!$I$2:$I$252,MATCH($A128,'Inventory Hygiene'!$A$2:$A$252,0)),IFERROR(INDEX('Inventory Hygiene'!$I$2:$I$252,MATCH(SUBSTITUTE($A128," SS","  SS"),'Inventory Hygiene'!$A$2:$A$252,0)),"NA"))</f>
        <v>0.53</v>
      </c>
      <c r="F128" s="54" t="n">
        <f aca="false" t="array" ref="F128:F128">IFERROR(INDEX('Bad Bins'!$J$2:$J$252,MATCH($A128,'Bad Bins'!$A$2:$A$252,0)),IFERROR(INDEX('Bad Bins'!$J$2:$J$252,MATCH(SUBSTITUTE($A128," SS","  SS"),'Bad Bins'!$A$2:$A$252,0)),"NA"))</f>
        <v>106</v>
      </c>
      <c r="G128" s="54" t="n">
        <f aca="false" t="array" ref="G128:G128">IFERROR(INDEX('RSTO &gt; 48hrs'!$G$2:$G$134,MATCH($A128,'RSTO &gt; 48hrs'!$A$2:$A$134,0)),IFERROR(INDEX('RSTO &gt; 48hrs'!$G$2:$G$134,MATCH(SUBSTITUTE($A128," SS","  SS"),'RSTO &gt; 48hrs'!$A$2:$A$134,0)),"NA"))</f>
        <v>41</v>
      </c>
      <c r="H128" s="54" t="str">
        <f aca="false" t="array" ref="H128:H128">IFERROR(INDEX('Recirculation &gt; 24 hrs'!$J$2:$J$150,MATCH($A128,'Recirculation &gt; 24 hrs'!$A$2:$A$150,0)),IFERROR(INDEX('Recirculation &gt; 24 hrs'!$J$2:$J$150,MATCH(SUBSTITUTE($A128," SS","  SS"),'Recirculation &gt; 24 hrs'!$A$2:$A$150,0)),"NA"))</f>
        <v>NA</v>
      </c>
      <c r="I128" s="54" t="n">
        <f aca="false" t="array" ref="I128:I128">IFERROR(INDEX('Pending Putaway'!$D$2:$D$255,MATCH($A128,'Pending Putaway'!$A$2:$A$255,0)),IFERROR(INDEX('Pending Putaway'!$D$2:$D$255,MATCH(SUBSTITUTE($A128," SS","  SS"),'Pending Putaway'!$A$2:$A$255,0)),"NA"))</f>
        <v>2503</v>
      </c>
      <c r="J128" s="54" t="n">
        <f aca="false" t="array" ref="J128:J128">IFERROR(INDEX('Pending Putaway'!$K$2:$K$255,MATCH($A128,'Pending Putaway'!$A$2:$A$255,0)),IFERROR(INDEX('Pending Putaway'!$K$2:$K$255,MATCH(SUBSTITUTE($A128," SS","  SS"),'Pending Putaway'!$A$2:$A$255,0)),"NA"))</f>
        <v>1797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customFormat="false" ht="15.75" hidden="false" customHeight="true" outlineLevel="0" collapsed="false">
      <c r="A129" s="54" t="s">
        <v>94</v>
      </c>
      <c r="B129" s="54" t="str">
        <f aca="false" t="array" ref="B129:B129">IFERROR(INDEX('CLM &amp; IM Mapping'!$B$2:$B$270,MATCH($A129,'CLM &amp; IM Mapping'!$A$2:$A$270,0)),"Not Mapped")</f>
        <v>Adhavan Subramani</v>
      </c>
      <c r="C129" s="54" t="str">
        <f aca="false" t="array" ref="C129:C129">IFERROR(INDEX('CLM &amp; IM Mapping'!$C$2:$C$270,MATCH($A129,'CLM &amp; IM Mapping'!$A$2:$A$270,0)),"Not Mapped")</f>
        <v>Mohammed Akbar</v>
      </c>
      <c r="D129" s="55" t="n">
        <f aca="false" t="array" ref="D129:D129">IFERROR(INDEX(Shrinkage!$O$2:$O$260,MATCH($A129,Shrinkage!$C$2:$C$260,0)),IFERROR(INDEX(Shrinkage!$O$2:$O$260,MATCH(SUBSTITUTE($A129," SS","  SS"),Shrinkage!$C$2:$C$260,0)),"NA"))</f>
        <v>21949</v>
      </c>
      <c r="E129" s="56" t="n">
        <f aca="false" t="array" ref="E129:E129">IFERROR(INDEX('Inventory Hygiene'!$I$2:$I$252,MATCH($A129,'Inventory Hygiene'!$A$2:$A$252,0)),IFERROR(INDEX('Inventory Hygiene'!$I$2:$I$252,MATCH(SUBSTITUTE($A129," SS","  SS"),'Inventory Hygiene'!$A$2:$A$252,0)),"NA"))</f>
        <v>0.32</v>
      </c>
      <c r="F129" s="54" t="n">
        <f aca="false" t="array" ref="F129:F129">IFERROR(INDEX('Bad Bins'!$J$2:$J$252,MATCH($A129,'Bad Bins'!$A$2:$A$252,0)),IFERROR(INDEX('Bad Bins'!$J$2:$J$252,MATCH(SUBSTITUTE($A129," SS","  SS"),'Bad Bins'!$A$2:$A$252,0)),"NA"))</f>
        <v>103</v>
      </c>
      <c r="G129" s="54" t="n">
        <f aca="false" t="array" ref="G129:G129">IFERROR(INDEX('RSTO &gt; 48hrs'!$G$2:$G$134,MATCH($A129,'RSTO &gt; 48hrs'!$A$2:$A$134,0)),IFERROR(INDEX('RSTO &gt; 48hrs'!$G$2:$G$134,MATCH(SUBSTITUTE($A129," SS","  SS"),'RSTO &gt; 48hrs'!$A$2:$A$134,0)),"NA"))</f>
        <v>1</v>
      </c>
      <c r="H129" s="54" t="n">
        <f aca="false" t="array" ref="H129:H129">IFERROR(INDEX('Recirculation &gt; 24 hrs'!$J$2:$J$150,MATCH($A129,'Recirculation &gt; 24 hrs'!$A$2:$A$150,0)),IFERROR(INDEX('Recirculation &gt; 24 hrs'!$J$2:$J$150,MATCH(SUBSTITUTE($A129," SS","  SS"),'Recirculation &gt; 24 hrs'!$A$2:$A$150,0)),"NA"))</f>
        <v>5</v>
      </c>
      <c r="I129" s="54" t="n">
        <f aca="false" t="array" ref="I129:I129">IFERROR(INDEX('Pending Putaway'!$D$2:$D$255,MATCH($A129,'Pending Putaway'!$A$2:$A$255,0)),IFERROR(INDEX('Pending Putaway'!$D$2:$D$255,MATCH(SUBSTITUTE($A129," SS","  SS"),'Pending Putaway'!$A$2:$A$255,0)),"NA"))</f>
        <v>1951</v>
      </c>
      <c r="J129" s="54" t="n">
        <f aca="false" t="array" ref="J129:J129">IFERROR(INDEX('Pending Putaway'!$K$2:$K$255,MATCH($A129,'Pending Putaway'!$A$2:$A$255,0)),IFERROR(INDEX('Pending Putaway'!$K$2:$K$255,MATCH(SUBSTITUTE($A129," SS","  SS"),'Pending Putaway'!$A$2:$A$255,0)),"NA"))</f>
        <v>281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customFormat="false" ht="15.75" hidden="false" customHeight="true" outlineLevel="0" collapsed="false">
      <c r="A130" s="54" t="s">
        <v>90</v>
      </c>
      <c r="B130" s="54" t="str">
        <f aca="false" t="array" ref="B130:B130">IFERROR(INDEX('CLM &amp; IM Mapping'!$B$2:$B$270,MATCH($A130,'CLM &amp; IM Mapping'!$A$2:$A$270,0)),"Not Mapped")</f>
        <v>Adhavan Subramani</v>
      </c>
      <c r="C130" s="54" t="str">
        <f aca="false" t="array" ref="C130:C130">IFERROR(INDEX('CLM &amp; IM Mapping'!$C$2:$C$270,MATCH($A130,'CLM &amp; IM Mapping'!$A$2:$A$270,0)),"Not Mapped")</f>
        <v>Mohammed Akbar</v>
      </c>
      <c r="D130" s="55" t="n">
        <f aca="false" t="array" ref="D130:D130">IFERROR(INDEX(Shrinkage!$O$2:$O$260,MATCH($A130,Shrinkage!$C$2:$C$260,0)),IFERROR(INDEX(Shrinkage!$O$2:$O$260,MATCH(SUBSTITUTE($A130," SS","  SS"),Shrinkage!$C$2:$C$260,0)),"NA"))</f>
        <v>24998</v>
      </c>
      <c r="E130" s="56" t="str">
        <f aca="false" t="array" ref="E130:E130">IFERROR(INDEX('Inventory Hygiene'!$I$2:$I$252,MATCH($A130,'Inventory Hygiene'!$A$2:$A$252,0)),IFERROR(INDEX('Inventory Hygiene'!$I$2:$I$252,MATCH(SUBSTITUTE($A130," SS","  SS"),'Inventory Hygiene'!$A$2:$A$252,0)),"NA"))</f>
        <v>NA</v>
      </c>
      <c r="F130" s="54" t="str">
        <f aca="false" t="array" ref="F130:F130">IFERROR(INDEX('Bad Bins'!$J$2:$J$252,MATCH($A130,'Bad Bins'!$A$2:$A$252,0)),IFERROR(INDEX('Bad Bins'!$J$2:$J$252,MATCH(SUBSTITUTE($A130," SS","  SS"),'Bad Bins'!$A$2:$A$252,0)),"NA"))</f>
        <v>NA</v>
      </c>
      <c r="G130" s="54" t="n">
        <f aca="false" t="array" ref="G130:G130">IFERROR(INDEX('RSTO &gt; 48hrs'!$G$2:$G$134,MATCH($A130,'RSTO &gt; 48hrs'!$A$2:$A$134,0)),IFERROR(INDEX('RSTO &gt; 48hrs'!$G$2:$G$134,MATCH(SUBSTITUTE($A130," SS","  SS"),'RSTO &gt; 48hrs'!$A$2:$A$134,0)),"NA"))</f>
        <v>1632</v>
      </c>
      <c r="H130" s="54" t="n">
        <f aca="false" t="array" ref="H130:H130">IFERROR(INDEX('Recirculation &gt; 24 hrs'!$J$2:$J$150,MATCH($A130,'Recirculation &gt; 24 hrs'!$A$2:$A$150,0)),IFERROR(INDEX('Recirculation &gt; 24 hrs'!$J$2:$J$150,MATCH(SUBSTITUTE($A130," SS","  SS"),'Recirculation &gt; 24 hrs'!$A$2:$A$150,0)),"NA"))</f>
        <v>10641</v>
      </c>
      <c r="I130" s="54" t="n">
        <f aca="false" t="array" ref="I130:I130">IFERROR(INDEX('Pending Putaway'!$D$2:$D$255,MATCH($A130,'Pending Putaway'!$A$2:$A$255,0)),IFERROR(INDEX('Pending Putaway'!$D$2:$D$255,MATCH(SUBSTITUTE($A130," SS","  SS"),'Pending Putaway'!$A$2:$A$255,0)),"NA"))</f>
        <v>0</v>
      </c>
      <c r="J130" s="54" t="n">
        <f aca="false" t="array" ref="J130:J130">IFERROR(INDEX('Pending Putaway'!$K$2:$K$255,MATCH($A130,'Pending Putaway'!$A$2:$A$255,0)),IFERROR(INDEX('Pending Putaway'!$K$2:$K$255,MATCH(SUBSTITUTE($A130," SS","  SS"),'Pending Putaway'!$A$2:$A$255,0)),"NA"))</f>
        <v>0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customFormat="false" ht="15.75" hidden="false" customHeight="true" outlineLevel="0" collapsed="false">
      <c r="A131" s="54" t="s">
        <v>194</v>
      </c>
      <c r="B131" s="54" t="str">
        <f aca="false" t="array" ref="B131:B131">IFERROR(INDEX('CLM &amp; IM Mapping'!$B$2:$B$270,MATCH($A131,'CLM &amp; IM Mapping'!$A$2:$A$270,0)),"Not Mapped")</f>
        <v>Balaji G</v>
      </c>
      <c r="C131" s="54" t="str">
        <f aca="false" t="array" ref="C131:C131">IFERROR(INDEX('CLM &amp; IM Mapping'!$C$2:$C$270,MATCH($A131,'CLM &amp; IM Mapping'!$A$2:$A$270,0)),"Not Mapped")</f>
        <v>Mohammed Akbar</v>
      </c>
      <c r="D131" s="55" t="n">
        <f aca="false" t="array" ref="D131:D131">IFERROR(INDEX(Shrinkage!$O$2:$O$260,MATCH($A131,Shrinkage!$C$2:$C$260,0)),IFERROR(INDEX(Shrinkage!$O$2:$O$260,MATCH(SUBSTITUTE($A131," SS","  SS"),Shrinkage!$C$2:$C$260,0)),"NA"))</f>
        <v>-809</v>
      </c>
      <c r="E131" s="56" t="n">
        <f aca="false" t="array" ref="E131:E131">IFERROR(INDEX('Inventory Hygiene'!$I$2:$I$252,MATCH($A131,'Inventory Hygiene'!$A$2:$A$252,0)),IFERROR(INDEX('Inventory Hygiene'!$I$2:$I$252,MATCH(SUBSTITUTE($A131," SS","  SS"),'Inventory Hygiene'!$A$2:$A$252,0)),"NA"))</f>
        <v>0.93</v>
      </c>
      <c r="F131" s="54" t="n">
        <f aca="false" t="array" ref="F131:F131">IFERROR(INDEX('Bad Bins'!$J$2:$J$252,MATCH($A131,'Bad Bins'!$A$2:$A$252,0)),IFERROR(INDEX('Bad Bins'!$J$2:$J$252,MATCH(SUBSTITUTE($A131," SS","  SS"),'Bad Bins'!$A$2:$A$252,0)),"NA"))</f>
        <v>204</v>
      </c>
      <c r="G131" s="54" t="n">
        <f aca="false" t="array" ref="G131:G131">IFERROR(INDEX('RSTO &gt; 48hrs'!$G$2:$G$134,MATCH($A131,'RSTO &gt; 48hrs'!$A$2:$A$134,0)),IFERROR(INDEX('RSTO &gt; 48hrs'!$G$2:$G$134,MATCH(SUBSTITUTE($A131," SS","  SS"),'RSTO &gt; 48hrs'!$A$2:$A$134,0)),"NA"))</f>
        <v>67</v>
      </c>
      <c r="H131" s="54" t="n">
        <f aca="false" t="array" ref="H131:H131">IFERROR(INDEX('Recirculation &gt; 24 hrs'!$J$2:$J$150,MATCH($A131,'Recirculation &gt; 24 hrs'!$A$2:$A$150,0)),IFERROR(INDEX('Recirculation &gt; 24 hrs'!$J$2:$J$150,MATCH(SUBSTITUTE($A131," SS","  SS"),'Recirculation &gt; 24 hrs'!$A$2:$A$150,0)),"NA"))</f>
        <v>1509</v>
      </c>
      <c r="I131" s="54" t="n">
        <f aca="false" t="array" ref="I131:I131">IFERROR(INDEX('Pending Putaway'!$D$2:$D$255,MATCH($A131,'Pending Putaway'!$A$2:$A$255,0)),IFERROR(INDEX('Pending Putaway'!$D$2:$D$255,MATCH(SUBSTITUTE($A131," SS","  SS"),'Pending Putaway'!$A$2:$A$255,0)),"NA"))</f>
        <v>0</v>
      </c>
      <c r="J131" s="54" t="n">
        <f aca="false" t="array" ref="J131:J131">IFERROR(INDEX('Pending Putaway'!$K$2:$K$255,MATCH($A131,'Pending Putaway'!$A$2:$A$255,0)),IFERROR(INDEX('Pending Putaway'!$K$2:$K$255,MATCH(SUBSTITUTE($A131," SS","  SS"),'Pending Putaway'!$A$2:$A$255,0)),"NA"))</f>
        <v>0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customFormat="false" ht="15.75" hidden="false" customHeight="true" outlineLevel="0" collapsed="false">
      <c r="A132" s="54" t="s">
        <v>133</v>
      </c>
      <c r="B132" s="54" t="str">
        <f aca="false" t="array" ref="B132:B132">IFERROR(INDEX('CLM &amp; IM Mapping'!$B$2:$B$270,MATCH($A132,'CLM &amp; IM Mapping'!$A$2:$A$270,0)),"Not Mapped")</f>
        <v>Balaji G</v>
      </c>
      <c r="C132" s="54" t="str">
        <f aca="false" t="array" ref="C132:C132">IFERROR(INDEX('CLM &amp; IM Mapping'!$C$2:$C$270,MATCH($A132,'CLM &amp; IM Mapping'!$A$2:$A$270,0)),"Not Mapped")</f>
        <v>Mohammed Akbar</v>
      </c>
      <c r="D132" s="55" t="n">
        <f aca="false" t="array" ref="D132:D132">IFERROR(INDEX(Shrinkage!$O$2:$O$260,MATCH($A132,Shrinkage!$C$2:$C$260,0)),IFERROR(INDEX(Shrinkage!$O$2:$O$260,MATCH(SUBSTITUTE($A132," SS","  SS"),Shrinkage!$C$2:$C$260,0)),"NA"))</f>
        <v>7689</v>
      </c>
      <c r="E132" s="56" t="n">
        <f aca="false" t="array" ref="E132:E132">IFERROR(INDEX('Inventory Hygiene'!$I$2:$I$252,MATCH($A132,'Inventory Hygiene'!$A$2:$A$252,0)),IFERROR(INDEX('Inventory Hygiene'!$I$2:$I$252,MATCH(SUBSTITUTE($A132," SS","  SS"),'Inventory Hygiene'!$A$2:$A$252,0)),"NA"))</f>
        <v>0.83</v>
      </c>
      <c r="F132" s="54" t="n">
        <f aca="false" t="array" ref="F132:F132">IFERROR(INDEX('Bad Bins'!$J$2:$J$252,MATCH($A132,'Bad Bins'!$A$2:$A$252,0)),IFERROR(INDEX('Bad Bins'!$J$2:$J$252,MATCH(SUBSTITUTE($A132," SS","  SS"),'Bad Bins'!$A$2:$A$252,0)),"NA"))</f>
        <v>132</v>
      </c>
      <c r="G132" s="54" t="n">
        <f aca="false" t="array" ref="G132:G132">IFERROR(INDEX('RSTO &gt; 48hrs'!$G$2:$G$134,MATCH($A132,'RSTO &gt; 48hrs'!$A$2:$A$134,0)),IFERROR(INDEX('RSTO &gt; 48hrs'!$G$2:$G$134,MATCH(SUBSTITUTE($A132," SS","  SS"),'RSTO &gt; 48hrs'!$A$2:$A$134,0)),"NA"))</f>
        <v>3</v>
      </c>
      <c r="H132" s="54" t="str">
        <f aca="false" t="array" ref="H132:H132">IFERROR(INDEX('Recirculation &gt; 24 hrs'!$J$2:$J$150,MATCH($A132,'Recirculation &gt; 24 hrs'!$A$2:$A$150,0)),IFERROR(INDEX('Recirculation &gt; 24 hrs'!$J$2:$J$150,MATCH(SUBSTITUTE($A132," SS","  SS"),'Recirculation &gt; 24 hrs'!$A$2:$A$150,0)),"NA"))</f>
        <v>NA</v>
      </c>
      <c r="I132" s="54" t="n">
        <f aca="false" t="array" ref="I132:I132">IFERROR(INDEX('Pending Putaway'!$D$2:$D$255,MATCH($A132,'Pending Putaway'!$A$2:$A$255,0)),IFERROR(INDEX('Pending Putaway'!$D$2:$D$255,MATCH(SUBSTITUTE($A132," SS","  SS"),'Pending Putaway'!$A$2:$A$255,0)),"NA"))</f>
        <v>371</v>
      </c>
      <c r="J132" s="54" t="n">
        <f aca="false" t="array" ref="J132:J132">IFERROR(INDEX('Pending Putaway'!$K$2:$K$255,MATCH($A132,'Pending Putaway'!$A$2:$A$255,0)),IFERROR(INDEX('Pending Putaway'!$K$2:$K$255,MATCH(SUBSTITUTE($A132," SS","  SS"),'Pending Putaway'!$A$2:$A$255,0)),"NA"))</f>
        <v>362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customFormat="false" ht="15.75" hidden="false" customHeight="true" outlineLevel="0" collapsed="false">
      <c r="A133" s="54" t="s">
        <v>49</v>
      </c>
      <c r="B133" s="54" t="str">
        <f aca="false" t="array" ref="B133:B133">IFERROR(INDEX('CLM &amp; IM Mapping'!$B$2:$B$270,MATCH($A133,'CLM &amp; IM Mapping'!$A$2:$A$270,0)),"Not Mapped")</f>
        <v>Balaji G</v>
      </c>
      <c r="C133" s="54" t="str">
        <f aca="false" t="array" ref="C133:C133">IFERROR(INDEX('CLM &amp; IM Mapping'!$C$2:$C$270,MATCH($A133,'CLM &amp; IM Mapping'!$A$2:$A$270,0)),"Not Mapped")</f>
        <v>Mohammed Akbar</v>
      </c>
      <c r="D133" s="55" t="n">
        <f aca="false" t="array" ref="D133:D133">IFERROR(INDEX(Shrinkage!$O$2:$O$260,MATCH($A133,Shrinkage!$C$2:$C$260,0)),IFERROR(INDEX(Shrinkage!$O$2:$O$260,MATCH(SUBSTITUTE($A133," SS","  SS"),Shrinkage!$C$2:$C$260,0)),"NA"))</f>
        <v>43571</v>
      </c>
      <c r="E133" s="56" t="n">
        <f aca="false" t="array" ref="E133:E133">IFERROR(INDEX('Inventory Hygiene'!$I$2:$I$252,MATCH($A133,'Inventory Hygiene'!$A$2:$A$252,0)),IFERROR(INDEX('Inventory Hygiene'!$I$2:$I$252,MATCH(SUBSTITUTE($A133," SS","  SS"),'Inventory Hygiene'!$A$2:$A$252,0)),"NA"))</f>
        <v>0.42</v>
      </c>
      <c r="F133" s="54" t="n">
        <f aca="false" t="array" ref="F133:F133">IFERROR(INDEX('Bad Bins'!$J$2:$J$252,MATCH($A133,'Bad Bins'!$A$2:$A$252,0)),IFERROR(INDEX('Bad Bins'!$J$2:$J$252,MATCH(SUBSTITUTE($A133," SS","  SS"),'Bad Bins'!$A$2:$A$252,0)),"NA"))</f>
        <v>111</v>
      </c>
      <c r="G133" s="54" t="n">
        <f aca="false" t="array" ref="G133:G133">IFERROR(INDEX('RSTO &gt; 48hrs'!$G$2:$G$134,MATCH($A133,'RSTO &gt; 48hrs'!$A$2:$A$134,0)),IFERROR(INDEX('RSTO &gt; 48hrs'!$G$2:$G$134,MATCH(SUBSTITUTE($A133," SS","  SS"),'RSTO &gt; 48hrs'!$A$2:$A$134,0)),"NA"))</f>
        <v>6</v>
      </c>
      <c r="H133" s="54" t="str">
        <f aca="false" t="array" ref="H133:H133">IFERROR(INDEX('Recirculation &gt; 24 hrs'!$J$2:$J$150,MATCH($A133,'Recirculation &gt; 24 hrs'!$A$2:$A$150,0)),IFERROR(INDEX('Recirculation &gt; 24 hrs'!$J$2:$J$150,MATCH(SUBSTITUTE($A133," SS","  SS"),'Recirculation &gt; 24 hrs'!$A$2:$A$150,0)),"NA"))</f>
        <v>NA</v>
      </c>
      <c r="I133" s="54" t="n">
        <f aca="false" t="array" ref="I133:I133">IFERROR(INDEX('Pending Putaway'!$D$2:$D$255,MATCH($A133,'Pending Putaway'!$A$2:$A$255,0)),IFERROR(INDEX('Pending Putaway'!$D$2:$D$255,MATCH(SUBSTITUTE($A133," SS","  SS"),'Pending Putaway'!$A$2:$A$255,0)),"NA"))</f>
        <v>1600</v>
      </c>
      <c r="J133" s="54" t="n">
        <f aca="false" t="array" ref="J133:J133">IFERROR(INDEX('Pending Putaway'!$K$2:$K$255,MATCH($A133,'Pending Putaway'!$A$2:$A$255,0)),IFERROR(INDEX('Pending Putaway'!$K$2:$K$255,MATCH(SUBSTITUTE($A133," SS","  SS"),'Pending Putaway'!$A$2:$A$255,0)),"NA"))</f>
        <v>178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customFormat="false" ht="15.75" hidden="false" customHeight="true" outlineLevel="0" collapsed="false">
      <c r="A134" s="54" t="s">
        <v>235</v>
      </c>
      <c r="B134" s="54" t="str">
        <f aca="false" t="array" ref="B134:B134">IFERROR(INDEX('CLM &amp; IM Mapping'!$B$2:$B$270,MATCH($A134,'CLM &amp; IM Mapping'!$A$2:$A$270,0)),"Not Mapped")</f>
        <v>Balaji G</v>
      </c>
      <c r="C134" s="54" t="str">
        <f aca="false" t="array" ref="C134:C134">IFERROR(INDEX('CLM &amp; IM Mapping'!$C$2:$C$270,MATCH($A134,'CLM &amp; IM Mapping'!$A$2:$A$270,0)),"Not Mapped")</f>
        <v>Mohammed Akbar</v>
      </c>
      <c r="D134" s="55" t="n">
        <f aca="false" t="array" ref="D134:D134">IFERROR(INDEX(Shrinkage!$O$2:$O$260,MATCH($A134,Shrinkage!$C$2:$C$260,0)),IFERROR(INDEX(Shrinkage!$O$2:$O$260,MATCH(SUBSTITUTE($A134," SS","  SS"),Shrinkage!$C$2:$C$260,0)),"NA"))</f>
        <v>-5403</v>
      </c>
      <c r="E134" s="56" t="n">
        <f aca="false" t="array" ref="E134:E134">IFERROR(INDEX('Inventory Hygiene'!$I$2:$I$252,MATCH($A134,'Inventory Hygiene'!$A$2:$A$252,0)),IFERROR(INDEX('Inventory Hygiene'!$I$2:$I$252,MATCH(SUBSTITUTE($A134," SS","  SS"),'Inventory Hygiene'!$A$2:$A$252,0)),"NA"))</f>
        <v>0.72</v>
      </c>
      <c r="F134" s="54" t="n">
        <f aca="false" t="array" ref="F134:F134">IFERROR(INDEX('Bad Bins'!$J$2:$J$252,MATCH($A134,'Bad Bins'!$A$2:$A$252,0)),IFERROR(INDEX('Bad Bins'!$J$2:$J$252,MATCH(SUBSTITUTE($A134," SS","  SS"),'Bad Bins'!$A$2:$A$252,0)),"NA"))</f>
        <v>138</v>
      </c>
      <c r="G134" s="54" t="n">
        <f aca="false" t="array" ref="G134:G134">IFERROR(INDEX('RSTO &gt; 48hrs'!$G$2:$G$134,MATCH($A134,'RSTO &gt; 48hrs'!$A$2:$A$134,0)),IFERROR(INDEX('RSTO &gt; 48hrs'!$G$2:$G$134,MATCH(SUBSTITUTE($A134," SS","  SS"),'RSTO &gt; 48hrs'!$A$2:$A$134,0)),"NA"))</f>
        <v>10</v>
      </c>
      <c r="H134" s="54" t="n">
        <f aca="false" t="array" ref="H134:H134">IFERROR(INDEX('Recirculation &gt; 24 hrs'!$J$2:$J$150,MATCH($A134,'Recirculation &gt; 24 hrs'!$A$2:$A$150,0)),IFERROR(INDEX('Recirculation &gt; 24 hrs'!$J$2:$J$150,MATCH(SUBSTITUTE($A134," SS","  SS"),'Recirculation &gt; 24 hrs'!$A$2:$A$150,0)),"NA"))</f>
        <v>477</v>
      </c>
      <c r="I134" s="54" t="n">
        <f aca="false" t="array" ref="I134:I134">IFERROR(INDEX('Pending Putaway'!$D$2:$D$255,MATCH($A134,'Pending Putaway'!$A$2:$A$255,0)),IFERROR(INDEX('Pending Putaway'!$D$2:$D$255,MATCH(SUBSTITUTE($A134," SS","  SS"),'Pending Putaway'!$A$2:$A$255,0)),"NA"))</f>
        <v>1462</v>
      </c>
      <c r="J134" s="54" t="n">
        <f aca="false" t="array" ref="J134:J134">IFERROR(INDEX('Pending Putaway'!$K$2:$K$255,MATCH($A134,'Pending Putaway'!$A$2:$A$255,0)),IFERROR(INDEX('Pending Putaway'!$K$2:$K$255,MATCH(SUBSTITUTE($A134," SS","  SS"),'Pending Putaway'!$A$2:$A$255,0)),"NA"))</f>
        <v>0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customFormat="false" ht="15.75" hidden="false" customHeight="true" outlineLevel="0" collapsed="false">
      <c r="A135" s="54" t="s">
        <v>134</v>
      </c>
      <c r="B135" s="54" t="str">
        <f aca="false" t="array" ref="B135:B135">IFERROR(INDEX('CLM &amp; IM Mapping'!$B$2:$B$270,MATCH($A135,'CLM &amp; IM Mapping'!$A$2:$A$270,0)),"Not Mapped")</f>
        <v>Balaji G</v>
      </c>
      <c r="C135" s="54" t="str">
        <f aca="false" t="array" ref="C135:C135">IFERROR(INDEX('CLM &amp; IM Mapping'!$C$2:$C$270,MATCH($A135,'CLM &amp; IM Mapping'!$A$2:$A$270,0)),"Not Mapped")</f>
        <v>Mohammed Akbar</v>
      </c>
      <c r="D135" s="55" t="n">
        <f aca="false" t="array" ref="D135:D135">IFERROR(INDEX(Shrinkage!$O$2:$O$260,MATCH($A135,Shrinkage!$C$2:$C$260,0)),IFERROR(INDEX(Shrinkage!$O$2:$O$260,MATCH(SUBSTITUTE($A135," SS","  SS"),Shrinkage!$C$2:$C$260,0)),"NA"))</f>
        <v>7536</v>
      </c>
      <c r="E135" s="56" t="n">
        <f aca="false" t="array" ref="E135:E135">IFERROR(INDEX('Inventory Hygiene'!$I$2:$I$252,MATCH($A135,'Inventory Hygiene'!$A$2:$A$252,0)),IFERROR(INDEX('Inventory Hygiene'!$I$2:$I$252,MATCH(SUBSTITUTE($A135," SS","  SS"),'Inventory Hygiene'!$A$2:$A$252,0)),"NA"))</f>
        <v>0.58</v>
      </c>
      <c r="F135" s="54" t="n">
        <f aca="false" t="array" ref="F135:F135">IFERROR(INDEX('Bad Bins'!$J$2:$J$252,MATCH($A135,'Bad Bins'!$A$2:$A$252,0)),IFERROR(INDEX('Bad Bins'!$J$2:$J$252,MATCH(SUBSTITUTE($A135," SS","  SS"),'Bad Bins'!$A$2:$A$252,0)),"NA"))</f>
        <v>141</v>
      </c>
      <c r="G135" s="54" t="str">
        <f aca="false" t="array" ref="G135:G135">IFERROR(INDEX('RSTO &gt; 48hrs'!$G$2:$G$134,MATCH($A135,'RSTO &gt; 48hrs'!$A$2:$A$134,0)),IFERROR(INDEX('RSTO &gt; 48hrs'!$G$2:$G$134,MATCH(SUBSTITUTE($A135," SS","  SS"),'RSTO &gt; 48hrs'!$A$2:$A$134,0)),"NA"))</f>
        <v>NA</v>
      </c>
      <c r="H135" s="54" t="str">
        <f aca="false" t="array" ref="H135:H135">IFERROR(INDEX('Recirculation &gt; 24 hrs'!$J$2:$J$150,MATCH($A135,'Recirculation &gt; 24 hrs'!$A$2:$A$150,0)),IFERROR(INDEX('Recirculation &gt; 24 hrs'!$J$2:$J$150,MATCH(SUBSTITUTE($A135," SS","  SS"),'Recirculation &gt; 24 hrs'!$A$2:$A$150,0)),"NA"))</f>
        <v>NA</v>
      </c>
      <c r="I135" s="54" t="n">
        <f aca="false" t="array" ref="I135:I135">IFERROR(INDEX('Pending Putaway'!$D$2:$D$255,MATCH($A135,'Pending Putaway'!$A$2:$A$255,0)),IFERROR(INDEX('Pending Putaway'!$D$2:$D$255,MATCH(SUBSTITUTE($A135," SS","  SS"),'Pending Putaway'!$A$2:$A$255,0)),"NA"))</f>
        <v>3325</v>
      </c>
      <c r="J135" s="54" t="n">
        <f aca="false" t="array" ref="J135:J135">IFERROR(INDEX('Pending Putaway'!$K$2:$K$255,MATCH($A135,'Pending Putaway'!$A$2:$A$255,0)),IFERROR(INDEX('Pending Putaway'!$K$2:$K$255,MATCH(SUBSTITUTE($A135," SS","  SS"),'Pending Putaway'!$A$2:$A$255,0)),"NA"))</f>
        <v>1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customFormat="false" ht="15.75" hidden="false" customHeight="true" outlineLevel="0" collapsed="false">
      <c r="A136" s="54" t="s">
        <v>247</v>
      </c>
      <c r="B136" s="54" t="str">
        <f aca="false" t="array" ref="B136:B136">IFERROR(INDEX('CLM &amp; IM Mapping'!$B$2:$B$270,MATCH($A136,'CLM &amp; IM Mapping'!$A$2:$A$270,0)),"Not Mapped")</f>
        <v>Balaji G</v>
      </c>
      <c r="C136" s="54" t="str">
        <f aca="false" t="array" ref="C136:C136">IFERROR(INDEX('CLM &amp; IM Mapping'!$C$2:$C$270,MATCH($A136,'CLM &amp; IM Mapping'!$A$2:$A$270,0)),"Not Mapped")</f>
        <v>Mohammed Akbar</v>
      </c>
      <c r="D136" s="55" t="n">
        <f aca="false" t="array" ref="D136:D136">IFERROR(INDEX(Shrinkage!$O$2:$O$260,MATCH($A136,Shrinkage!$C$2:$C$260,0)),IFERROR(INDEX(Shrinkage!$O$2:$O$260,MATCH(SUBSTITUTE($A136," SS","  SS"),Shrinkage!$C$2:$C$260,0)),"NA"))</f>
        <v>-6720</v>
      </c>
      <c r="E136" s="56" t="n">
        <f aca="false" t="array" ref="E136:E136">IFERROR(INDEX('Inventory Hygiene'!$I$2:$I$252,MATCH($A136,'Inventory Hygiene'!$A$2:$A$252,0)),IFERROR(INDEX('Inventory Hygiene'!$I$2:$I$252,MATCH(SUBSTITUTE($A136," SS","  SS"),'Inventory Hygiene'!$A$2:$A$252,0)),"NA"))</f>
        <v>0.92</v>
      </c>
      <c r="F136" s="54" t="n">
        <f aca="false" t="array" ref="F136:F136">IFERROR(INDEX('Bad Bins'!$J$2:$J$252,MATCH($A136,'Bad Bins'!$A$2:$A$252,0)),IFERROR(INDEX('Bad Bins'!$J$2:$J$252,MATCH(SUBSTITUTE($A136," SS","  SS"),'Bad Bins'!$A$2:$A$252,0)),"NA"))</f>
        <v>17</v>
      </c>
      <c r="G136" s="54" t="n">
        <f aca="false" t="array" ref="G136:G136">IFERROR(INDEX('RSTO &gt; 48hrs'!$G$2:$G$134,MATCH($A136,'RSTO &gt; 48hrs'!$A$2:$A$134,0)),IFERROR(INDEX('RSTO &gt; 48hrs'!$G$2:$G$134,MATCH(SUBSTITUTE($A136," SS","  SS"),'RSTO &gt; 48hrs'!$A$2:$A$134,0)),"NA"))</f>
        <v>13</v>
      </c>
      <c r="H136" s="54" t="str">
        <f aca="false" t="array" ref="H136:H136">IFERROR(INDEX('Recirculation &gt; 24 hrs'!$J$2:$J$150,MATCH($A136,'Recirculation &gt; 24 hrs'!$A$2:$A$150,0)),IFERROR(INDEX('Recirculation &gt; 24 hrs'!$J$2:$J$150,MATCH(SUBSTITUTE($A136," SS","  SS"),'Recirculation &gt; 24 hrs'!$A$2:$A$150,0)),"NA"))</f>
        <v>NA</v>
      </c>
      <c r="I136" s="54" t="n">
        <f aca="false" t="array" ref="I136:I136">IFERROR(INDEX('Pending Putaway'!$D$2:$D$255,MATCH($A136,'Pending Putaway'!$A$2:$A$255,0)),IFERROR(INDEX('Pending Putaway'!$D$2:$D$255,MATCH(SUBSTITUTE($A136," SS","  SS"),'Pending Putaway'!$A$2:$A$255,0)),"NA"))</f>
        <v>0</v>
      </c>
      <c r="J136" s="54" t="n">
        <f aca="false" t="array" ref="J136:J136">IFERROR(INDEX('Pending Putaway'!$K$2:$K$255,MATCH($A136,'Pending Putaway'!$A$2:$A$255,0)),IFERROR(INDEX('Pending Putaway'!$K$2:$K$255,MATCH(SUBSTITUTE($A136," SS","  SS"),'Pending Putaway'!$A$2:$A$255,0)),"NA"))</f>
        <v>0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customFormat="false" ht="15.75" hidden="false" customHeight="true" outlineLevel="0" collapsed="false">
      <c r="A137" s="54" t="s">
        <v>201</v>
      </c>
      <c r="B137" s="54" t="str">
        <f aca="false" t="array" ref="B137:B137">IFERROR(INDEX('CLM &amp; IM Mapping'!$B$2:$B$270,MATCH($A137,'CLM &amp; IM Mapping'!$A$2:$A$270,0)),"Not Mapped")</f>
        <v>Balaji G</v>
      </c>
      <c r="C137" s="54" t="str">
        <f aca="false" t="array" ref="C137:C137">IFERROR(INDEX('CLM &amp; IM Mapping'!$C$2:$C$270,MATCH($A137,'CLM &amp; IM Mapping'!$A$2:$A$270,0)),"Not Mapped")</f>
        <v>Mohammed Akbar</v>
      </c>
      <c r="D137" s="55" t="n">
        <f aca="false" t="array" ref="D137:D137">IFERROR(INDEX(Shrinkage!$O$2:$O$260,MATCH($A137,Shrinkage!$C$2:$C$260,0)),IFERROR(INDEX(Shrinkage!$O$2:$O$260,MATCH(SUBSTITUTE($A137," SS","  SS"),Shrinkage!$C$2:$C$260,0)),"NA"))</f>
        <v>-1467</v>
      </c>
      <c r="E137" s="56" t="n">
        <f aca="false" t="array" ref="E137:E137">IFERROR(INDEX('Inventory Hygiene'!$I$2:$I$252,MATCH($A137,'Inventory Hygiene'!$A$2:$A$252,0)),IFERROR(INDEX('Inventory Hygiene'!$I$2:$I$252,MATCH(SUBSTITUTE($A137," SS","  SS"),'Inventory Hygiene'!$A$2:$A$252,0)),"NA"))</f>
        <v>0.75</v>
      </c>
      <c r="F137" s="54" t="n">
        <f aca="false" t="array" ref="F137:F137">IFERROR(INDEX('Bad Bins'!$J$2:$J$252,MATCH($A137,'Bad Bins'!$A$2:$A$252,0)),IFERROR(INDEX('Bad Bins'!$J$2:$J$252,MATCH(SUBSTITUTE($A137," SS","  SS"),'Bad Bins'!$A$2:$A$252,0)),"NA"))</f>
        <v>54</v>
      </c>
      <c r="G137" s="54" t="n">
        <f aca="false" t="array" ref="G137:G137">IFERROR(INDEX('RSTO &gt; 48hrs'!$G$2:$G$134,MATCH($A137,'RSTO &gt; 48hrs'!$A$2:$A$134,0)),IFERROR(INDEX('RSTO &gt; 48hrs'!$G$2:$G$134,MATCH(SUBSTITUTE($A137," SS","  SS"),'RSTO &gt; 48hrs'!$A$2:$A$134,0)),"NA"))</f>
        <v>2</v>
      </c>
      <c r="H137" s="54" t="str">
        <f aca="false" t="array" ref="H137:H137">IFERROR(INDEX('Recirculation &gt; 24 hrs'!$J$2:$J$150,MATCH($A137,'Recirculation &gt; 24 hrs'!$A$2:$A$150,0)),IFERROR(INDEX('Recirculation &gt; 24 hrs'!$J$2:$J$150,MATCH(SUBSTITUTE($A137," SS","  SS"),'Recirculation &gt; 24 hrs'!$A$2:$A$150,0)),"NA"))</f>
        <v>NA</v>
      </c>
      <c r="I137" s="54" t="n">
        <f aca="false" t="array" ref="I137:I137">IFERROR(INDEX('Pending Putaway'!$D$2:$D$255,MATCH($A137,'Pending Putaway'!$A$2:$A$255,0)),IFERROR(INDEX('Pending Putaway'!$D$2:$D$255,MATCH(SUBSTITUTE($A137," SS","  SS"),'Pending Putaway'!$A$2:$A$255,0)),"NA"))</f>
        <v>0</v>
      </c>
      <c r="J137" s="54" t="n">
        <f aca="false" t="array" ref="J137:J137">IFERROR(INDEX('Pending Putaway'!$K$2:$K$255,MATCH($A137,'Pending Putaway'!$A$2:$A$255,0)),IFERROR(INDEX('Pending Putaway'!$K$2:$K$255,MATCH(SUBSTITUTE($A137," SS","  SS"),'Pending Putaway'!$A$2:$A$255,0)),"NA"))</f>
        <v>0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customFormat="false" ht="15.75" hidden="false" customHeight="true" outlineLevel="0" collapsed="false">
      <c r="A138" s="54" t="s">
        <v>268</v>
      </c>
      <c r="B138" s="54" t="str">
        <f aca="false" t="array" ref="B138:B138">IFERROR(INDEX('CLM &amp; IM Mapping'!$B$2:$B$270,MATCH($A138,'CLM &amp; IM Mapping'!$A$2:$A$270,0)),"Not Mapped")</f>
        <v>Balaji G</v>
      </c>
      <c r="C138" s="54" t="str">
        <f aca="false" t="array" ref="C138:C138">IFERROR(INDEX('CLM &amp; IM Mapping'!$C$2:$C$270,MATCH($A138,'CLM &amp; IM Mapping'!$A$2:$A$270,0)),"Not Mapped")</f>
        <v>Mohammed Akbar</v>
      </c>
      <c r="D138" s="55" t="n">
        <f aca="false" t="array" ref="D138:D138">IFERROR(INDEX(Shrinkage!$O$2:$O$260,MATCH($A138,Shrinkage!$C$2:$C$260,0)),IFERROR(INDEX(Shrinkage!$O$2:$O$260,MATCH(SUBSTITUTE($A138," SS","  SS"),Shrinkage!$C$2:$C$260,0)),"NA"))</f>
        <v>-11314</v>
      </c>
      <c r="E138" s="56" t="n">
        <f aca="false" t="array" ref="E138:E138">IFERROR(INDEX('Inventory Hygiene'!$I$2:$I$252,MATCH($A138,'Inventory Hygiene'!$A$2:$A$252,0)),IFERROR(INDEX('Inventory Hygiene'!$I$2:$I$252,MATCH(SUBSTITUTE($A138," SS","  SS"),'Inventory Hygiene'!$A$2:$A$252,0)),"NA"))</f>
        <v>0.91</v>
      </c>
      <c r="F138" s="54" t="n">
        <f aca="false" t="array" ref="F138:F138">IFERROR(INDEX('Bad Bins'!$J$2:$J$252,MATCH($A138,'Bad Bins'!$A$2:$A$252,0)),IFERROR(INDEX('Bad Bins'!$J$2:$J$252,MATCH(SUBSTITUTE($A138," SS","  SS"),'Bad Bins'!$A$2:$A$252,0)),"NA"))</f>
        <v>201</v>
      </c>
      <c r="G138" s="54" t="str">
        <f aca="false" t="array" ref="G138:G138">IFERROR(INDEX('RSTO &gt; 48hrs'!$G$2:$G$134,MATCH($A138,'RSTO &gt; 48hrs'!$A$2:$A$134,0)),IFERROR(INDEX('RSTO &gt; 48hrs'!$G$2:$G$134,MATCH(SUBSTITUTE($A138," SS","  SS"),'RSTO &gt; 48hrs'!$A$2:$A$134,0)),"NA"))</f>
        <v>NA</v>
      </c>
      <c r="H138" s="54" t="str">
        <f aca="false" t="array" ref="H138:H138">IFERROR(INDEX('Recirculation &gt; 24 hrs'!$J$2:$J$150,MATCH($A138,'Recirculation &gt; 24 hrs'!$A$2:$A$150,0)),IFERROR(INDEX('Recirculation &gt; 24 hrs'!$J$2:$J$150,MATCH(SUBSTITUTE($A138," SS","  SS"),'Recirculation &gt; 24 hrs'!$A$2:$A$150,0)),"NA"))</f>
        <v>NA</v>
      </c>
      <c r="I138" s="54" t="n">
        <f aca="false" t="array" ref="I138:I138">IFERROR(INDEX('Pending Putaway'!$D$2:$D$255,MATCH($A138,'Pending Putaway'!$A$2:$A$255,0)),IFERROR(INDEX('Pending Putaway'!$D$2:$D$255,MATCH(SUBSTITUTE($A138," SS","  SS"),'Pending Putaway'!$A$2:$A$255,0)),"NA"))</f>
        <v>1918</v>
      </c>
      <c r="J138" s="54" t="n">
        <f aca="false" t="array" ref="J138:J138">IFERROR(INDEX('Pending Putaway'!$K$2:$K$255,MATCH($A138,'Pending Putaway'!$A$2:$A$255,0)),IFERROR(INDEX('Pending Putaway'!$K$2:$K$255,MATCH(SUBSTITUTE($A138," SS","  SS"),'Pending Putaway'!$A$2:$A$255,0)),"NA"))</f>
        <v>0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customFormat="false" ht="15.75" hidden="false" customHeight="true" outlineLevel="0" collapsed="false">
      <c r="A139" s="54" t="s">
        <v>61</v>
      </c>
      <c r="B139" s="54" t="str">
        <f aca="false" t="array" ref="B139:B139">IFERROR(INDEX('CLM &amp; IM Mapping'!$B$2:$B$270,MATCH($A139,'CLM &amp; IM Mapping'!$A$2:$A$270,0)),"Not Mapped")</f>
        <v>Balaji G</v>
      </c>
      <c r="C139" s="54" t="str">
        <f aca="false" t="array" ref="C139:C139">IFERROR(INDEX('CLM &amp; IM Mapping'!$C$2:$C$270,MATCH($A139,'CLM &amp; IM Mapping'!$A$2:$A$270,0)),"Not Mapped")</f>
        <v>Mohammed Akbar</v>
      </c>
      <c r="D139" s="55" t="n">
        <f aca="false" t="array" ref="D139:D139">IFERROR(INDEX(Shrinkage!$O$2:$O$260,MATCH($A139,Shrinkage!$C$2:$C$260,0)),IFERROR(INDEX(Shrinkage!$O$2:$O$260,MATCH(SUBSTITUTE($A139," SS","  SS"),Shrinkage!$C$2:$C$260,0)),"NA"))</f>
        <v>40242</v>
      </c>
      <c r="E139" s="56" t="n">
        <f aca="false" t="array" ref="E139:E139">IFERROR(INDEX('Inventory Hygiene'!$I$2:$I$252,MATCH($A139,'Inventory Hygiene'!$A$2:$A$252,0)),IFERROR(INDEX('Inventory Hygiene'!$I$2:$I$252,MATCH(SUBSTITUTE($A139," SS","  SS"),'Inventory Hygiene'!$A$2:$A$252,0)),"NA"))</f>
        <v>0.82</v>
      </c>
      <c r="F139" s="54" t="n">
        <f aca="false" t="array" ref="F139:F139">IFERROR(INDEX('Bad Bins'!$J$2:$J$252,MATCH($A139,'Bad Bins'!$A$2:$A$252,0)),IFERROR(INDEX('Bad Bins'!$J$2:$J$252,MATCH(SUBSTITUTE($A139," SS","  SS"),'Bad Bins'!$A$2:$A$252,0)),"NA"))</f>
        <v>170</v>
      </c>
      <c r="G139" s="54" t="n">
        <f aca="false" t="array" ref="G139:G139">IFERROR(INDEX('RSTO &gt; 48hrs'!$G$2:$G$134,MATCH($A139,'RSTO &gt; 48hrs'!$A$2:$A$134,0)),IFERROR(INDEX('RSTO &gt; 48hrs'!$G$2:$G$134,MATCH(SUBSTITUTE($A139," SS","  SS"),'RSTO &gt; 48hrs'!$A$2:$A$134,0)),"NA"))</f>
        <v>7</v>
      </c>
      <c r="H139" s="54" t="str">
        <f aca="false" t="array" ref="H139:H139">IFERROR(INDEX('Recirculation &gt; 24 hrs'!$J$2:$J$150,MATCH($A139,'Recirculation &gt; 24 hrs'!$A$2:$A$150,0)),IFERROR(INDEX('Recirculation &gt; 24 hrs'!$J$2:$J$150,MATCH(SUBSTITUTE($A139," SS","  SS"),'Recirculation &gt; 24 hrs'!$A$2:$A$150,0)),"NA"))</f>
        <v>NA</v>
      </c>
      <c r="I139" s="54" t="n">
        <f aca="false" t="array" ref="I139:I139">IFERROR(INDEX('Pending Putaway'!$D$2:$D$255,MATCH($A139,'Pending Putaway'!$A$2:$A$255,0)),IFERROR(INDEX('Pending Putaway'!$D$2:$D$255,MATCH(SUBSTITUTE($A139," SS","  SS"),'Pending Putaway'!$A$2:$A$255,0)),"NA"))</f>
        <v>0</v>
      </c>
      <c r="J139" s="54" t="n">
        <f aca="false" t="array" ref="J139:J139">IFERROR(INDEX('Pending Putaway'!$K$2:$K$255,MATCH($A139,'Pending Putaway'!$A$2:$A$255,0)),IFERROR(INDEX('Pending Putaway'!$K$2:$K$255,MATCH(SUBSTITUTE($A139," SS","  SS"),'Pending Putaway'!$A$2:$A$255,0)),"NA"))</f>
        <v>0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customFormat="false" ht="15.75" hidden="false" customHeight="true" outlineLevel="0" collapsed="false">
      <c r="A140" s="54" t="s">
        <v>341</v>
      </c>
      <c r="B140" s="54" t="str">
        <f aca="false" t="array" ref="B140:B140">IFERROR(INDEX('CLM &amp; IM Mapping'!$B$2:$B$270,MATCH($A140,'CLM &amp; IM Mapping'!$A$2:$A$270,0)),"Not Mapped")</f>
        <v>Balaji G</v>
      </c>
      <c r="C140" s="54" t="str">
        <f aca="false" t="array" ref="C140:C140">IFERROR(INDEX('CLM &amp; IM Mapping'!$C$2:$C$270,MATCH($A140,'CLM &amp; IM Mapping'!$A$2:$A$270,0)),"Not Mapped")</f>
        <v>Mohammed Akbar</v>
      </c>
      <c r="D140" s="55" t="str">
        <f aca="false" t="array" ref="D140:D140">IFERROR(INDEX(Shrinkage!$O$2:$O$260,MATCH($A140,Shrinkage!$C$2:$C$260,0)),IFERROR(INDEX(Shrinkage!$O$2:$O$260,MATCH(SUBSTITUTE($A140," SS","  SS"),Shrinkage!$C$2:$C$260,0)),"NA"))</f>
        <v>NA</v>
      </c>
      <c r="E140" s="56" t="str">
        <f aca="false" t="array" ref="E140:E140">IFERROR(INDEX('Inventory Hygiene'!$I$2:$I$252,MATCH($A140,'Inventory Hygiene'!$A$2:$A$252,0)),IFERROR(INDEX('Inventory Hygiene'!$I$2:$I$252,MATCH(SUBSTITUTE($A140," SS","  SS"),'Inventory Hygiene'!$A$2:$A$252,0)),"NA"))</f>
        <v>NA</v>
      </c>
      <c r="F140" s="54" t="str">
        <f aca="false" t="array" ref="F140:F140">IFERROR(INDEX('Bad Bins'!$J$2:$J$252,MATCH($A140,'Bad Bins'!$A$2:$A$252,0)),IFERROR(INDEX('Bad Bins'!$J$2:$J$252,MATCH(SUBSTITUTE($A140," SS","  SS"),'Bad Bins'!$A$2:$A$252,0)),"NA"))</f>
        <v>NA</v>
      </c>
      <c r="G140" s="54" t="str">
        <f aca="false" t="array" ref="G140:G140">IFERROR(INDEX('RSTO &gt; 48hrs'!$G$2:$G$134,MATCH($A140,'RSTO &gt; 48hrs'!$A$2:$A$134,0)),IFERROR(INDEX('RSTO &gt; 48hrs'!$G$2:$G$134,MATCH(SUBSTITUTE($A140," SS","  SS"),'RSTO &gt; 48hrs'!$A$2:$A$134,0)),"NA"))</f>
        <v>NA</v>
      </c>
      <c r="H140" s="54" t="str">
        <f aca="false" t="array" ref="H140:H140">IFERROR(INDEX('Recirculation &gt; 24 hrs'!$J$2:$J$150,MATCH($A140,'Recirculation &gt; 24 hrs'!$A$2:$A$150,0)),IFERROR(INDEX('Recirculation &gt; 24 hrs'!$J$2:$J$150,MATCH(SUBSTITUTE($A140," SS","  SS"),'Recirculation &gt; 24 hrs'!$A$2:$A$150,0)),"NA"))</f>
        <v>NA</v>
      </c>
      <c r="I140" s="54" t="str">
        <f aca="false" t="array" ref="I140:I140">IFERROR(INDEX('Pending Putaway'!$D$2:$D$255,MATCH($A140,'Pending Putaway'!$A$2:$A$255,0)),IFERROR(INDEX('Pending Putaway'!$D$2:$D$255,MATCH(SUBSTITUTE($A140," SS","  SS"),'Pending Putaway'!$A$2:$A$255,0)),"NA"))</f>
        <v>NA</v>
      </c>
      <c r="J140" s="54" t="str">
        <f aca="false" t="array" ref="J140:J140">IFERROR(INDEX('Pending Putaway'!$K$2:$K$255,MATCH($A140,'Pending Putaway'!$A$2:$A$255,0)),IFERROR(INDEX('Pending Putaway'!$K$2:$K$255,MATCH(SUBSTITUTE($A140," SS","  SS"),'Pending Putaway'!$A$2:$A$255,0)),"NA"))</f>
        <v>NA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customFormat="false" ht="15.75" hidden="false" customHeight="true" outlineLevel="0" collapsed="false">
      <c r="A141" s="54" t="s">
        <v>287</v>
      </c>
      <c r="B141" s="54" t="str">
        <f aca="false" t="array" ref="B141:B141">IFERROR(INDEX('CLM &amp; IM Mapping'!$B$2:$B$270,MATCH($A141,'CLM &amp; IM Mapping'!$A$2:$A$270,0)),"Not Mapped")</f>
        <v>Balaji G</v>
      </c>
      <c r="C141" s="54" t="str">
        <f aca="false" t="array" ref="C141:C141">IFERROR(INDEX('CLM &amp; IM Mapping'!$C$2:$C$270,MATCH($A141,'CLM &amp; IM Mapping'!$A$2:$A$270,0)),"Not Mapped")</f>
        <v>Mohammed Akbar</v>
      </c>
      <c r="D141" s="55" t="n">
        <f aca="false" t="array" ref="D141:D141">IFERROR(INDEX(Shrinkage!$O$2:$O$260,MATCH($A141,Shrinkage!$C$2:$C$260,0)),IFERROR(INDEX(Shrinkage!$O$2:$O$260,MATCH(SUBSTITUTE($A141," SS","  SS"),Shrinkage!$C$2:$C$260,0)),"NA"))</f>
        <v>-22597</v>
      </c>
      <c r="E141" s="56" t="n">
        <f aca="false" t="array" ref="E141:E141">IFERROR(INDEX('Inventory Hygiene'!$I$2:$I$252,MATCH($A141,'Inventory Hygiene'!$A$2:$A$252,0)),IFERROR(INDEX('Inventory Hygiene'!$I$2:$I$252,MATCH(SUBSTITUTE($A141," SS","  SS"),'Inventory Hygiene'!$A$2:$A$252,0)),"NA"))</f>
        <v>1</v>
      </c>
      <c r="F141" s="54" t="n">
        <f aca="false" t="array" ref="F141:F141">IFERROR(INDEX('Bad Bins'!$J$2:$J$252,MATCH($A141,'Bad Bins'!$A$2:$A$252,0)),IFERROR(INDEX('Bad Bins'!$J$2:$J$252,MATCH(SUBSTITUTE($A141," SS","  SS"),'Bad Bins'!$A$2:$A$252,0)),"NA"))</f>
        <v>24</v>
      </c>
      <c r="G141" s="54" t="n">
        <f aca="false" t="array" ref="G141:G141">IFERROR(INDEX('RSTO &gt; 48hrs'!$G$2:$G$134,MATCH($A141,'RSTO &gt; 48hrs'!$A$2:$A$134,0)),IFERROR(INDEX('RSTO &gt; 48hrs'!$G$2:$G$134,MATCH(SUBSTITUTE($A141," SS","  SS"),'RSTO &gt; 48hrs'!$A$2:$A$134,0)),"NA"))</f>
        <v>1</v>
      </c>
      <c r="H141" s="54" t="str">
        <f aca="false" t="array" ref="H141:H141">IFERROR(INDEX('Recirculation &gt; 24 hrs'!$J$2:$J$150,MATCH($A141,'Recirculation &gt; 24 hrs'!$A$2:$A$150,0)),IFERROR(INDEX('Recirculation &gt; 24 hrs'!$J$2:$J$150,MATCH(SUBSTITUTE($A141," SS","  SS"),'Recirculation &gt; 24 hrs'!$A$2:$A$150,0)),"NA"))</f>
        <v>NA</v>
      </c>
      <c r="I141" s="54" t="n">
        <f aca="false" t="array" ref="I141:I141">IFERROR(INDEX('Pending Putaway'!$D$2:$D$255,MATCH($A141,'Pending Putaway'!$A$2:$A$255,0)),IFERROR(INDEX('Pending Putaway'!$D$2:$D$255,MATCH(SUBSTITUTE($A141," SS","  SS"),'Pending Putaway'!$A$2:$A$255,0)),"NA"))</f>
        <v>0</v>
      </c>
      <c r="J141" s="54" t="n">
        <f aca="false" t="array" ref="J141:J141">IFERROR(INDEX('Pending Putaway'!$K$2:$K$255,MATCH($A141,'Pending Putaway'!$A$2:$A$255,0)),IFERROR(INDEX('Pending Putaway'!$K$2:$K$255,MATCH(SUBSTITUTE($A141," SS","  SS"),'Pending Putaway'!$A$2:$A$255,0)),"NA"))</f>
        <v>0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customFormat="false" ht="15.75" hidden="false" customHeight="true" outlineLevel="0" collapsed="false">
      <c r="A142" s="54" t="s">
        <v>83</v>
      </c>
      <c r="B142" s="54" t="str">
        <f aca="false" t="array" ref="B142:B142">IFERROR(INDEX('CLM &amp; IM Mapping'!$B$2:$B$270,MATCH($A142,'CLM &amp; IM Mapping'!$A$2:$A$270,0)),"Not Mapped")</f>
        <v>Balaji G</v>
      </c>
      <c r="C142" s="54" t="str">
        <f aca="false" t="array" ref="C142:C142">IFERROR(INDEX('CLM &amp; IM Mapping'!$C$2:$C$270,MATCH($A142,'CLM &amp; IM Mapping'!$A$2:$A$270,0)),"Not Mapped")</f>
        <v>Mohammed Akbar</v>
      </c>
      <c r="D142" s="55" t="n">
        <f aca="false" t="array" ref="D142:D142">IFERROR(INDEX(Shrinkage!$O$2:$O$260,MATCH($A142,Shrinkage!$C$2:$C$260,0)),IFERROR(INDEX(Shrinkage!$O$2:$O$260,MATCH(SUBSTITUTE($A142," SS","  SS"),Shrinkage!$C$2:$C$260,0)),"NA"))</f>
        <v>28377</v>
      </c>
      <c r="E142" s="56" t="n">
        <f aca="false" t="array" ref="E142:E142">IFERROR(INDEX('Inventory Hygiene'!$I$2:$I$252,MATCH($A142,'Inventory Hygiene'!$A$2:$A$252,0)),IFERROR(INDEX('Inventory Hygiene'!$I$2:$I$252,MATCH(SUBSTITUTE($A142," SS","  SS"),'Inventory Hygiene'!$A$2:$A$252,0)),"NA"))</f>
        <v>0.66</v>
      </c>
      <c r="F142" s="54" t="n">
        <f aca="false" t="array" ref="F142:F142">IFERROR(INDEX('Bad Bins'!$J$2:$J$252,MATCH($A142,'Bad Bins'!$A$2:$A$252,0)),IFERROR(INDEX('Bad Bins'!$J$2:$J$252,MATCH(SUBSTITUTE($A142," SS","  SS"),'Bad Bins'!$A$2:$A$252,0)),"NA"))</f>
        <v>298</v>
      </c>
      <c r="G142" s="54" t="n">
        <f aca="false" t="array" ref="G142:G142">IFERROR(INDEX('RSTO &gt; 48hrs'!$G$2:$G$134,MATCH($A142,'RSTO &gt; 48hrs'!$A$2:$A$134,0)),IFERROR(INDEX('RSTO &gt; 48hrs'!$G$2:$G$134,MATCH(SUBSTITUTE($A142," SS","  SS"),'RSTO &gt; 48hrs'!$A$2:$A$134,0)),"NA"))</f>
        <v>25</v>
      </c>
      <c r="H142" s="54" t="str">
        <f aca="false" t="array" ref="H142:H142">IFERROR(INDEX('Recirculation &gt; 24 hrs'!$J$2:$J$150,MATCH($A142,'Recirculation &gt; 24 hrs'!$A$2:$A$150,0)),IFERROR(INDEX('Recirculation &gt; 24 hrs'!$J$2:$J$150,MATCH(SUBSTITUTE($A142," SS","  SS"),'Recirculation &gt; 24 hrs'!$A$2:$A$150,0)),"NA"))</f>
        <v>NA</v>
      </c>
      <c r="I142" s="54" t="n">
        <f aca="false" t="array" ref="I142:I142">IFERROR(INDEX('Pending Putaway'!$D$2:$D$255,MATCH($A142,'Pending Putaway'!$A$2:$A$255,0)),IFERROR(INDEX('Pending Putaway'!$D$2:$D$255,MATCH(SUBSTITUTE($A142," SS","  SS"),'Pending Putaway'!$A$2:$A$255,0)),"NA"))</f>
        <v>5334</v>
      </c>
      <c r="J142" s="54" t="n">
        <f aca="false" t="array" ref="J142:J142">IFERROR(INDEX('Pending Putaway'!$K$2:$K$255,MATCH($A142,'Pending Putaway'!$A$2:$A$255,0)),IFERROR(INDEX('Pending Putaway'!$K$2:$K$255,MATCH(SUBSTITUTE($A142," SS","  SS"),'Pending Putaway'!$A$2:$A$255,0)),"NA"))</f>
        <v>214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customFormat="false" ht="15.75" hidden="false" customHeight="true" outlineLevel="0" collapsed="false">
      <c r="A143" s="54" t="s">
        <v>142</v>
      </c>
      <c r="B143" s="54" t="str">
        <f aca="false" t="array" ref="B143:B143">IFERROR(INDEX('CLM &amp; IM Mapping'!$B$2:$B$270,MATCH($A143,'CLM &amp; IM Mapping'!$A$2:$A$270,0)),"Not Mapped")</f>
        <v>Balaji G</v>
      </c>
      <c r="C143" s="54" t="str">
        <f aca="false" t="array" ref="C143:C143">IFERROR(INDEX('CLM &amp; IM Mapping'!$C$2:$C$270,MATCH($A143,'CLM &amp; IM Mapping'!$A$2:$A$270,0)),"Not Mapped")</f>
        <v>Mohammed Akbar</v>
      </c>
      <c r="D143" s="55" t="n">
        <f aca="false" t="array" ref="D143:D143">IFERROR(INDEX(Shrinkage!$O$2:$O$260,MATCH($A143,Shrinkage!$C$2:$C$260,0)),IFERROR(INDEX(Shrinkage!$O$2:$O$260,MATCH(SUBSTITUTE($A143," SS","  SS"),Shrinkage!$C$2:$C$260,0)),"NA"))</f>
        <v>6380</v>
      </c>
      <c r="E143" s="56" t="n">
        <f aca="false" t="array" ref="E143:E143">IFERROR(INDEX('Inventory Hygiene'!$I$2:$I$252,MATCH($A143,'Inventory Hygiene'!$A$2:$A$252,0)),IFERROR(INDEX('Inventory Hygiene'!$I$2:$I$252,MATCH(SUBSTITUTE($A143," SS","  SS"),'Inventory Hygiene'!$A$2:$A$252,0)),"NA"))</f>
        <v>0.56</v>
      </c>
      <c r="F143" s="54" t="n">
        <f aca="false" t="array" ref="F143:F143">IFERROR(INDEX('Bad Bins'!$J$2:$J$252,MATCH($A143,'Bad Bins'!$A$2:$A$252,0)),IFERROR(INDEX('Bad Bins'!$J$2:$J$252,MATCH(SUBSTITUTE($A143," SS","  SS"),'Bad Bins'!$A$2:$A$252,0)),"NA"))</f>
        <v>82</v>
      </c>
      <c r="G143" s="54" t="n">
        <f aca="false" t="array" ref="G143:G143">IFERROR(INDEX('RSTO &gt; 48hrs'!$G$2:$G$134,MATCH($A143,'RSTO &gt; 48hrs'!$A$2:$A$134,0)),IFERROR(INDEX('RSTO &gt; 48hrs'!$G$2:$G$134,MATCH(SUBSTITUTE($A143," SS","  SS"),'RSTO &gt; 48hrs'!$A$2:$A$134,0)),"NA"))</f>
        <v>17</v>
      </c>
      <c r="H143" s="54" t="n">
        <f aca="false" t="array" ref="H143:H143">IFERROR(INDEX('Recirculation &gt; 24 hrs'!$J$2:$J$150,MATCH($A143,'Recirculation &gt; 24 hrs'!$A$2:$A$150,0)),IFERROR(INDEX('Recirculation &gt; 24 hrs'!$J$2:$J$150,MATCH(SUBSTITUTE($A143," SS","  SS"),'Recirculation &gt; 24 hrs'!$A$2:$A$150,0)),"NA"))</f>
        <v>25</v>
      </c>
      <c r="I143" s="54" t="n">
        <f aca="false" t="array" ref="I143:I143">IFERROR(INDEX('Pending Putaway'!$D$2:$D$255,MATCH($A143,'Pending Putaway'!$A$2:$A$255,0)),IFERROR(INDEX('Pending Putaway'!$D$2:$D$255,MATCH(SUBSTITUTE($A143," SS","  SS"),'Pending Putaway'!$A$2:$A$255,0)),"NA"))</f>
        <v>45</v>
      </c>
      <c r="J143" s="54" t="n">
        <f aca="false" t="array" ref="J143:J143">IFERROR(INDEX('Pending Putaway'!$K$2:$K$255,MATCH($A143,'Pending Putaway'!$A$2:$A$255,0)),IFERROR(INDEX('Pending Putaway'!$K$2:$K$255,MATCH(SUBSTITUTE($A143," SS","  SS"),'Pending Putaway'!$A$2:$A$255,0)),"NA"))</f>
        <v>45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customFormat="false" ht="15.75" hidden="false" customHeight="true" outlineLevel="0" collapsed="false">
      <c r="A144" s="54" t="s">
        <v>46</v>
      </c>
      <c r="B144" s="54" t="str">
        <f aca="false" t="array" ref="B144:B144">IFERROR(INDEX('CLM &amp; IM Mapping'!$B$2:$B$270,MATCH($A144,'CLM &amp; IM Mapping'!$A$2:$A$270,0)),"Not Mapped")</f>
        <v>Keshav G</v>
      </c>
      <c r="C144" s="54" t="str">
        <f aca="false" t="array" ref="C144:C144">IFERROR(INDEX('CLM &amp; IM Mapping'!$C$2:$C$270,MATCH($A144,'CLM &amp; IM Mapping'!$A$2:$A$270,0)),"Not Mapped")</f>
        <v>Mohammed Akbar</v>
      </c>
      <c r="D144" s="55" t="n">
        <f aca="false" t="array" ref="D144:D144">IFERROR(INDEX(Shrinkage!$O$2:$O$260,MATCH($A144,Shrinkage!$C$2:$C$260,0)),IFERROR(INDEX(Shrinkage!$O$2:$O$260,MATCH(SUBSTITUTE($A144," SS","  SS"),Shrinkage!$C$2:$C$260,0)),"NA"))</f>
        <v>47094</v>
      </c>
      <c r="E144" s="56" t="n">
        <f aca="false" t="array" ref="E144:E144">IFERROR(INDEX('Inventory Hygiene'!$I$2:$I$252,MATCH($A144,'Inventory Hygiene'!$A$2:$A$252,0)),IFERROR(INDEX('Inventory Hygiene'!$I$2:$I$252,MATCH(SUBSTITUTE($A144," SS","  SS"),'Inventory Hygiene'!$A$2:$A$252,0)),"NA"))</f>
        <v>0.77</v>
      </c>
      <c r="F144" s="54" t="n">
        <f aca="false" t="array" ref="F144:F144">IFERROR(INDEX('Bad Bins'!$J$2:$J$252,MATCH($A144,'Bad Bins'!$A$2:$A$252,0)),IFERROR(INDEX('Bad Bins'!$J$2:$J$252,MATCH(SUBSTITUTE($A144," SS","  SS"),'Bad Bins'!$A$2:$A$252,0)),"NA"))</f>
        <v>566</v>
      </c>
      <c r="G144" s="54" t="n">
        <f aca="false" t="array" ref="G144:G144">IFERROR(INDEX('RSTO &gt; 48hrs'!$G$2:$G$134,MATCH($A144,'RSTO &gt; 48hrs'!$A$2:$A$134,0)),IFERROR(INDEX('RSTO &gt; 48hrs'!$G$2:$G$134,MATCH(SUBSTITUTE($A144," SS","  SS"),'RSTO &gt; 48hrs'!$A$2:$A$134,0)),"NA"))</f>
        <v>643</v>
      </c>
      <c r="H144" s="54" t="n">
        <f aca="false" t="array" ref="H144:H144">IFERROR(INDEX('Recirculation &gt; 24 hrs'!$J$2:$J$150,MATCH($A144,'Recirculation &gt; 24 hrs'!$A$2:$A$150,0)),IFERROR(INDEX('Recirculation &gt; 24 hrs'!$J$2:$J$150,MATCH(SUBSTITUTE($A144," SS","  SS"),'Recirculation &gt; 24 hrs'!$A$2:$A$150,0)),"NA"))</f>
        <v>130</v>
      </c>
      <c r="I144" s="54" t="n">
        <f aca="false" t="array" ref="I144:I144">IFERROR(INDEX('Pending Putaway'!$D$2:$D$255,MATCH($A144,'Pending Putaway'!$A$2:$A$255,0)),IFERROR(INDEX('Pending Putaway'!$D$2:$D$255,MATCH(SUBSTITUTE($A144," SS","  SS"),'Pending Putaway'!$A$2:$A$255,0)),"NA"))</f>
        <v>13848</v>
      </c>
      <c r="J144" s="54" t="n">
        <f aca="false" t="array" ref="J144:J144">IFERROR(INDEX('Pending Putaway'!$K$2:$K$255,MATCH($A144,'Pending Putaway'!$A$2:$A$255,0)),IFERROR(INDEX('Pending Putaway'!$K$2:$K$255,MATCH(SUBSTITUTE($A144," SS","  SS"),'Pending Putaway'!$A$2:$A$255,0)),"NA"))</f>
        <v>3651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customFormat="false" ht="15.75" hidden="false" customHeight="true" outlineLevel="0" collapsed="false">
      <c r="A145" s="54" t="s">
        <v>294</v>
      </c>
      <c r="B145" s="54" t="str">
        <f aca="false" t="array" ref="B145:B145">IFERROR(INDEX('CLM &amp; IM Mapping'!$B$2:$B$270,MATCH($A145,'CLM &amp; IM Mapping'!$A$2:$A$270,0)),"Not Mapped")</f>
        <v>Balaji G</v>
      </c>
      <c r="C145" s="54" t="str">
        <f aca="false" t="array" ref="C145:C145">IFERROR(INDEX('CLM &amp; IM Mapping'!$C$2:$C$270,MATCH($A145,'CLM &amp; IM Mapping'!$A$2:$A$270,0)),"Not Mapped")</f>
        <v>Mohammed Akbar</v>
      </c>
      <c r="D145" s="55" t="n">
        <f aca="false" t="array" ref="D145:D145">IFERROR(INDEX(Shrinkage!$O$2:$O$260,MATCH($A145,Shrinkage!$C$2:$C$260,0)),IFERROR(INDEX(Shrinkage!$O$2:$O$260,MATCH(SUBSTITUTE($A145," SS","  SS"),Shrinkage!$C$2:$C$260,0)),"NA"))</f>
        <v>-34746</v>
      </c>
      <c r="E145" s="56" t="n">
        <f aca="false" t="array" ref="E145:E145">IFERROR(INDEX('Inventory Hygiene'!$I$2:$I$252,MATCH($A145,'Inventory Hygiene'!$A$2:$A$252,0)),IFERROR(INDEX('Inventory Hygiene'!$I$2:$I$252,MATCH(SUBSTITUTE($A145," SS","  SS"),'Inventory Hygiene'!$A$2:$A$252,0)),"NA"))</f>
        <v>0.97</v>
      </c>
      <c r="F145" s="54" t="n">
        <f aca="false" t="array" ref="F145:F145">IFERROR(INDEX('Bad Bins'!$J$2:$J$252,MATCH($A145,'Bad Bins'!$A$2:$A$252,0)),IFERROR(INDEX('Bad Bins'!$J$2:$J$252,MATCH(SUBSTITUTE($A145," SS","  SS"),'Bad Bins'!$A$2:$A$252,0)),"NA"))</f>
        <v>75</v>
      </c>
      <c r="G145" s="54" t="n">
        <f aca="false" t="array" ref="G145:G145">IFERROR(INDEX('RSTO &gt; 48hrs'!$G$2:$G$134,MATCH($A145,'RSTO &gt; 48hrs'!$A$2:$A$134,0)),IFERROR(INDEX('RSTO &gt; 48hrs'!$G$2:$G$134,MATCH(SUBSTITUTE($A145," SS","  SS"),'RSTO &gt; 48hrs'!$A$2:$A$134,0)),"NA"))</f>
        <v>1</v>
      </c>
      <c r="H145" s="54" t="str">
        <f aca="false" t="array" ref="H145:H145">IFERROR(INDEX('Recirculation &gt; 24 hrs'!$J$2:$J$150,MATCH($A145,'Recirculation &gt; 24 hrs'!$A$2:$A$150,0)),IFERROR(INDEX('Recirculation &gt; 24 hrs'!$J$2:$J$150,MATCH(SUBSTITUTE($A145," SS","  SS"),'Recirculation &gt; 24 hrs'!$A$2:$A$150,0)),"NA"))</f>
        <v>NA</v>
      </c>
      <c r="I145" s="54" t="n">
        <f aca="false" t="array" ref="I145:I145">IFERROR(INDEX('Pending Putaway'!$D$2:$D$255,MATCH($A145,'Pending Putaway'!$A$2:$A$255,0)),IFERROR(INDEX('Pending Putaway'!$D$2:$D$255,MATCH(SUBSTITUTE($A145," SS","  SS"),'Pending Putaway'!$A$2:$A$255,0)),"NA"))</f>
        <v>365</v>
      </c>
      <c r="J145" s="54" t="n">
        <f aca="false" t="array" ref="J145:J145">IFERROR(INDEX('Pending Putaway'!$K$2:$K$255,MATCH($A145,'Pending Putaway'!$A$2:$A$255,0)),IFERROR(INDEX('Pending Putaway'!$K$2:$K$255,MATCH(SUBSTITUTE($A145," SS","  SS"),'Pending Putaway'!$A$2:$A$255,0)),"NA"))</f>
        <v>0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customFormat="false" ht="15.75" hidden="false" customHeight="true" outlineLevel="0" collapsed="false">
      <c r="A146" s="54" t="s">
        <v>292</v>
      </c>
      <c r="B146" s="54" t="str">
        <f aca="false" t="array" ref="B146:B146">IFERROR(INDEX('CLM &amp; IM Mapping'!$B$2:$B$270,MATCH($A146,'CLM &amp; IM Mapping'!$A$2:$A$270,0)),"Not Mapped")</f>
        <v>Mohaideen DH</v>
      </c>
      <c r="C146" s="54" t="str">
        <f aca="false" t="array" ref="C146:C146">IFERROR(INDEX('CLM &amp; IM Mapping'!$C$2:$C$270,MATCH($A146,'CLM &amp; IM Mapping'!$A$2:$A$270,0)),"Not Mapped")</f>
        <v>Mohammed Akbar</v>
      </c>
      <c r="D146" s="55" t="n">
        <f aca="false" t="array" ref="D146:D146">IFERROR(INDEX(Shrinkage!$O$2:$O$260,MATCH($A146,Shrinkage!$C$2:$C$260,0)),IFERROR(INDEX(Shrinkage!$O$2:$O$260,MATCH(SUBSTITUTE($A146," SS","  SS"),Shrinkage!$C$2:$C$260,0)),"NA"))</f>
        <v>-30854</v>
      </c>
      <c r="E146" s="56" t="n">
        <f aca="false" t="array" ref="E146:E146">IFERROR(INDEX('Inventory Hygiene'!$I$2:$I$252,MATCH($A146,'Inventory Hygiene'!$A$2:$A$252,0)),IFERROR(INDEX('Inventory Hygiene'!$I$2:$I$252,MATCH(SUBSTITUTE($A146," SS","  SS"),'Inventory Hygiene'!$A$2:$A$252,0)),"NA"))</f>
        <v>1</v>
      </c>
      <c r="F146" s="54" t="n">
        <f aca="false" t="array" ref="F146:F146">IFERROR(INDEX('Bad Bins'!$J$2:$J$252,MATCH($A146,'Bad Bins'!$A$2:$A$252,0)),IFERROR(INDEX('Bad Bins'!$J$2:$J$252,MATCH(SUBSTITUTE($A146," SS","  SS"),'Bad Bins'!$A$2:$A$252,0)),"NA"))</f>
        <v>275</v>
      </c>
      <c r="G146" s="54" t="n">
        <f aca="false" t="array" ref="G146:G146">IFERROR(INDEX('RSTO &gt; 48hrs'!$G$2:$G$134,MATCH($A146,'RSTO &gt; 48hrs'!$A$2:$A$134,0)),IFERROR(INDEX('RSTO &gt; 48hrs'!$G$2:$G$134,MATCH(SUBSTITUTE($A146," SS","  SS"),'RSTO &gt; 48hrs'!$A$2:$A$134,0)),"NA"))</f>
        <v>71</v>
      </c>
      <c r="H146" s="54" t="str">
        <f aca="false" t="array" ref="H146:H146">IFERROR(INDEX('Recirculation &gt; 24 hrs'!$J$2:$J$150,MATCH($A146,'Recirculation &gt; 24 hrs'!$A$2:$A$150,0)),IFERROR(INDEX('Recirculation &gt; 24 hrs'!$J$2:$J$150,MATCH(SUBSTITUTE($A146," SS","  SS"),'Recirculation &gt; 24 hrs'!$A$2:$A$150,0)),"NA"))</f>
        <v>NA</v>
      </c>
      <c r="I146" s="54" t="n">
        <f aca="false" t="array" ref="I146:I146">IFERROR(INDEX('Pending Putaway'!$D$2:$D$255,MATCH($A146,'Pending Putaway'!$A$2:$A$255,0)),IFERROR(INDEX('Pending Putaway'!$D$2:$D$255,MATCH(SUBSTITUTE($A146," SS","  SS"),'Pending Putaway'!$A$2:$A$255,0)),"NA"))</f>
        <v>1053</v>
      </c>
      <c r="J146" s="54" t="n">
        <f aca="false" t="array" ref="J146:J146">IFERROR(INDEX('Pending Putaway'!$K$2:$K$255,MATCH($A146,'Pending Putaway'!$A$2:$A$255,0)),IFERROR(INDEX('Pending Putaway'!$K$2:$K$255,MATCH(SUBSTITUTE($A146," SS","  SS"),'Pending Putaway'!$A$2:$A$255,0)),"NA"))</f>
        <v>627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customFormat="false" ht="15.75" hidden="false" customHeight="true" outlineLevel="0" collapsed="false">
      <c r="A147" s="54" t="s">
        <v>70</v>
      </c>
      <c r="B147" s="54" t="str">
        <f aca="false" t="array" ref="B147:B147">IFERROR(INDEX('CLM &amp; IM Mapping'!$B$2:$B$270,MATCH($A147,'CLM &amp; IM Mapping'!$A$2:$A$270,0)),"Not Mapped")</f>
        <v>Mohaideen DH</v>
      </c>
      <c r="C147" s="54" t="str">
        <f aca="false" t="array" ref="C147:C147">IFERROR(INDEX('CLM &amp; IM Mapping'!$C$2:$C$270,MATCH($A147,'CLM &amp; IM Mapping'!$A$2:$A$270,0)),"Not Mapped")</f>
        <v>Mohammed Akbar</v>
      </c>
      <c r="D147" s="55" t="n">
        <f aca="false" t="array" ref="D147:D147">IFERROR(INDEX(Shrinkage!$O$2:$O$260,MATCH($A147,Shrinkage!$C$2:$C$260,0)),IFERROR(INDEX(Shrinkage!$O$2:$O$260,MATCH(SUBSTITUTE($A147," SS","  SS"),Shrinkage!$C$2:$C$260,0)),"NA"))</f>
        <v>34942</v>
      </c>
      <c r="E147" s="56" t="n">
        <f aca="false" t="array" ref="E147:E147">IFERROR(INDEX('Inventory Hygiene'!$I$2:$I$252,MATCH($A147,'Inventory Hygiene'!$A$2:$A$252,0)),IFERROR(INDEX('Inventory Hygiene'!$I$2:$I$252,MATCH(SUBSTITUTE($A147," SS","  SS"),'Inventory Hygiene'!$A$2:$A$252,0)),"NA"))</f>
        <v>0.7</v>
      </c>
      <c r="F147" s="54" t="n">
        <f aca="false" t="array" ref="F147:F147">IFERROR(INDEX('Bad Bins'!$J$2:$J$252,MATCH($A147,'Bad Bins'!$A$2:$A$252,0)),IFERROR(INDEX('Bad Bins'!$J$2:$J$252,MATCH(SUBSTITUTE($A147," SS","  SS"),'Bad Bins'!$A$2:$A$252,0)),"NA"))</f>
        <v>382</v>
      </c>
      <c r="G147" s="54" t="n">
        <f aca="false" t="array" ref="G147:G147">IFERROR(INDEX('RSTO &gt; 48hrs'!$G$2:$G$134,MATCH($A147,'RSTO &gt; 48hrs'!$A$2:$A$134,0)),IFERROR(INDEX('RSTO &gt; 48hrs'!$G$2:$G$134,MATCH(SUBSTITUTE($A147," SS","  SS"),'RSTO &gt; 48hrs'!$A$2:$A$134,0)),"NA"))</f>
        <v>116</v>
      </c>
      <c r="H147" s="54" t="n">
        <f aca="false" t="array" ref="H147:H147">IFERROR(INDEX('Recirculation &gt; 24 hrs'!$J$2:$J$150,MATCH($A147,'Recirculation &gt; 24 hrs'!$A$2:$A$150,0)),IFERROR(INDEX('Recirculation &gt; 24 hrs'!$J$2:$J$150,MATCH(SUBSTITUTE($A147," SS","  SS"),'Recirculation &gt; 24 hrs'!$A$2:$A$150,0)),"NA"))</f>
        <v>223</v>
      </c>
      <c r="I147" s="54" t="n">
        <f aca="false" t="array" ref="I147:I147">IFERROR(INDEX('Pending Putaway'!$D$2:$D$255,MATCH($A147,'Pending Putaway'!$A$2:$A$255,0)),IFERROR(INDEX('Pending Putaway'!$D$2:$D$255,MATCH(SUBSTITUTE($A147," SS","  SS"),'Pending Putaway'!$A$2:$A$255,0)),"NA"))</f>
        <v>5117</v>
      </c>
      <c r="J147" s="54" t="n">
        <f aca="false" t="array" ref="J147:J147">IFERROR(INDEX('Pending Putaway'!$K$2:$K$255,MATCH($A147,'Pending Putaway'!$A$2:$A$255,0)),IFERROR(INDEX('Pending Putaway'!$K$2:$K$255,MATCH(SUBSTITUTE($A147," SS","  SS"),'Pending Putaway'!$A$2:$A$255,0)),"NA"))</f>
        <v>2692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customFormat="false" ht="15.75" hidden="false" customHeight="true" outlineLevel="0" collapsed="false">
      <c r="A148" s="54" t="s">
        <v>68</v>
      </c>
      <c r="B148" s="54" t="str">
        <f aca="false" t="array" ref="B148:B148">IFERROR(INDEX('CLM &amp; IM Mapping'!$B$2:$B$270,MATCH($A148,'CLM &amp; IM Mapping'!$A$2:$A$270,0)),"Not Mapped")</f>
        <v>Mohaideen DH</v>
      </c>
      <c r="C148" s="54" t="str">
        <f aca="false" t="array" ref="C148:C148">IFERROR(INDEX('CLM &amp; IM Mapping'!$C$2:$C$270,MATCH($A148,'CLM &amp; IM Mapping'!$A$2:$A$270,0)),"Not Mapped")</f>
        <v>Mohammed Akbar</v>
      </c>
      <c r="D148" s="55" t="n">
        <f aca="false" t="array" ref="D148:D148">IFERROR(INDEX(Shrinkage!$O$2:$O$260,MATCH($A148,Shrinkage!$C$2:$C$260,0)),IFERROR(INDEX(Shrinkage!$O$2:$O$260,MATCH(SUBSTITUTE($A148," SS","  SS"),Shrinkage!$C$2:$C$260,0)),"NA"))</f>
        <v>37186</v>
      </c>
      <c r="E148" s="56" t="n">
        <f aca="false" t="array" ref="E148:E148">IFERROR(INDEX('Inventory Hygiene'!$I$2:$I$252,MATCH($A148,'Inventory Hygiene'!$A$2:$A$252,0)),IFERROR(INDEX('Inventory Hygiene'!$I$2:$I$252,MATCH(SUBSTITUTE($A148," SS","  SS"),'Inventory Hygiene'!$A$2:$A$252,0)),"NA"))</f>
        <v>0.74</v>
      </c>
      <c r="F148" s="54" t="n">
        <f aca="false" t="array" ref="F148:F148">IFERROR(INDEX('Bad Bins'!$J$2:$J$252,MATCH($A148,'Bad Bins'!$A$2:$A$252,0)),IFERROR(INDEX('Bad Bins'!$J$2:$J$252,MATCH(SUBSTITUTE($A148," SS","  SS"),'Bad Bins'!$A$2:$A$252,0)),"NA"))</f>
        <v>363</v>
      </c>
      <c r="G148" s="54" t="n">
        <f aca="false" t="array" ref="G148:G148">IFERROR(INDEX('RSTO &gt; 48hrs'!$G$2:$G$134,MATCH($A148,'RSTO &gt; 48hrs'!$A$2:$A$134,0)),IFERROR(INDEX('RSTO &gt; 48hrs'!$G$2:$G$134,MATCH(SUBSTITUTE($A148," SS","  SS"),'RSTO &gt; 48hrs'!$A$2:$A$134,0)),"NA"))</f>
        <v>48</v>
      </c>
      <c r="H148" s="54" t="n">
        <f aca="false" t="array" ref="H148:H148">IFERROR(INDEX('Recirculation &gt; 24 hrs'!$J$2:$J$150,MATCH($A148,'Recirculation &gt; 24 hrs'!$A$2:$A$150,0)),IFERROR(INDEX('Recirculation &gt; 24 hrs'!$J$2:$J$150,MATCH(SUBSTITUTE($A148," SS","  SS"),'Recirculation &gt; 24 hrs'!$A$2:$A$150,0)),"NA"))</f>
        <v>3</v>
      </c>
      <c r="I148" s="54" t="n">
        <f aca="false" t="array" ref="I148:I148">IFERROR(INDEX('Pending Putaway'!$D$2:$D$255,MATCH($A148,'Pending Putaway'!$A$2:$A$255,0)),IFERROR(INDEX('Pending Putaway'!$D$2:$D$255,MATCH(SUBSTITUTE($A148," SS","  SS"),'Pending Putaway'!$A$2:$A$255,0)),"NA"))</f>
        <v>4553</v>
      </c>
      <c r="J148" s="54" t="n">
        <f aca="false" t="array" ref="J148:J148">IFERROR(INDEX('Pending Putaway'!$K$2:$K$255,MATCH($A148,'Pending Putaway'!$A$2:$A$255,0)),IFERROR(INDEX('Pending Putaway'!$K$2:$K$255,MATCH(SUBSTITUTE($A148," SS","  SS"),'Pending Putaway'!$A$2:$A$255,0)),"NA"))</f>
        <v>56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customFormat="false" ht="15.75" hidden="false" customHeight="true" outlineLevel="0" collapsed="false">
      <c r="A149" s="54" t="s">
        <v>233</v>
      </c>
      <c r="B149" s="54" t="str">
        <f aca="false" t="array" ref="B149:B149">IFERROR(INDEX('CLM &amp; IM Mapping'!$B$2:$B$270,MATCH($A149,'CLM &amp; IM Mapping'!$A$2:$A$270,0)),"Not Mapped")</f>
        <v>Balaji G</v>
      </c>
      <c r="C149" s="54" t="str">
        <f aca="false" t="array" ref="C149:C149">IFERROR(INDEX('CLM &amp; IM Mapping'!$C$2:$C$270,MATCH($A149,'CLM &amp; IM Mapping'!$A$2:$A$270,0)),"Not Mapped")</f>
        <v>Mohammed Akbar</v>
      </c>
      <c r="D149" s="55" t="n">
        <f aca="false" t="array" ref="D149:D149">IFERROR(INDEX(Shrinkage!$O$2:$O$260,MATCH($A149,Shrinkage!$C$2:$C$260,0)),IFERROR(INDEX(Shrinkage!$O$2:$O$260,MATCH(SUBSTITUTE($A149," SS","  SS"),Shrinkage!$C$2:$C$260,0)),"NA"))</f>
        <v>-5133</v>
      </c>
      <c r="E149" s="56" t="n">
        <f aca="false" t="array" ref="E149:E149">IFERROR(INDEX('Inventory Hygiene'!$I$2:$I$252,MATCH($A149,'Inventory Hygiene'!$A$2:$A$252,0)),IFERROR(INDEX('Inventory Hygiene'!$I$2:$I$252,MATCH(SUBSTITUTE($A149," SS","  SS"),'Inventory Hygiene'!$A$2:$A$252,0)),"NA"))</f>
        <v>0.79</v>
      </c>
      <c r="F149" s="54" t="n">
        <f aca="false" t="array" ref="F149:F149">IFERROR(INDEX('Bad Bins'!$J$2:$J$252,MATCH($A149,'Bad Bins'!$A$2:$A$252,0)),IFERROR(INDEX('Bad Bins'!$J$2:$J$252,MATCH(SUBSTITUTE($A149," SS","  SS"),'Bad Bins'!$A$2:$A$252,0)),"NA"))</f>
        <v>144</v>
      </c>
      <c r="G149" s="54" t="str">
        <f aca="false" t="array" ref="G149:G149">IFERROR(INDEX('RSTO &gt; 48hrs'!$G$2:$G$134,MATCH($A149,'RSTO &gt; 48hrs'!$A$2:$A$134,0)),IFERROR(INDEX('RSTO &gt; 48hrs'!$G$2:$G$134,MATCH(SUBSTITUTE($A149," SS","  SS"),'RSTO &gt; 48hrs'!$A$2:$A$134,0)),"NA"))</f>
        <v>NA</v>
      </c>
      <c r="H149" s="54" t="str">
        <f aca="false" t="array" ref="H149:H149">IFERROR(INDEX('Recirculation &gt; 24 hrs'!$J$2:$J$150,MATCH($A149,'Recirculation &gt; 24 hrs'!$A$2:$A$150,0)),IFERROR(INDEX('Recirculation &gt; 24 hrs'!$J$2:$J$150,MATCH(SUBSTITUTE($A149," SS","  SS"),'Recirculation &gt; 24 hrs'!$A$2:$A$150,0)),"NA"))</f>
        <v>NA</v>
      </c>
      <c r="I149" s="54" t="n">
        <f aca="false" t="array" ref="I149:I149">IFERROR(INDEX('Pending Putaway'!$D$2:$D$255,MATCH($A149,'Pending Putaway'!$A$2:$A$255,0)),IFERROR(INDEX('Pending Putaway'!$D$2:$D$255,MATCH(SUBSTITUTE($A149," SS","  SS"),'Pending Putaway'!$A$2:$A$255,0)),"NA"))</f>
        <v>5</v>
      </c>
      <c r="J149" s="54" t="n">
        <f aca="false" t="array" ref="J149:J149">IFERROR(INDEX('Pending Putaway'!$K$2:$K$255,MATCH($A149,'Pending Putaway'!$A$2:$A$255,0)),IFERROR(INDEX('Pending Putaway'!$K$2:$K$255,MATCH(SUBSTITUTE($A149," SS","  SS"),'Pending Putaway'!$A$2:$A$255,0)),"NA"))</f>
        <v>0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customFormat="false" ht="15.75" hidden="false" customHeight="true" outlineLevel="0" collapsed="false">
      <c r="A150" s="54" t="s">
        <v>272</v>
      </c>
      <c r="B150" s="54" t="str">
        <f aca="false" t="array" ref="B150:B150">IFERROR(INDEX('CLM &amp; IM Mapping'!$B$2:$B$270,MATCH($A150,'CLM &amp; IM Mapping'!$A$2:$A$270,0)),"Not Mapped")</f>
        <v>Balaji G</v>
      </c>
      <c r="C150" s="54" t="str">
        <f aca="false" t="array" ref="C150:C150">IFERROR(INDEX('CLM &amp; IM Mapping'!$C$2:$C$270,MATCH($A150,'CLM &amp; IM Mapping'!$A$2:$A$270,0)),"Not Mapped")</f>
        <v>Mohammed Akbar</v>
      </c>
      <c r="D150" s="55" t="n">
        <f aca="false" t="array" ref="D150:D150">IFERROR(INDEX(Shrinkage!$O$2:$O$260,MATCH($A150,Shrinkage!$C$2:$C$260,0)),IFERROR(INDEX(Shrinkage!$O$2:$O$260,MATCH(SUBSTITUTE($A150," SS","  SS"),Shrinkage!$C$2:$C$260,0)),"NA"))</f>
        <v>-11643</v>
      </c>
      <c r="E150" s="56" t="n">
        <f aca="false" t="array" ref="E150:E150">IFERROR(INDEX('Inventory Hygiene'!$I$2:$I$252,MATCH($A150,'Inventory Hygiene'!$A$2:$A$252,0)),IFERROR(INDEX('Inventory Hygiene'!$I$2:$I$252,MATCH(SUBSTITUTE($A150," SS","  SS"),'Inventory Hygiene'!$A$2:$A$252,0)),"NA"))</f>
        <v>0.99</v>
      </c>
      <c r="F150" s="54" t="n">
        <f aca="false" t="array" ref="F150:F150">IFERROR(INDEX('Bad Bins'!$J$2:$J$252,MATCH($A150,'Bad Bins'!$A$2:$A$252,0)),IFERROR(INDEX('Bad Bins'!$J$2:$J$252,MATCH(SUBSTITUTE($A150," SS","  SS"),'Bad Bins'!$A$2:$A$252,0)),"NA"))</f>
        <v>158</v>
      </c>
      <c r="G150" s="54" t="str">
        <f aca="false" t="array" ref="G150:G150">IFERROR(INDEX('RSTO &gt; 48hrs'!$G$2:$G$134,MATCH($A150,'RSTO &gt; 48hrs'!$A$2:$A$134,0)),IFERROR(INDEX('RSTO &gt; 48hrs'!$G$2:$G$134,MATCH(SUBSTITUTE($A150," SS","  SS"),'RSTO &gt; 48hrs'!$A$2:$A$134,0)),"NA"))</f>
        <v>NA</v>
      </c>
      <c r="H150" s="54" t="str">
        <f aca="false" t="array" ref="H150:H150">IFERROR(INDEX('Recirculation &gt; 24 hrs'!$J$2:$J$150,MATCH($A150,'Recirculation &gt; 24 hrs'!$A$2:$A$150,0)),IFERROR(INDEX('Recirculation &gt; 24 hrs'!$J$2:$J$150,MATCH(SUBSTITUTE($A150," SS","  SS"),'Recirculation &gt; 24 hrs'!$A$2:$A$150,0)),"NA"))</f>
        <v>NA</v>
      </c>
      <c r="I150" s="54" t="n">
        <f aca="false" t="array" ref="I150:I150">IFERROR(INDEX('Pending Putaway'!$D$2:$D$255,MATCH($A150,'Pending Putaway'!$A$2:$A$255,0)),IFERROR(INDEX('Pending Putaway'!$D$2:$D$255,MATCH(SUBSTITUTE($A150," SS","  SS"),'Pending Putaway'!$A$2:$A$255,0)),"NA"))</f>
        <v>899</v>
      </c>
      <c r="J150" s="54" t="n">
        <f aca="false" t="array" ref="J150:J150">IFERROR(INDEX('Pending Putaway'!$K$2:$K$255,MATCH($A150,'Pending Putaway'!$A$2:$A$255,0)),IFERROR(INDEX('Pending Putaway'!$K$2:$K$255,MATCH(SUBSTITUTE($A150," SS","  SS"),'Pending Putaway'!$A$2:$A$255,0)),"NA"))</f>
        <v>899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customFormat="false" ht="15.75" hidden="false" customHeight="true" outlineLevel="0" collapsed="false">
      <c r="A151" s="54" t="s">
        <v>139</v>
      </c>
      <c r="B151" s="54" t="str">
        <f aca="false" t="array" ref="B151:B151">IFERROR(INDEX('CLM &amp; IM Mapping'!$B$2:$B$270,MATCH($A151,'CLM &amp; IM Mapping'!$A$2:$A$270,0)),"Not Mapped")</f>
        <v>Mohaideen DH</v>
      </c>
      <c r="C151" s="54" t="str">
        <f aca="false" t="array" ref="C151:C151">IFERROR(INDEX('CLM &amp; IM Mapping'!$C$2:$C$270,MATCH($A151,'CLM &amp; IM Mapping'!$A$2:$A$270,0)),"Not Mapped")</f>
        <v>Mohammed Akbar</v>
      </c>
      <c r="D151" s="55" t="n">
        <f aca="false" t="array" ref="D151:D151">IFERROR(INDEX(Shrinkage!$O$2:$O$260,MATCH($A151,Shrinkage!$C$2:$C$260,0)),IFERROR(INDEX(Shrinkage!$O$2:$O$260,MATCH(SUBSTITUTE($A151," SS","  SS"),Shrinkage!$C$2:$C$260,0)),"NA"))</f>
        <v>6880</v>
      </c>
      <c r="E151" s="56" t="n">
        <f aca="false" t="array" ref="E151:E151">IFERROR(INDEX('Inventory Hygiene'!$I$2:$I$252,MATCH($A151,'Inventory Hygiene'!$A$2:$A$252,0)),IFERROR(INDEX('Inventory Hygiene'!$I$2:$I$252,MATCH(SUBSTITUTE($A151," SS","  SS"),'Inventory Hygiene'!$A$2:$A$252,0)),"NA"))</f>
        <v>0.42</v>
      </c>
      <c r="F151" s="54" t="n">
        <f aca="false" t="array" ref="F151:F151">IFERROR(INDEX('Bad Bins'!$J$2:$J$252,MATCH($A151,'Bad Bins'!$A$2:$A$252,0)),IFERROR(INDEX('Bad Bins'!$J$2:$J$252,MATCH(SUBSTITUTE($A151," SS","  SS"),'Bad Bins'!$A$2:$A$252,0)),"NA"))</f>
        <v>218</v>
      </c>
      <c r="G151" s="54" t="n">
        <f aca="false" t="array" ref="G151:G151">IFERROR(INDEX('RSTO &gt; 48hrs'!$G$2:$G$134,MATCH($A151,'RSTO &gt; 48hrs'!$A$2:$A$134,0)),IFERROR(INDEX('RSTO &gt; 48hrs'!$G$2:$G$134,MATCH(SUBSTITUTE($A151," SS","  SS"),'RSTO &gt; 48hrs'!$A$2:$A$134,0)),"NA"))</f>
        <v>249</v>
      </c>
      <c r="H151" s="54" t="n">
        <f aca="false" t="array" ref="H151:H151">IFERROR(INDEX('Recirculation &gt; 24 hrs'!$J$2:$J$150,MATCH($A151,'Recirculation &gt; 24 hrs'!$A$2:$A$150,0)),IFERROR(INDEX('Recirculation &gt; 24 hrs'!$J$2:$J$150,MATCH(SUBSTITUTE($A151," SS","  SS"),'Recirculation &gt; 24 hrs'!$A$2:$A$150,0)),"NA"))</f>
        <v>2</v>
      </c>
      <c r="I151" s="54" t="n">
        <f aca="false" t="array" ref="I151:I151">IFERROR(INDEX('Pending Putaway'!$D$2:$D$255,MATCH($A151,'Pending Putaway'!$A$2:$A$255,0)),IFERROR(INDEX('Pending Putaway'!$D$2:$D$255,MATCH(SUBSTITUTE($A151," SS","  SS"),'Pending Putaway'!$A$2:$A$255,0)),"NA"))</f>
        <v>1909</v>
      </c>
      <c r="J151" s="54" t="n">
        <f aca="false" t="array" ref="J151:J151">IFERROR(INDEX('Pending Putaway'!$K$2:$K$255,MATCH($A151,'Pending Putaway'!$A$2:$A$255,0)),IFERROR(INDEX('Pending Putaway'!$K$2:$K$255,MATCH(SUBSTITUTE($A151," SS","  SS"),'Pending Putaway'!$A$2:$A$255,0)),"NA"))</f>
        <v>660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customFormat="false" ht="15.75" hidden="false" customHeight="true" outlineLevel="0" collapsed="false">
      <c r="A152" s="54" t="s">
        <v>299</v>
      </c>
      <c r="B152" s="54" t="str">
        <f aca="false" t="array" ref="B152:B152">IFERROR(INDEX('CLM &amp; IM Mapping'!$B$2:$B$270,MATCH($A152,'CLM &amp; IM Mapping'!$A$2:$A$270,0)),"Not Mapped")</f>
        <v>Balaji G</v>
      </c>
      <c r="C152" s="54" t="str">
        <f aca="false" t="array" ref="C152:C152">IFERROR(INDEX('CLM &amp; IM Mapping'!$C$2:$C$270,MATCH($A152,'CLM &amp; IM Mapping'!$A$2:$A$270,0)),"Not Mapped")</f>
        <v>Mohammed Akbar</v>
      </c>
      <c r="D152" s="55" t="n">
        <f aca="false" t="array" ref="D152:D152">IFERROR(INDEX(Shrinkage!$O$2:$O$260,MATCH($A152,Shrinkage!$C$2:$C$260,0)),IFERROR(INDEX(Shrinkage!$O$2:$O$260,MATCH(SUBSTITUTE($A152," SS","  SS"),Shrinkage!$C$2:$C$260,0)),"NA"))</f>
        <v>-45174</v>
      </c>
      <c r="E152" s="56" t="n">
        <f aca="false" t="array" ref="E152:E152">IFERROR(INDEX('Inventory Hygiene'!$I$2:$I$252,MATCH($A152,'Inventory Hygiene'!$A$2:$A$252,0)),IFERROR(INDEX('Inventory Hygiene'!$I$2:$I$252,MATCH(SUBSTITUTE($A152," SS","  SS"),'Inventory Hygiene'!$A$2:$A$252,0)),"NA"))</f>
        <v>0.95</v>
      </c>
      <c r="F152" s="54" t="n">
        <f aca="false" t="array" ref="F152:F152">IFERROR(INDEX('Bad Bins'!$J$2:$J$252,MATCH($A152,'Bad Bins'!$A$2:$A$252,0)),IFERROR(INDEX('Bad Bins'!$J$2:$J$252,MATCH(SUBSTITUTE($A152," SS","  SS"),'Bad Bins'!$A$2:$A$252,0)),"NA"))</f>
        <v>208</v>
      </c>
      <c r="G152" s="54" t="n">
        <f aca="false" t="array" ref="G152:G152">IFERROR(INDEX('RSTO &gt; 48hrs'!$G$2:$G$134,MATCH($A152,'RSTO &gt; 48hrs'!$A$2:$A$134,0)),IFERROR(INDEX('RSTO &gt; 48hrs'!$G$2:$G$134,MATCH(SUBSTITUTE($A152," SS","  SS"),'RSTO &gt; 48hrs'!$A$2:$A$134,0)),"NA"))</f>
        <v>5</v>
      </c>
      <c r="H152" s="54" t="str">
        <f aca="false" t="array" ref="H152:H152">IFERROR(INDEX('Recirculation &gt; 24 hrs'!$J$2:$J$150,MATCH($A152,'Recirculation &gt; 24 hrs'!$A$2:$A$150,0)),IFERROR(INDEX('Recirculation &gt; 24 hrs'!$J$2:$J$150,MATCH(SUBSTITUTE($A152," SS","  SS"),'Recirculation &gt; 24 hrs'!$A$2:$A$150,0)),"NA"))</f>
        <v>NA</v>
      </c>
      <c r="I152" s="54" t="n">
        <f aca="false" t="array" ref="I152:I152">IFERROR(INDEX('Pending Putaway'!$D$2:$D$255,MATCH($A152,'Pending Putaway'!$A$2:$A$255,0)),IFERROR(INDEX('Pending Putaway'!$D$2:$D$255,MATCH(SUBSTITUTE($A152," SS","  SS"),'Pending Putaway'!$A$2:$A$255,0)),"NA"))</f>
        <v>692</v>
      </c>
      <c r="J152" s="54" t="n">
        <f aca="false" t="array" ref="J152:J152">IFERROR(INDEX('Pending Putaway'!$K$2:$K$255,MATCH($A152,'Pending Putaway'!$A$2:$A$255,0)),IFERROR(INDEX('Pending Putaway'!$K$2:$K$255,MATCH(SUBSTITUTE($A152," SS","  SS"),'Pending Putaway'!$A$2:$A$255,0)),"NA"))</f>
        <v>103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customFormat="false" ht="15.75" hidden="false" customHeight="true" outlineLevel="0" collapsed="false">
      <c r="A153" s="54" t="s">
        <v>126</v>
      </c>
      <c r="B153" s="54" t="str">
        <f aca="false" t="array" ref="B153:B153">IFERROR(INDEX('CLM &amp; IM Mapping'!$B$2:$B$270,MATCH($A153,'CLM &amp; IM Mapping'!$A$2:$A$270,0)),"Not Mapped")</f>
        <v>Balaji G</v>
      </c>
      <c r="C153" s="54" t="str">
        <f aca="false" t="array" ref="C153:C153">IFERROR(INDEX('CLM &amp; IM Mapping'!$C$2:$C$270,MATCH($A153,'CLM &amp; IM Mapping'!$A$2:$A$270,0)),"Not Mapped")</f>
        <v>Mohammed Akbar</v>
      </c>
      <c r="D153" s="55" t="n">
        <f aca="false" t="array" ref="D153:D153">IFERROR(INDEX(Shrinkage!$O$2:$O$260,MATCH($A153,Shrinkage!$C$2:$C$260,0)),IFERROR(INDEX(Shrinkage!$O$2:$O$260,MATCH(SUBSTITUTE($A153," SS","  SS"),Shrinkage!$C$2:$C$260,0)),"NA"))</f>
        <v>9465</v>
      </c>
      <c r="E153" s="56" t="n">
        <f aca="false" t="array" ref="E153:E153">IFERROR(INDEX('Inventory Hygiene'!$I$2:$I$252,MATCH($A153,'Inventory Hygiene'!$A$2:$A$252,0)),IFERROR(INDEX('Inventory Hygiene'!$I$2:$I$252,MATCH(SUBSTITUTE($A153," SS","  SS"),'Inventory Hygiene'!$A$2:$A$252,0)),"NA"))</f>
        <v>0.76</v>
      </c>
      <c r="F153" s="54" t="n">
        <f aca="false" t="array" ref="F153:F153">IFERROR(INDEX('Bad Bins'!$J$2:$J$252,MATCH($A153,'Bad Bins'!$A$2:$A$252,0)),IFERROR(INDEX('Bad Bins'!$J$2:$J$252,MATCH(SUBSTITUTE($A153," SS","  SS"),'Bad Bins'!$A$2:$A$252,0)),"NA"))</f>
        <v>94</v>
      </c>
      <c r="G153" s="54" t="n">
        <f aca="false" t="array" ref="G153:G153">IFERROR(INDEX('RSTO &gt; 48hrs'!$G$2:$G$134,MATCH($A153,'RSTO &gt; 48hrs'!$A$2:$A$134,0)),IFERROR(INDEX('RSTO &gt; 48hrs'!$G$2:$G$134,MATCH(SUBSTITUTE($A153," SS","  SS"),'RSTO &gt; 48hrs'!$A$2:$A$134,0)),"NA"))</f>
        <v>1</v>
      </c>
      <c r="H153" s="54" t="n">
        <f aca="false" t="array" ref="H153:H153">IFERROR(INDEX('Recirculation &gt; 24 hrs'!$J$2:$J$150,MATCH($A153,'Recirculation &gt; 24 hrs'!$A$2:$A$150,0)),IFERROR(INDEX('Recirculation &gt; 24 hrs'!$J$2:$J$150,MATCH(SUBSTITUTE($A153," SS","  SS"),'Recirculation &gt; 24 hrs'!$A$2:$A$150,0)),"NA"))</f>
        <v>64</v>
      </c>
      <c r="I153" s="54" t="n">
        <f aca="false" t="array" ref="I153:I153">IFERROR(INDEX('Pending Putaway'!$D$2:$D$255,MATCH($A153,'Pending Putaway'!$A$2:$A$255,0)),IFERROR(INDEX('Pending Putaway'!$D$2:$D$255,MATCH(SUBSTITUTE($A153," SS","  SS"),'Pending Putaway'!$A$2:$A$255,0)),"NA"))</f>
        <v>0</v>
      </c>
      <c r="J153" s="54" t="n">
        <f aca="false" t="array" ref="J153:J153">IFERROR(INDEX('Pending Putaway'!$K$2:$K$255,MATCH($A153,'Pending Putaway'!$A$2:$A$255,0)),IFERROR(INDEX('Pending Putaway'!$K$2:$K$255,MATCH(SUBSTITUTE($A153," SS","  SS"),'Pending Putaway'!$A$2:$A$255,0)),"NA"))</f>
        <v>0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customFormat="false" ht="15.75" hidden="false" customHeight="true" outlineLevel="0" collapsed="false">
      <c r="A154" s="54" t="s">
        <v>125</v>
      </c>
      <c r="B154" s="54" t="str">
        <f aca="false" t="array" ref="B154:B154">IFERROR(INDEX('CLM &amp; IM Mapping'!$B$2:$B$270,MATCH($A154,'CLM &amp; IM Mapping'!$A$2:$A$270,0)),"Not Mapped")</f>
        <v>Adhavan Subramani</v>
      </c>
      <c r="C154" s="54" t="str">
        <f aca="false" t="array" ref="C154:C154">IFERROR(INDEX('CLM &amp; IM Mapping'!$C$2:$C$270,MATCH($A154,'CLM &amp; IM Mapping'!$A$2:$A$270,0)),"Not Mapped")</f>
        <v>Mohammed Akbar</v>
      </c>
      <c r="D154" s="55" t="n">
        <f aca="false" t="array" ref="D154:D154">IFERROR(INDEX(Shrinkage!$O$2:$O$260,MATCH($A154,Shrinkage!$C$2:$C$260,0)),IFERROR(INDEX(Shrinkage!$O$2:$O$260,MATCH(SUBSTITUTE($A154," SS","  SS"),Shrinkage!$C$2:$C$260,0)),"NA"))</f>
        <v>9473</v>
      </c>
      <c r="E154" s="56" t="n">
        <f aca="false" t="array" ref="E154:E154">IFERROR(INDEX('Inventory Hygiene'!$I$2:$I$252,MATCH($A154,'Inventory Hygiene'!$A$2:$A$252,0)),IFERROR(INDEX('Inventory Hygiene'!$I$2:$I$252,MATCH(SUBSTITUTE($A154," SS","  SS"),'Inventory Hygiene'!$A$2:$A$252,0)),"NA"))</f>
        <v>0.4</v>
      </c>
      <c r="F154" s="54" t="n">
        <f aca="false" t="array" ref="F154:F154">IFERROR(INDEX('Bad Bins'!$J$2:$J$252,MATCH($A154,'Bad Bins'!$A$2:$A$252,0)),IFERROR(INDEX('Bad Bins'!$J$2:$J$252,MATCH(SUBSTITUTE($A154," SS","  SS"),'Bad Bins'!$A$2:$A$252,0)),"NA"))</f>
        <v>302</v>
      </c>
      <c r="G154" s="54" t="n">
        <f aca="false" t="array" ref="G154:G154">IFERROR(INDEX('RSTO &gt; 48hrs'!$G$2:$G$134,MATCH($A154,'RSTO &gt; 48hrs'!$A$2:$A$134,0)),IFERROR(INDEX('RSTO &gt; 48hrs'!$G$2:$G$134,MATCH(SUBSTITUTE($A154," SS","  SS"),'RSTO &gt; 48hrs'!$A$2:$A$134,0)),"NA"))</f>
        <v>94</v>
      </c>
      <c r="H154" s="54" t="str">
        <f aca="false" t="array" ref="H154:H154">IFERROR(INDEX('Recirculation &gt; 24 hrs'!$J$2:$J$150,MATCH($A154,'Recirculation &gt; 24 hrs'!$A$2:$A$150,0)),IFERROR(INDEX('Recirculation &gt; 24 hrs'!$J$2:$J$150,MATCH(SUBSTITUTE($A154," SS","  SS"),'Recirculation &gt; 24 hrs'!$A$2:$A$150,0)),"NA"))</f>
        <v>NA</v>
      </c>
      <c r="I154" s="54" t="n">
        <f aca="false" t="array" ref="I154:I154">IFERROR(INDEX('Pending Putaway'!$D$2:$D$255,MATCH($A154,'Pending Putaway'!$A$2:$A$255,0)),IFERROR(INDEX('Pending Putaway'!$D$2:$D$255,MATCH(SUBSTITUTE($A154," SS","  SS"),'Pending Putaway'!$A$2:$A$255,0)),"NA"))</f>
        <v>5560</v>
      </c>
      <c r="J154" s="54" t="n">
        <f aca="false" t="array" ref="J154:J154">IFERROR(INDEX('Pending Putaway'!$K$2:$K$255,MATCH($A154,'Pending Putaway'!$A$2:$A$255,0)),IFERROR(INDEX('Pending Putaway'!$K$2:$K$255,MATCH(SUBSTITUTE($A154," SS","  SS"),'Pending Putaway'!$A$2:$A$255,0)),"NA"))</f>
        <v>1886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customFormat="false" ht="15.75" hidden="false" customHeight="true" outlineLevel="0" collapsed="false">
      <c r="A155" s="54" t="s">
        <v>262</v>
      </c>
      <c r="B155" s="54" t="str">
        <f aca="false" t="array" ref="B155:B155">IFERROR(INDEX('CLM &amp; IM Mapping'!$B$2:$B$270,MATCH($A155,'CLM &amp; IM Mapping'!$A$2:$A$270,0)),"Not Mapped")</f>
        <v>MH</v>
      </c>
      <c r="C155" s="54" t="str">
        <f aca="false" t="array" ref="C155:C155">IFERROR(INDEX('CLM &amp; IM Mapping'!$C$2:$C$270,MATCH($A155,'CLM &amp; IM Mapping'!$A$2:$A$270,0)),"Not Mapped")</f>
        <v>MH</v>
      </c>
      <c r="D155" s="55" t="n">
        <f aca="false" t="array" ref="D155:D155">IFERROR(INDEX(Shrinkage!$O$2:$O$260,MATCH($A155,Shrinkage!$C$2:$C$260,0)),IFERROR(INDEX(Shrinkage!$O$2:$O$260,MATCH(SUBSTITUTE($A155," SS","  SS"),Shrinkage!$C$2:$C$260,0)),"NA"))</f>
        <v>-9363</v>
      </c>
      <c r="E155" s="56" t="str">
        <f aca="false" t="array" ref="E155:E155">IFERROR(INDEX('Inventory Hygiene'!$I$2:$I$252,MATCH($A155,'Inventory Hygiene'!$A$2:$A$252,0)),IFERROR(INDEX('Inventory Hygiene'!$I$2:$I$252,MATCH(SUBSTITUTE($A155," SS","  SS"),'Inventory Hygiene'!$A$2:$A$252,0)),"NA"))</f>
        <v>NA</v>
      </c>
      <c r="F155" s="54" t="str">
        <f aca="false" t="array" ref="F155:F155">IFERROR(INDEX('Bad Bins'!$J$2:$J$252,MATCH($A155,'Bad Bins'!$A$2:$A$252,0)),IFERROR(INDEX('Bad Bins'!$J$2:$J$252,MATCH(SUBSTITUTE($A155," SS","  SS"),'Bad Bins'!$A$2:$A$252,0)),"NA"))</f>
        <v>NA</v>
      </c>
      <c r="G155" s="54" t="str">
        <f aca="false" t="array" ref="G155:G155">IFERROR(INDEX('RSTO &gt; 48hrs'!$G$2:$G$134,MATCH($A155,'RSTO &gt; 48hrs'!$A$2:$A$134,0)),IFERROR(INDEX('RSTO &gt; 48hrs'!$G$2:$G$134,MATCH(SUBSTITUTE($A155," SS","  SS"),'RSTO &gt; 48hrs'!$A$2:$A$134,0)),"NA"))</f>
        <v>NA</v>
      </c>
      <c r="H155" s="54" t="str">
        <f aca="false" t="array" ref="H155:H155">IFERROR(INDEX('Recirculation &gt; 24 hrs'!$J$2:$J$150,MATCH($A155,'Recirculation &gt; 24 hrs'!$A$2:$A$150,0)),IFERROR(INDEX('Recirculation &gt; 24 hrs'!$J$2:$J$150,MATCH(SUBSTITUTE($A155," SS","  SS"),'Recirculation &gt; 24 hrs'!$A$2:$A$150,0)),"NA"))</f>
        <v>NA</v>
      </c>
      <c r="I155" s="54" t="str">
        <f aca="false" t="array" ref="I155:I155">IFERROR(INDEX('Pending Putaway'!$D$2:$D$255,MATCH($A155,'Pending Putaway'!$A$2:$A$255,0)),IFERROR(INDEX('Pending Putaway'!$D$2:$D$255,MATCH(SUBSTITUTE($A155," SS","  SS"),'Pending Putaway'!$A$2:$A$255,0)),"NA"))</f>
        <v>NA</v>
      </c>
      <c r="J155" s="54" t="str">
        <f aca="false" t="array" ref="J155:J155">IFERROR(INDEX('Pending Putaway'!$K$2:$K$255,MATCH($A155,'Pending Putaway'!$A$2:$A$255,0)),IFERROR(INDEX('Pending Putaway'!$K$2:$K$255,MATCH(SUBSTITUTE($A155," SS","  SS"),'Pending Putaway'!$A$2:$A$255,0)),"NA"))</f>
        <v>NA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customFormat="false" ht="15.75" hidden="false" customHeight="true" outlineLevel="0" collapsed="false">
      <c r="A156" s="54" t="s">
        <v>175</v>
      </c>
      <c r="B156" s="54" t="str">
        <f aca="false" t="array" ref="B156:B156">IFERROR(INDEX('CLM &amp; IM Mapping'!$B$2:$B$270,MATCH($A156,'CLM &amp; IM Mapping'!$A$2:$A$270,0)),"Not Mapped")</f>
        <v>MH</v>
      </c>
      <c r="C156" s="54" t="str">
        <f aca="false" t="array" ref="C156:C156">IFERROR(INDEX('CLM &amp; IM Mapping'!$C$2:$C$270,MATCH($A156,'CLM &amp; IM Mapping'!$A$2:$A$270,0)),"Not Mapped")</f>
        <v>MH</v>
      </c>
      <c r="D156" s="55" t="n">
        <f aca="false" t="array" ref="D156:D156">IFERROR(INDEX(Shrinkage!$O$2:$O$260,MATCH($A156,Shrinkage!$C$2:$C$260,0)),IFERROR(INDEX(Shrinkage!$O$2:$O$260,MATCH(SUBSTITUTE($A156," SS","  SS"),Shrinkage!$C$2:$C$260,0)),"NA"))</f>
        <v>690</v>
      </c>
      <c r="E156" s="56" t="str">
        <f aca="false" t="array" ref="E156:E156">IFERROR(INDEX('Inventory Hygiene'!$I$2:$I$252,MATCH($A156,'Inventory Hygiene'!$A$2:$A$252,0)),IFERROR(INDEX('Inventory Hygiene'!$I$2:$I$252,MATCH(SUBSTITUTE($A156," SS","  SS"),'Inventory Hygiene'!$A$2:$A$252,0)),"NA"))</f>
        <v>NA</v>
      </c>
      <c r="F156" s="54" t="str">
        <f aca="false" t="array" ref="F156:F156">IFERROR(INDEX('Bad Bins'!$J$2:$J$252,MATCH($A156,'Bad Bins'!$A$2:$A$252,0)),IFERROR(INDEX('Bad Bins'!$J$2:$J$252,MATCH(SUBSTITUTE($A156," SS","  SS"),'Bad Bins'!$A$2:$A$252,0)),"NA"))</f>
        <v>NA</v>
      </c>
      <c r="G156" s="54" t="str">
        <f aca="false" t="array" ref="G156:G156">IFERROR(INDEX('RSTO &gt; 48hrs'!$G$2:$G$134,MATCH($A156,'RSTO &gt; 48hrs'!$A$2:$A$134,0)),IFERROR(INDEX('RSTO &gt; 48hrs'!$G$2:$G$134,MATCH(SUBSTITUTE($A156," SS","  SS"),'RSTO &gt; 48hrs'!$A$2:$A$134,0)),"NA"))</f>
        <v>NA</v>
      </c>
      <c r="H156" s="54" t="str">
        <f aca="false" t="array" ref="H156:H156">IFERROR(INDEX('Recirculation &gt; 24 hrs'!$J$2:$J$150,MATCH($A156,'Recirculation &gt; 24 hrs'!$A$2:$A$150,0)),IFERROR(INDEX('Recirculation &gt; 24 hrs'!$J$2:$J$150,MATCH(SUBSTITUTE($A156," SS","  SS"),'Recirculation &gt; 24 hrs'!$A$2:$A$150,0)),"NA"))</f>
        <v>NA</v>
      </c>
      <c r="I156" s="54" t="str">
        <f aca="false" t="array" ref="I156:I156">IFERROR(INDEX('Pending Putaway'!$D$2:$D$255,MATCH($A156,'Pending Putaway'!$A$2:$A$255,0)),IFERROR(INDEX('Pending Putaway'!$D$2:$D$255,MATCH(SUBSTITUTE($A156," SS","  SS"),'Pending Putaway'!$A$2:$A$255,0)),"NA"))</f>
        <v>NA</v>
      </c>
      <c r="J156" s="54" t="str">
        <f aca="false" t="array" ref="J156:J156">IFERROR(INDEX('Pending Putaway'!$K$2:$K$255,MATCH($A156,'Pending Putaway'!$A$2:$A$255,0)),IFERROR(INDEX('Pending Putaway'!$K$2:$K$255,MATCH(SUBSTITUTE($A156," SS","  SS"),'Pending Putaway'!$A$2:$A$255,0)),"NA"))</f>
        <v>NA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customFormat="false" ht="15.75" hidden="false" customHeight="true" outlineLevel="0" collapsed="false">
      <c r="A157" s="54" t="s">
        <v>208</v>
      </c>
      <c r="B157" s="54" t="str">
        <f aca="false" t="array" ref="B157:B157">IFERROR(INDEX('CLM &amp; IM Mapping'!$B$2:$B$270,MATCH($A157,'CLM &amp; IM Mapping'!$A$2:$A$270,0)),"Not Mapped")</f>
        <v>Bangareppa CS</v>
      </c>
      <c r="C157" s="54" t="str">
        <f aca="false" t="array" ref="C157:C157">IFERROR(INDEX('CLM &amp; IM Mapping'!$C$2:$C$270,MATCH($A157,'CLM &amp; IM Mapping'!$A$2:$A$270,0)),"Not Mapped")</f>
        <v>Kishor K</v>
      </c>
      <c r="D157" s="55" t="n">
        <f aca="false" t="array" ref="D157:D157">IFERROR(INDEX(Shrinkage!$O$2:$O$260,MATCH($A157,Shrinkage!$C$2:$C$260,0)),IFERROR(INDEX(Shrinkage!$O$2:$O$260,MATCH(SUBSTITUTE($A157," SS","  SS"),Shrinkage!$C$2:$C$260,0)),"NA"))</f>
        <v>-2154</v>
      </c>
      <c r="E157" s="56" t="n">
        <f aca="false" t="array" ref="E157:E157">IFERROR(INDEX('Inventory Hygiene'!$I$2:$I$252,MATCH($A157,'Inventory Hygiene'!$A$2:$A$252,0)),IFERROR(INDEX('Inventory Hygiene'!$I$2:$I$252,MATCH(SUBSTITUTE($A157," SS","  SS"),'Inventory Hygiene'!$A$2:$A$252,0)),"NA"))</f>
        <v>0.75</v>
      </c>
      <c r="F157" s="54" t="n">
        <f aca="false" t="array" ref="F157:F157">IFERROR(INDEX('Bad Bins'!$J$2:$J$252,MATCH($A157,'Bad Bins'!$A$2:$A$252,0)),IFERROR(INDEX('Bad Bins'!$J$2:$J$252,MATCH(SUBSTITUTE($A157," SS","  SS"),'Bad Bins'!$A$2:$A$252,0)),"NA"))</f>
        <v>119</v>
      </c>
      <c r="G157" s="54" t="str">
        <f aca="false" t="array" ref="G157:G157">IFERROR(INDEX('RSTO &gt; 48hrs'!$G$2:$G$134,MATCH($A157,'RSTO &gt; 48hrs'!$A$2:$A$134,0)),IFERROR(INDEX('RSTO &gt; 48hrs'!$G$2:$G$134,MATCH(SUBSTITUTE($A157," SS","  SS"),'RSTO &gt; 48hrs'!$A$2:$A$134,0)),"NA"))</f>
        <v>NA</v>
      </c>
      <c r="H157" s="54" t="str">
        <f aca="false" t="array" ref="H157:H157">IFERROR(INDEX('Recirculation &gt; 24 hrs'!$J$2:$J$150,MATCH($A157,'Recirculation &gt; 24 hrs'!$A$2:$A$150,0)),IFERROR(INDEX('Recirculation &gt; 24 hrs'!$J$2:$J$150,MATCH(SUBSTITUTE($A157," SS","  SS"),'Recirculation &gt; 24 hrs'!$A$2:$A$150,0)),"NA"))</f>
        <v>NA</v>
      </c>
      <c r="I157" s="54" t="n">
        <f aca="false" t="array" ref="I157:I157">IFERROR(INDEX('Pending Putaway'!$D$2:$D$255,MATCH($A157,'Pending Putaway'!$A$2:$A$255,0)),IFERROR(INDEX('Pending Putaway'!$D$2:$D$255,MATCH(SUBSTITUTE($A157," SS","  SS"),'Pending Putaway'!$A$2:$A$255,0)),"NA"))</f>
        <v>209</v>
      </c>
      <c r="J157" s="54" t="n">
        <f aca="false" t="array" ref="J157:J157">IFERROR(INDEX('Pending Putaway'!$K$2:$K$255,MATCH($A157,'Pending Putaway'!$A$2:$A$255,0)),IFERROR(INDEX('Pending Putaway'!$K$2:$K$255,MATCH(SUBSTITUTE($A157," SS","  SS"),'Pending Putaway'!$A$2:$A$255,0)),"NA"))</f>
        <v>0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customFormat="false" ht="15.75" hidden="false" customHeight="true" outlineLevel="0" collapsed="false">
      <c r="A158" s="54" t="s">
        <v>203</v>
      </c>
      <c r="B158" s="54" t="str">
        <f aca="false" t="array" ref="B158:B158">IFERROR(INDEX('CLM &amp; IM Mapping'!$B$2:$B$270,MATCH($A158,'CLM &amp; IM Mapping'!$A$2:$A$270,0)),"Not Mapped")</f>
        <v>Bangareppa CS</v>
      </c>
      <c r="C158" s="54" t="str">
        <f aca="false" t="array" ref="C158:C158">IFERROR(INDEX('CLM &amp; IM Mapping'!$C$2:$C$270,MATCH($A158,'CLM &amp; IM Mapping'!$A$2:$A$270,0)),"Not Mapped")</f>
        <v>Kishor K</v>
      </c>
      <c r="D158" s="55" t="n">
        <f aca="false" t="array" ref="D158:D158">IFERROR(INDEX(Shrinkage!$O$2:$O$260,MATCH($A158,Shrinkage!$C$2:$C$260,0)),IFERROR(INDEX(Shrinkage!$O$2:$O$260,MATCH(SUBSTITUTE($A158," SS","  SS"),Shrinkage!$C$2:$C$260,0)),"NA"))</f>
        <v>-1558</v>
      </c>
      <c r="E158" s="56" t="n">
        <f aca="false" t="array" ref="E158:E158">IFERROR(INDEX('Inventory Hygiene'!$I$2:$I$252,MATCH($A158,'Inventory Hygiene'!$A$2:$A$252,0)),IFERROR(INDEX('Inventory Hygiene'!$I$2:$I$252,MATCH(SUBSTITUTE($A158," SS","  SS"),'Inventory Hygiene'!$A$2:$A$252,0)),"NA"))</f>
        <v>0.55</v>
      </c>
      <c r="F158" s="54" t="n">
        <f aca="false" t="array" ref="F158:F158">IFERROR(INDEX('Bad Bins'!$J$2:$J$252,MATCH($A158,'Bad Bins'!$A$2:$A$252,0)),IFERROR(INDEX('Bad Bins'!$J$2:$J$252,MATCH(SUBSTITUTE($A158," SS","  SS"),'Bad Bins'!$A$2:$A$252,0)),"NA"))</f>
        <v>149</v>
      </c>
      <c r="G158" s="54" t="n">
        <f aca="false" t="array" ref="G158:G158">IFERROR(INDEX('RSTO &gt; 48hrs'!$G$2:$G$134,MATCH($A158,'RSTO &gt; 48hrs'!$A$2:$A$134,0)),IFERROR(INDEX('RSTO &gt; 48hrs'!$G$2:$G$134,MATCH(SUBSTITUTE($A158," SS","  SS"),'RSTO &gt; 48hrs'!$A$2:$A$134,0)),"NA"))</f>
        <v>7</v>
      </c>
      <c r="H158" s="54" t="n">
        <f aca="false" t="array" ref="H158:H158">IFERROR(INDEX('Recirculation &gt; 24 hrs'!$J$2:$J$150,MATCH($A158,'Recirculation &gt; 24 hrs'!$A$2:$A$150,0)),IFERROR(INDEX('Recirculation &gt; 24 hrs'!$J$2:$J$150,MATCH(SUBSTITUTE($A158," SS","  SS"),'Recirculation &gt; 24 hrs'!$A$2:$A$150,0)),"NA"))</f>
        <v>2</v>
      </c>
      <c r="I158" s="54" t="n">
        <f aca="false" t="array" ref="I158:I158">IFERROR(INDEX('Pending Putaway'!$D$2:$D$255,MATCH($A158,'Pending Putaway'!$A$2:$A$255,0)),IFERROR(INDEX('Pending Putaway'!$D$2:$D$255,MATCH(SUBSTITUTE($A158," SS","  SS"),'Pending Putaway'!$A$2:$A$255,0)),"NA"))</f>
        <v>39</v>
      </c>
      <c r="J158" s="54" t="n">
        <f aca="false" t="array" ref="J158:J158">IFERROR(INDEX('Pending Putaway'!$K$2:$K$255,MATCH($A158,'Pending Putaway'!$A$2:$A$255,0)),IFERROR(INDEX('Pending Putaway'!$K$2:$K$255,MATCH(SUBSTITUTE($A158," SS","  SS"),'Pending Putaway'!$A$2:$A$255,0)),"NA"))</f>
        <v>0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customFormat="false" ht="15.75" hidden="false" customHeight="true" outlineLevel="0" collapsed="false">
      <c r="A159" s="54" t="s">
        <v>144</v>
      </c>
      <c r="B159" s="54" t="str">
        <f aca="false" t="array" ref="B159:B159">IFERROR(INDEX('CLM &amp; IM Mapping'!$B$2:$B$270,MATCH($A159,'CLM &amp; IM Mapping'!$A$2:$A$270,0)),"Not Mapped")</f>
        <v>Bangareppa CS</v>
      </c>
      <c r="C159" s="54" t="str">
        <f aca="false" t="array" ref="C159:C159">IFERROR(INDEX('CLM &amp; IM Mapping'!$C$2:$C$270,MATCH($A159,'CLM &amp; IM Mapping'!$A$2:$A$270,0)),"Not Mapped")</f>
        <v>Kishor K</v>
      </c>
      <c r="D159" s="55" t="n">
        <f aca="false" t="array" ref="D159:D159">IFERROR(INDEX(Shrinkage!$O$2:$O$260,MATCH($A159,Shrinkage!$C$2:$C$260,0)),IFERROR(INDEX(Shrinkage!$O$2:$O$260,MATCH(SUBSTITUTE($A159," SS","  SS"),Shrinkage!$C$2:$C$260,0)),"NA"))</f>
        <v>5899</v>
      </c>
      <c r="E159" s="56" t="n">
        <f aca="false" t="array" ref="E159:E159">IFERROR(INDEX('Inventory Hygiene'!$I$2:$I$252,MATCH($A159,'Inventory Hygiene'!$A$2:$A$252,0)),IFERROR(INDEX('Inventory Hygiene'!$I$2:$I$252,MATCH(SUBSTITUTE($A159," SS","  SS"),'Inventory Hygiene'!$A$2:$A$252,0)),"NA"))</f>
        <v>0.34</v>
      </c>
      <c r="F159" s="54" t="n">
        <f aca="false" t="array" ref="F159:F159">IFERROR(INDEX('Bad Bins'!$J$2:$J$252,MATCH($A159,'Bad Bins'!$A$2:$A$252,0)),IFERROR(INDEX('Bad Bins'!$J$2:$J$252,MATCH(SUBSTITUTE($A159," SS","  SS"),'Bad Bins'!$A$2:$A$252,0)),"NA"))</f>
        <v>75</v>
      </c>
      <c r="G159" s="54" t="str">
        <f aca="false" t="array" ref="G159:G159">IFERROR(INDEX('RSTO &gt; 48hrs'!$G$2:$G$134,MATCH($A159,'RSTO &gt; 48hrs'!$A$2:$A$134,0)),IFERROR(INDEX('RSTO &gt; 48hrs'!$G$2:$G$134,MATCH(SUBSTITUTE($A159," SS","  SS"),'RSTO &gt; 48hrs'!$A$2:$A$134,0)),"NA"))</f>
        <v>NA</v>
      </c>
      <c r="H159" s="54" t="n">
        <f aca="false" t="array" ref="H159:H159">IFERROR(INDEX('Recirculation &gt; 24 hrs'!$J$2:$J$150,MATCH($A159,'Recirculation &gt; 24 hrs'!$A$2:$A$150,0)),IFERROR(INDEX('Recirculation &gt; 24 hrs'!$J$2:$J$150,MATCH(SUBSTITUTE($A159," SS","  SS"),'Recirculation &gt; 24 hrs'!$A$2:$A$150,0)),"NA"))</f>
        <v>1</v>
      </c>
      <c r="I159" s="54" t="n">
        <f aca="false" t="array" ref="I159:I159">IFERROR(INDEX('Pending Putaway'!$D$2:$D$255,MATCH($A159,'Pending Putaway'!$A$2:$A$255,0)),IFERROR(INDEX('Pending Putaway'!$D$2:$D$255,MATCH(SUBSTITUTE($A159," SS","  SS"),'Pending Putaway'!$A$2:$A$255,0)),"NA"))</f>
        <v>787</v>
      </c>
      <c r="J159" s="54" t="n">
        <f aca="false" t="array" ref="J159:J159">IFERROR(INDEX('Pending Putaway'!$K$2:$K$255,MATCH($A159,'Pending Putaway'!$A$2:$A$255,0)),IFERROR(INDEX('Pending Putaway'!$K$2:$K$255,MATCH(SUBSTITUTE($A159," SS","  SS"),'Pending Putaway'!$A$2:$A$255,0)),"NA"))</f>
        <v>0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customFormat="false" ht="15.75" hidden="false" customHeight="true" outlineLevel="0" collapsed="false">
      <c r="A160" s="54" t="s">
        <v>258</v>
      </c>
      <c r="B160" s="54" t="str">
        <f aca="false" t="array" ref="B160:B160">IFERROR(INDEX('CLM &amp; IM Mapping'!$B$2:$B$270,MATCH($A160,'CLM &amp; IM Mapping'!$A$2:$A$270,0)),"Not Mapped")</f>
        <v>Bangareppa CS</v>
      </c>
      <c r="C160" s="54" t="str">
        <f aca="false" t="array" ref="C160:C160">IFERROR(INDEX('CLM &amp; IM Mapping'!$C$2:$C$270,MATCH($A160,'CLM &amp; IM Mapping'!$A$2:$A$270,0)),"Not Mapped")</f>
        <v>Kishor K</v>
      </c>
      <c r="D160" s="55" t="n">
        <f aca="false" t="array" ref="D160:D160">IFERROR(INDEX(Shrinkage!$O$2:$O$260,MATCH($A160,Shrinkage!$C$2:$C$260,0)),IFERROR(INDEX(Shrinkage!$O$2:$O$260,MATCH(SUBSTITUTE($A160," SS","  SS"),Shrinkage!$C$2:$C$260,0)),"NA"))</f>
        <v>-8566</v>
      </c>
      <c r="E160" s="56" t="n">
        <f aca="false" t="array" ref="E160:E160">IFERROR(INDEX('Inventory Hygiene'!$I$2:$I$252,MATCH($A160,'Inventory Hygiene'!$A$2:$A$252,0)),IFERROR(INDEX('Inventory Hygiene'!$I$2:$I$252,MATCH(SUBSTITUTE($A160," SS","  SS"),'Inventory Hygiene'!$A$2:$A$252,0)),"NA"))</f>
        <v>0.55</v>
      </c>
      <c r="F160" s="54" t="n">
        <f aca="false" t="array" ref="F160:F160">IFERROR(INDEX('Bad Bins'!$J$2:$J$252,MATCH($A160,'Bad Bins'!$A$2:$A$252,0)),IFERROR(INDEX('Bad Bins'!$J$2:$J$252,MATCH(SUBSTITUTE($A160," SS","  SS"),'Bad Bins'!$A$2:$A$252,0)),"NA"))</f>
        <v>81</v>
      </c>
      <c r="G160" s="54" t="n">
        <f aca="false" t="array" ref="G160:G160">IFERROR(INDEX('RSTO &gt; 48hrs'!$G$2:$G$134,MATCH($A160,'RSTO &gt; 48hrs'!$A$2:$A$134,0)),IFERROR(INDEX('RSTO &gt; 48hrs'!$G$2:$G$134,MATCH(SUBSTITUTE($A160," SS","  SS"),'RSTO &gt; 48hrs'!$A$2:$A$134,0)),"NA"))</f>
        <v>158</v>
      </c>
      <c r="H160" s="54" t="n">
        <f aca="false" t="array" ref="H160:H160">IFERROR(INDEX('Recirculation &gt; 24 hrs'!$J$2:$J$150,MATCH($A160,'Recirculation &gt; 24 hrs'!$A$2:$A$150,0)),IFERROR(INDEX('Recirculation &gt; 24 hrs'!$J$2:$J$150,MATCH(SUBSTITUTE($A160," SS","  SS"),'Recirculation &gt; 24 hrs'!$A$2:$A$150,0)),"NA"))</f>
        <v>1</v>
      </c>
      <c r="I160" s="54" t="n">
        <f aca="false" t="array" ref="I160:I160">IFERROR(INDEX('Pending Putaway'!$D$2:$D$255,MATCH($A160,'Pending Putaway'!$A$2:$A$255,0)),IFERROR(INDEX('Pending Putaway'!$D$2:$D$255,MATCH(SUBSTITUTE($A160," SS","  SS"),'Pending Putaway'!$A$2:$A$255,0)),"NA"))</f>
        <v>167</v>
      </c>
      <c r="J160" s="54" t="n">
        <f aca="false" t="array" ref="J160:J160">IFERROR(INDEX('Pending Putaway'!$K$2:$K$255,MATCH($A160,'Pending Putaway'!$A$2:$A$255,0)),IFERROR(INDEX('Pending Putaway'!$K$2:$K$255,MATCH(SUBSTITUTE($A160," SS","  SS"),'Pending Putaway'!$A$2:$A$255,0)),"NA"))</f>
        <v>0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customFormat="false" ht="15.75" hidden="false" customHeight="true" outlineLevel="0" collapsed="false">
      <c r="A161" s="54" t="s">
        <v>100</v>
      </c>
      <c r="B161" s="54" t="str">
        <f aca="false" t="array" ref="B161:B161">IFERROR(INDEX('CLM &amp; IM Mapping'!$B$2:$B$270,MATCH($A161,'CLM &amp; IM Mapping'!$A$2:$A$270,0)),"Not Mapped")</f>
        <v>Bangareppa CS</v>
      </c>
      <c r="C161" s="54" t="str">
        <f aca="false" t="array" ref="C161:C161">IFERROR(INDEX('CLM &amp; IM Mapping'!$C$2:$C$270,MATCH($A161,'CLM &amp; IM Mapping'!$A$2:$A$270,0)),"Not Mapped")</f>
        <v>Kishor K</v>
      </c>
      <c r="D161" s="55" t="n">
        <f aca="false" t="array" ref="D161:D161">IFERROR(INDEX(Shrinkage!$O$2:$O$260,MATCH($A161,Shrinkage!$C$2:$C$260,0)),IFERROR(INDEX(Shrinkage!$O$2:$O$260,MATCH(SUBSTITUTE($A161," SS","  SS"),Shrinkage!$C$2:$C$260,0)),"NA"))</f>
        <v>20817</v>
      </c>
      <c r="E161" s="56" t="n">
        <f aca="false" t="array" ref="E161:E161">IFERROR(INDEX('Inventory Hygiene'!$I$2:$I$252,MATCH($A161,'Inventory Hygiene'!$A$2:$A$252,0)),IFERROR(INDEX('Inventory Hygiene'!$I$2:$I$252,MATCH(SUBSTITUTE($A161," SS","  SS"),'Inventory Hygiene'!$A$2:$A$252,0)),"NA"))</f>
        <v>0.37</v>
      </c>
      <c r="F161" s="54" t="n">
        <f aca="false" t="array" ref="F161:F161">IFERROR(INDEX('Bad Bins'!$J$2:$J$252,MATCH($A161,'Bad Bins'!$A$2:$A$252,0)),IFERROR(INDEX('Bad Bins'!$J$2:$J$252,MATCH(SUBSTITUTE($A161," SS","  SS"),'Bad Bins'!$A$2:$A$252,0)),"NA"))</f>
        <v>201</v>
      </c>
      <c r="G161" s="54" t="str">
        <f aca="false" t="array" ref="G161:G161">IFERROR(INDEX('RSTO &gt; 48hrs'!$G$2:$G$134,MATCH($A161,'RSTO &gt; 48hrs'!$A$2:$A$134,0)),IFERROR(INDEX('RSTO &gt; 48hrs'!$G$2:$G$134,MATCH(SUBSTITUTE($A161," SS","  SS"),'RSTO &gt; 48hrs'!$A$2:$A$134,0)),"NA"))</f>
        <v>NA</v>
      </c>
      <c r="H161" s="54" t="str">
        <f aca="false" t="array" ref="H161:H161">IFERROR(INDEX('Recirculation &gt; 24 hrs'!$J$2:$J$150,MATCH($A161,'Recirculation &gt; 24 hrs'!$A$2:$A$150,0)),IFERROR(INDEX('Recirculation &gt; 24 hrs'!$J$2:$J$150,MATCH(SUBSTITUTE($A161," SS","  SS"),'Recirculation &gt; 24 hrs'!$A$2:$A$150,0)),"NA"))</f>
        <v>NA</v>
      </c>
      <c r="I161" s="54" t="n">
        <f aca="false" t="array" ref="I161:I161">IFERROR(INDEX('Pending Putaway'!$D$2:$D$255,MATCH($A161,'Pending Putaway'!$A$2:$A$255,0)),IFERROR(INDEX('Pending Putaway'!$D$2:$D$255,MATCH(SUBSTITUTE($A161," SS","  SS"),'Pending Putaway'!$A$2:$A$255,0)),"NA"))</f>
        <v>20</v>
      </c>
      <c r="J161" s="54" t="n">
        <f aca="false" t="array" ref="J161:J161">IFERROR(INDEX('Pending Putaway'!$K$2:$K$255,MATCH($A161,'Pending Putaway'!$A$2:$A$255,0)),IFERROR(INDEX('Pending Putaway'!$K$2:$K$255,MATCH(SUBSTITUTE($A161," SS","  SS"),'Pending Putaway'!$A$2:$A$255,0)),"NA"))</f>
        <v>0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customFormat="false" ht="15.75" hidden="false" customHeight="true" outlineLevel="0" collapsed="false">
      <c r="A162" s="54" t="s">
        <v>148</v>
      </c>
      <c r="B162" s="54" t="str">
        <f aca="false" t="array" ref="B162:B162">IFERROR(INDEX('CLM &amp; IM Mapping'!$B$2:$B$270,MATCH($A162,'CLM &amp; IM Mapping'!$A$2:$A$270,0)),"Not Mapped")</f>
        <v>Narasimhamurthy R</v>
      </c>
      <c r="C162" s="54" t="str">
        <f aca="false" t="array" ref="C162:C162">IFERROR(INDEX('CLM &amp; IM Mapping'!$C$2:$C$270,MATCH($A162,'CLM &amp; IM Mapping'!$A$2:$A$270,0)),"Not Mapped")</f>
        <v>Kishor K</v>
      </c>
      <c r="D162" s="55" t="n">
        <f aca="false" t="array" ref="D162:D162">IFERROR(INDEX(Shrinkage!$O$2:$O$260,MATCH($A162,Shrinkage!$C$2:$C$260,0)),IFERROR(INDEX(Shrinkage!$O$2:$O$260,MATCH(SUBSTITUTE($A162," SS","  SS"),Shrinkage!$C$2:$C$260,0)),"NA"))</f>
        <v>5158</v>
      </c>
      <c r="E162" s="56" t="n">
        <f aca="false" t="array" ref="E162:E162">IFERROR(INDEX('Inventory Hygiene'!$I$2:$I$252,MATCH($A162,'Inventory Hygiene'!$A$2:$A$252,0)),IFERROR(INDEX('Inventory Hygiene'!$I$2:$I$252,MATCH(SUBSTITUTE($A162," SS","  SS"),'Inventory Hygiene'!$A$2:$A$252,0)),"NA"))</f>
        <v>0.51</v>
      </c>
      <c r="F162" s="54" t="n">
        <f aca="false" t="array" ref="F162:F162">IFERROR(INDEX('Bad Bins'!$J$2:$J$252,MATCH($A162,'Bad Bins'!$A$2:$A$252,0)),IFERROR(INDEX('Bad Bins'!$J$2:$J$252,MATCH(SUBSTITUTE($A162," SS","  SS"),'Bad Bins'!$A$2:$A$252,0)),"NA"))</f>
        <v>658</v>
      </c>
      <c r="G162" s="54" t="str">
        <f aca="false" t="array" ref="G162:G162">IFERROR(INDEX('RSTO &gt; 48hrs'!$G$2:$G$134,MATCH($A162,'RSTO &gt; 48hrs'!$A$2:$A$134,0)),IFERROR(INDEX('RSTO &gt; 48hrs'!$G$2:$G$134,MATCH(SUBSTITUTE($A162," SS","  SS"),'RSTO &gt; 48hrs'!$A$2:$A$134,0)),"NA"))</f>
        <v>NA</v>
      </c>
      <c r="H162" s="54" t="n">
        <f aca="false" t="array" ref="H162:H162">IFERROR(INDEX('Recirculation &gt; 24 hrs'!$J$2:$J$150,MATCH($A162,'Recirculation &gt; 24 hrs'!$A$2:$A$150,0)),IFERROR(INDEX('Recirculation &gt; 24 hrs'!$J$2:$J$150,MATCH(SUBSTITUTE($A162," SS","  SS"),'Recirculation &gt; 24 hrs'!$A$2:$A$150,0)),"NA"))</f>
        <v>9</v>
      </c>
      <c r="I162" s="54" t="n">
        <f aca="false" t="array" ref="I162:I162">IFERROR(INDEX('Pending Putaway'!$D$2:$D$255,MATCH($A162,'Pending Putaway'!$A$2:$A$255,0)),IFERROR(INDEX('Pending Putaway'!$D$2:$D$255,MATCH(SUBSTITUTE($A162," SS","  SS"),'Pending Putaway'!$A$2:$A$255,0)),"NA"))</f>
        <v>6957</v>
      </c>
      <c r="J162" s="54" t="n">
        <f aca="false" t="array" ref="J162:J162">IFERROR(INDEX('Pending Putaway'!$K$2:$K$255,MATCH($A162,'Pending Putaway'!$A$2:$A$255,0)),IFERROR(INDEX('Pending Putaway'!$K$2:$K$255,MATCH(SUBSTITUTE($A162," SS","  SS"),'Pending Putaway'!$A$2:$A$255,0)),"NA"))</f>
        <v>776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customFormat="false" ht="15.75" hidden="false" customHeight="true" outlineLevel="0" collapsed="false">
      <c r="A163" s="54" t="s">
        <v>167</v>
      </c>
      <c r="B163" s="54" t="str">
        <f aca="false" t="array" ref="B163:B163">IFERROR(INDEX('CLM &amp; IM Mapping'!$B$2:$B$270,MATCH($A163,'CLM &amp; IM Mapping'!$A$2:$A$270,0)),"Not Mapped")</f>
        <v>Ravishankar gowda</v>
      </c>
      <c r="C163" s="54" t="str">
        <f aca="false" t="array" ref="C163:C163">IFERROR(INDEX('CLM &amp; IM Mapping'!$C$2:$C$270,MATCH($A163,'CLM &amp; IM Mapping'!$A$2:$A$270,0)),"Not Mapped")</f>
        <v>Kishor K</v>
      </c>
      <c r="D163" s="55" t="n">
        <f aca="false" t="array" ref="D163:D163">IFERROR(INDEX(Shrinkage!$O$2:$O$260,MATCH($A163,Shrinkage!$C$2:$C$260,0)),IFERROR(INDEX(Shrinkage!$O$2:$O$260,MATCH(SUBSTITUTE($A163," SS","  SS"),Shrinkage!$C$2:$C$260,0)),"NA"))</f>
        <v>1975</v>
      </c>
      <c r="E163" s="56" t="n">
        <f aca="false" t="array" ref="E163:E163">IFERROR(INDEX('Inventory Hygiene'!$I$2:$I$252,MATCH($A163,'Inventory Hygiene'!$A$2:$A$252,0)),IFERROR(INDEX('Inventory Hygiene'!$I$2:$I$252,MATCH(SUBSTITUTE($A163," SS","  SS"),'Inventory Hygiene'!$A$2:$A$252,0)),"NA"))</f>
        <v>0.39</v>
      </c>
      <c r="F163" s="54" t="n">
        <f aca="false" t="array" ref="F163:F163">IFERROR(INDEX('Bad Bins'!$J$2:$J$252,MATCH($A163,'Bad Bins'!$A$2:$A$252,0)),IFERROR(INDEX('Bad Bins'!$J$2:$J$252,MATCH(SUBSTITUTE($A163," SS","  SS"),'Bad Bins'!$A$2:$A$252,0)),"NA"))</f>
        <v>9</v>
      </c>
      <c r="G163" s="54" t="str">
        <f aca="false" t="array" ref="G163:G163">IFERROR(INDEX('RSTO &gt; 48hrs'!$G$2:$G$134,MATCH($A163,'RSTO &gt; 48hrs'!$A$2:$A$134,0)),IFERROR(INDEX('RSTO &gt; 48hrs'!$G$2:$G$134,MATCH(SUBSTITUTE($A163," SS","  SS"),'RSTO &gt; 48hrs'!$A$2:$A$134,0)),"NA"))</f>
        <v>NA</v>
      </c>
      <c r="H163" s="54" t="str">
        <f aca="false" t="array" ref="H163:H163">IFERROR(INDEX('Recirculation &gt; 24 hrs'!$J$2:$J$150,MATCH($A163,'Recirculation &gt; 24 hrs'!$A$2:$A$150,0)),IFERROR(INDEX('Recirculation &gt; 24 hrs'!$J$2:$J$150,MATCH(SUBSTITUTE($A163," SS","  SS"),'Recirculation &gt; 24 hrs'!$A$2:$A$150,0)),"NA"))</f>
        <v>NA</v>
      </c>
      <c r="I163" s="54" t="n">
        <f aca="false" t="array" ref="I163:I163">IFERROR(INDEX('Pending Putaway'!$D$2:$D$255,MATCH($A163,'Pending Putaway'!$A$2:$A$255,0)),IFERROR(INDEX('Pending Putaway'!$D$2:$D$255,MATCH(SUBSTITUTE($A163," SS","  SS"),'Pending Putaway'!$A$2:$A$255,0)),"NA"))</f>
        <v>5</v>
      </c>
      <c r="J163" s="54" t="n">
        <f aca="false" t="array" ref="J163:J163">IFERROR(INDEX('Pending Putaway'!$K$2:$K$255,MATCH($A163,'Pending Putaway'!$A$2:$A$255,0)),IFERROR(INDEX('Pending Putaway'!$K$2:$K$255,MATCH(SUBSTITUTE($A163," SS","  SS"),'Pending Putaway'!$A$2:$A$255,0)),"NA"))</f>
        <v>0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customFormat="false" ht="15.75" hidden="false" customHeight="true" outlineLevel="0" collapsed="false">
      <c r="A164" s="54" t="s">
        <v>278</v>
      </c>
      <c r="B164" s="54" t="str">
        <f aca="false" t="array" ref="B164:B164">IFERROR(INDEX('CLM &amp; IM Mapping'!$B$2:$B$270,MATCH($A164,'CLM &amp; IM Mapping'!$A$2:$A$270,0)),"Not Mapped")</f>
        <v>Ravishankar gowda</v>
      </c>
      <c r="C164" s="54" t="str">
        <f aca="false" t="array" ref="C164:C164">IFERROR(INDEX('CLM &amp; IM Mapping'!$C$2:$C$270,MATCH($A164,'CLM &amp; IM Mapping'!$A$2:$A$270,0)),"Not Mapped")</f>
        <v>Kishor K</v>
      </c>
      <c r="D164" s="55" t="n">
        <f aca="false" t="array" ref="D164:D164">IFERROR(INDEX(Shrinkage!$O$2:$O$260,MATCH($A164,Shrinkage!$C$2:$C$260,0)),IFERROR(INDEX(Shrinkage!$O$2:$O$260,MATCH(SUBSTITUTE($A164," SS","  SS"),Shrinkage!$C$2:$C$260,0)),"NA"))</f>
        <v>-13822</v>
      </c>
      <c r="E164" s="56" t="n">
        <f aca="false" t="array" ref="E164:E164">IFERROR(INDEX('Inventory Hygiene'!$I$2:$I$252,MATCH($A164,'Inventory Hygiene'!$A$2:$A$252,0)),IFERROR(INDEX('Inventory Hygiene'!$I$2:$I$252,MATCH(SUBSTITUTE($A164," SS","  SS"),'Inventory Hygiene'!$A$2:$A$252,0)),"NA"))</f>
        <v>0.58</v>
      </c>
      <c r="F164" s="54" t="n">
        <f aca="false" t="array" ref="F164:F164">IFERROR(INDEX('Bad Bins'!$J$2:$J$252,MATCH($A164,'Bad Bins'!$A$2:$A$252,0)),IFERROR(INDEX('Bad Bins'!$J$2:$J$252,MATCH(SUBSTITUTE($A164," SS","  SS"),'Bad Bins'!$A$2:$A$252,0)),"NA"))</f>
        <v>171</v>
      </c>
      <c r="G164" s="54" t="str">
        <f aca="false" t="array" ref="G164:G164">IFERROR(INDEX('RSTO &gt; 48hrs'!$G$2:$G$134,MATCH($A164,'RSTO &gt; 48hrs'!$A$2:$A$134,0)),IFERROR(INDEX('RSTO &gt; 48hrs'!$G$2:$G$134,MATCH(SUBSTITUTE($A164," SS","  SS"),'RSTO &gt; 48hrs'!$A$2:$A$134,0)),"NA"))</f>
        <v>NA</v>
      </c>
      <c r="H164" s="54" t="n">
        <f aca="false" t="array" ref="H164:H164">IFERROR(INDEX('Recirculation &gt; 24 hrs'!$J$2:$J$150,MATCH($A164,'Recirculation &gt; 24 hrs'!$A$2:$A$150,0)),IFERROR(INDEX('Recirculation &gt; 24 hrs'!$J$2:$J$150,MATCH(SUBSTITUTE($A164," SS","  SS"),'Recirculation &gt; 24 hrs'!$A$2:$A$150,0)),"NA"))</f>
        <v>622</v>
      </c>
      <c r="I164" s="54" t="n">
        <f aca="false" t="array" ref="I164:I164">IFERROR(INDEX('Pending Putaway'!$D$2:$D$255,MATCH($A164,'Pending Putaway'!$A$2:$A$255,0)),IFERROR(INDEX('Pending Putaway'!$D$2:$D$255,MATCH(SUBSTITUTE($A164," SS","  SS"),'Pending Putaway'!$A$2:$A$255,0)),"NA"))</f>
        <v>23</v>
      </c>
      <c r="J164" s="54" t="n">
        <f aca="false" t="array" ref="J164:J164">IFERROR(INDEX('Pending Putaway'!$K$2:$K$255,MATCH($A164,'Pending Putaway'!$A$2:$A$255,0)),IFERROR(INDEX('Pending Putaway'!$K$2:$K$255,MATCH(SUBSTITUTE($A164," SS","  SS"),'Pending Putaway'!$A$2:$A$255,0)),"NA"))</f>
        <v>23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customFormat="false" ht="15.75" hidden="false" customHeight="true" outlineLevel="0" collapsed="false">
      <c r="A165" s="54" t="s">
        <v>143</v>
      </c>
      <c r="B165" s="54" t="str">
        <f aca="false" t="array" ref="B165:B165">IFERROR(INDEX('CLM &amp; IM Mapping'!$B$2:$B$270,MATCH($A165,'CLM &amp; IM Mapping'!$A$2:$A$270,0)),"Not Mapped")</f>
        <v>Ravishankar gowda</v>
      </c>
      <c r="C165" s="54" t="str">
        <f aca="false" t="array" ref="C165:C165">IFERROR(INDEX('CLM &amp; IM Mapping'!$C$2:$C$270,MATCH($A165,'CLM &amp; IM Mapping'!$A$2:$A$270,0)),"Not Mapped")</f>
        <v>Kishor K</v>
      </c>
      <c r="D165" s="55" t="n">
        <f aca="false" t="array" ref="D165:D165">IFERROR(INDEX(Shrinkage!$O$2:$O$260,MATCH($A165,Shrinkage!$C$2:$C$260,0)),IFERROR(INDEX(Shrinkage!$O$2:$O$260,MATCH(SUBSTITUTE($A165," SS","  SS"),Shrinkage!$C$2:$C$260,0)),"NA"))</f>
        <v>6342</v>
      </c>
      <c r="E165" s="56" t="n">
        <f aca="false" t="array" ref="E165:E165">IFERROR(INDEX('Inventory Hygiene'!$I$2:$I$252,MATCH($A165,'Inventory Hygiene'!$A$2:$A$252,0)),IFERROR(INDEX('Inventory Hygiene'!$I$2:$I$252,MATCH(SUBSTITUTE($A165," SS","  SS"),'Inventory Hygiene'!$A$2:$A$252,0)),"NA"))</f>
        <v>0.26</v>
      </c>
      <c r="F165" s="54" t="n">
        <f aca="false" t="array" ref="F165:F165">IFERROR(INDEX('Bad Bins'!$J$2:$J$252,MATCH($A165,'Bad Bins'!$A$2:$A$252,0)),IFERROR(INDEX('Bad Bins'!$J$2:$J$252,MATCH(SUBSTITUTE($A165," SS","  SS"),'Bad Bins'!$A$2:$A$252,0)),"NA"))</f>
        <v>24</v>
      </c>
      <c r="G165" s="54" t="str">
        <f aca="false" t="array" ref="G165:G165">IFERROR(INDEX('RSTO &gt; 48hrs'!$G$2:$G$134,MATCH($A165,'RSTO &gt; 48hrs'!$A$2:$A$134,0)),IFERROR(INDEX('RSTO &gt; 48hrs'!$G$2:$G$134,MATCH(SUBSTITUTE($A165," SS","  SS"),'RSTO &gt; 48hrs'!$A$2:$A$134,0)),"NA"))</f>
        <v>NA</v>
      </c>
      <c r="H165" s="54" t="str">
        <f aca="false" t="array" ref="H165:H165">IFERROR(INDEX('Recirculation &gt; 24 hrs'!$J$2:$J$150,MATCH($A165,'Recirculation &gt; 24 hrs'!$A$2:$A$150,0)),IFERROR(INDEX('Recirculation &gt; 24 hrs'!$J$2:$J$150,MATCH(SUBSTITUTE($A165," SS","  SS"),'Recirculation &gt; 24 hrs'!$A$2:$A$150,0)),"NA"))</f>
        <v>NA</v>
      </c>
      <c r="I165" s="54" t="n">
        <f aca="false" t="array" ref="I165:I165">IFERROR(INDEX('Pending Putaway'!$D$2:$D$255,MATCH($A165,'Pending Putaway'!$A$2:$A$255,0)),IFERROR(INDEX('Pending Putaway'!$D$2:$D$255,MATCH(SUBSTITUTE($A165," SS","  SS"),'Pending Putaway'!$A$2:$A$255,0)),"NA"))</f>
        <v>0</v>
      </c>
      <c r="J165" s="54" t="n">
        <f aca="false" t="array" ref="J165:J165">IFERROR(INDEX('Pending Putaway'!$K$2:$K$255,MATCH($A165,'Pending Putaway'!$A$2:$A$255,0)),IFERROR(INDEX('Pending Putaway'!$K$2:$K$255,MATCH(SUBSTITUTE($A165," SS","  SS"),'Pending Putaway'!$A$2:$A$255,0)),"NA"))</f>
        <v>0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customFormat="false" ht="15.75" hidden="false" customHeight="true" outlineLevel="0" collapsed="false">
      <c r="A166" s="54" t="s">
        <v>204</v>
      </c>
      <c r="B166" s="54" t="str">
        <f aca="false" t="array" ref="B166:B166">IFERROR(INDEX('CLM &amp; IM Mapping'!$B$2:$B$270,MATCH($A166,'CLM &amp; IM Mapping'!$A$2:$A$270,0)),"Not Mapped")</f>
        <v>Ravishankar gowda</v>
      </c>
      <c r="C166" s="54" t="str">
        <f aca="false" t="array" ref="C166:C166">IFERROR(INDEX('CLM &amp; IM Mapping'!$C$2:$C$270,MATCH($A166,'CLM &amp; IM Mapping'!$A$2:$A$270,0)),"Not Mapped")</f>
        <v>Kishor K</v>
      </c>
      <c r="D166" s="55" t="n">
        <f aca="false" t="array" ref="D166:D166">IFERROR(INDEX(Shrinkage!$O$2:$O$260,MATCH($A166,Shrinkage!$C$2:$C$260,0)),IFERROR(INDEX(Shrinkage!$O$2:$O$260,MATCH(SUBSTITUTE($A166," SS","  SS"),Shrinkage!$C$2:$C$260,0)),"NA"))</f>
        <v>-1928</v>
      </c>
      <c r="E166" s="56" t="n">
        <f aca="false" t="array" ref="E166:E166">IFERROR(INDEX('Inventory Hygiene'!$I$2:$I$252,MATCH($A166,'Inventory Hygiene'!$A$2:$A$252,0)),IFERROR(INDEX('Inventory Hygiene'!$I$2:$I$252,MATCH(SUBSTITUTE($A166," SS","  SS"),'Inventory Hygiene'!$A$2:$A$252,0)),"NA"))</f>
        <v>0.77</v>
      </c>
      <c r="F166" s="54" t="n">
        <f aca="false" t="array" ref="F166:F166">IFERROR(INDEX('Bad Bins'!$J$2:$J$252,MATCH($A166,'Bad Bins'!$A$2:$A$252,0)),IFERROR(INDEX('Bad Bins'!$J$2:$J$252,MATCH(SUBSTITUTE($A166," SS","  SS"),'Bad Bins'!$A$2:$A$252,0)),"NA"))</f>
        <v>240</v>
      </c>
      <c r="G166" s="54" t="n">
        <f aca="false" t="array" ref="G166:G166">IFERROR(INDEX('RSTO &gt; 48hrs'!$G$2:$G$134,MATCH($A166,'RSTO &gt; 48hrs'!$A$2:$A$134,0)),IFERROR(INDEX('RSTO &gt; 48hrs'!$G$2:$G$134,MATCH(SUBSTITUTE($A166," SS","  SS"),'RSTO &gt; 48hrs'!$A$2:$A$134,0)),"NA"))</f>
        <v>47</v>
      </c>
      <c r="H166" s="54" t="n">
        <f aca="false" t="array" ref="H166:H166">IFERROR(INDEX('Recirculation &gt; 24 hrs'!$J$2:$J$150,MATCH($A166,'Recirculation &gt; 24 hrs'!$A$2:$A$150,0)),IFERROR(INDEX('Recirculation &gt; 24 hrs'!$J$2:$J$150,MATCH(SUBSTITUTE($A166," SS","  SS"),'Recirculation &gt; 24 hrs'!$A$2:$A$150,0)),"NA"))</f>
        <v>1</v>
      </c>
      <c r="I166" s="54" t="n">
        <f aca="false" t="array" ref="I166:I166">IFERROR(INDEX('Pending Putaway'!$D$2:$D$255,MATCH($A166,'Pending Putaway'!$A$2:$A$255,0)),IFERROR(INDEX('Pending Putaway'!$D$2:$D$255,MATCH(SUBSTITUTE($A166," SS","  SS"),'Pending Putaway'!$A$2:$A$255,0)),"NA"))</f>
        <v>2432</v>
      </c>
      <c r="J166" s="54" t="n">
        <f aca="false" t="array" ref="J166:J166">IFERROR(INDEX('Pending Putaway'!$K$2:$K$255,MATCH($A166,'Pending Putaway'!$A$2:$A$255,0)),IFERROR(INDEX('Pending Putaway'!$K$2:$K$255,MATCH(SUBSTITUTE($A166," SS","  SS"),'Pending Putaway'!$A$2:$A$255,0)),"NA"))</f>
        <v>2432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customFormat="false" ht="15.75" hidden="false" customHeight="true" outlineLevel="0" collapsed="false">
      <c r="A167" s="54" t="s">
        <v>283</v>
      </c>
      <c r="B167" s="54" t="str">
        <f aca="false" t="array" ref="B167:B167">IFERROR(INDEX('CLM &amp; IM Mapping'!$B$2:$B$270,MATCH($A167,'CLM &amp; IM Mapping'!$A$2:$A$270,0)),"Not Mapped")</f>
        <v>Ravishankar gowda</v>
      </c>
      <c r="C167" s="54" t="str">
        <f aca="false" t="array" ref="C167:C167">IFERROR(INDEX('CLM &amp; IM Mapping'!$C$2:$C$270,MATCH($A167,'CLM &amp; IM Mapping'!$A$2:$A$270,0)),"Not Mapped")</f>
        <v>Kishor K</v>
      </c>
      <c r="D167" s="55" t="n">
        <f aca="false" t="array" ref="D167:D167">IFERROR(INDEX(Shrinkage!$O$2:$O$260,MATCH($A167,Shrinkage!$C$2:$C$260,0)),IFERROR(INDEX(Shrinkage!$O$2:$O$260,MATCH(SUBSTITUTE($A167," SS","  SS"),Shrinkage!$C$2:$C$260,0)),"NA"))</f>
        <v>-16691</v>
      </c>
      <c r="E167" s="56" t="n">
        <f aca="false" t="array" ref="E167:E167">IFERROR(INDEX('Inventory Hygiene'!$I$2:$I$252,MATCH($A167,'Inventory Hygiene'!$A$2:$A$252,0)),IFERROR(INDEX('Inventory Hygiene'!$I$2:$I$252,MATCH(SUBSTITUTE($A167," SS","  SS"),'Inventory Hygiene'!$A$2:$A$252,0)),"NA"))</f>
        <v>0.83</v>
      </c>
      <c r="F167" s="54" t="n">
        <f aca="false" t="array" ref="F167:F167">IFERROR(INDEX('Bad Bins'!$J$2:$J$252,MATCH($A167,'Bad Bins'!$A$2:$A$252,0)),IFERROR(INDEX('Bad Bins'!$J$2:$J$252,MATCH(SUBSTITUTE($A167," SS","  SS"),'Bad Bins'!$A$2:$A$252,0)),"NA"))</f>
        <v>163</v>
      </c>
      <c r="G167" s="54" t="n">
        <f aca="false" t="array" ref="G167:G167">IFERROR(INDEX('RSTO &gt; 48hrs'!$G$2:$G$134,MATCH($A167,'RSTO &gt; 48hrs'!$A$2:$A$134,0)),IFERROR(INDEX('RSTO &gt; 48hrs'!$G$2:$G$134,MATCH(SUBSTITUTE($A167," SS","  SS"),'RSTO &gt; 48hrs'!$A$2:$A$134,0)),"NA"))</f>
        <v>6</v>
      </c>
      <c r="H167" s="54" t="str">
        <f aca="false" t="array" ref="H167:H167">IFERROR(INDEX('Recirculation &gt; 24 hrs'!$J$2:$J$150,MATCH($A167,'Recirculation &gt; 24 hrs'!$A$2:$A$150,0)),IFERROR(INDEX('Recirculation &gt; 24 hrs'!$J$2:$J$150,MATCH(SUBSTITUTE($A167," SS","  SS"),'Recirculation &gt; 24 hrs'!$A$2:$A$150,0)),"NA"))</f>
        <v>NA</v>
      </c>
      <c r="I167" s="54" t="n">
        <f aca="false" t="array" ref="I167:I167">IFERROR(INDEX('Pending Putaway'!$D$2:$D$255,MATCH($A167,'Pending Putaway'!$A$2:$A$255,0)),IFERROR(INDEX('Pending Putaway'!$D$2:$D$255,MATCH(SUBSTITUTE($A167," SS","  SS"),'Pending Putaway'!$A$2:$A$255,0)),"NA"))</f>
        <v>7312</v>
      </c>
      <c r="J167" s="54" t="n">
        <f aca="false" t="array" ref="J167:J167">IFERROR(INDEX('Pending Putaway'!$K$2:$K$255,MATCH($A167,'Pending Putaway'!$A$2:$A$255,0)),IFERROR(INDEX('Pending Putaway'!$K$2:$K$255,MATCH(SUBSTITUTE($A167," SS","  SS"),'Pending Putaway'!$A$2:$A$255,0)),"NA"))</f>
        <v>0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customFormat="false" ht="15.75" hidden="false" customHeight="true" outlineLevel="0" collapsed="false">
      <c r="A168" s="54" t="s">
        <v>214</v>
      </c>
      <c r="B168" s="54" t="str">
        <f aca="false" t="array" ref="B168:B168">IFERROR(INDEX('CLM &amp; IM Mapping'!$B$2:$B$270,MATCH($A168,'CLM &amp; IM Mapping'!$A$2:$A$270,0)),"Not Mapped")</f>
        <v>Ravishankar gowda</v>
      </c>
      <c r="C168" s="54" t="str">
        <f aca="false" t="array" ref="C168:C168">IFERROR(INDEX('CLM &amp; IM Mapping'!$C$2:$C$270,MATCH($A168,'CLM &amp; IM Mapping'!$A$2:$A$270,0)),"Not Mapped")</f>
        <v>Kishor K</v>
      </c>
      <c r="D168" s="55" t="n">
        <f aca="false" t="array" ref="D168:D168">IFERROR(INDEX(Shrinkage!$O$2:$O$260,MATCH($A168,Shrinkage!$C$2:$C$260,0)),IFERROR(INDEX(Shrinkage!$O$2:$O$260,MATCH(SUBSTITUTE($A168," SS","  SS"),Shrinkage!$C$2:$C$260,0)),"NA"))</f>
        <v>-2840</v>
      </c>
      <c r="E168" s="56" t="n">
        <f aca="false" t="array" ref="E168:E168">IFERROR(INDEX('Inventory Hygiene'!$I$2:$I$252,MATCH($A168,'Inventory Hygiene'!$A$2:$A$252,0)),IFERROR(INDEX('Inventory Hygiene'!$I$2:$I$252,MATCH(SUBSTITUTE($A168," SS","  SS"),'Inventory Hygiene'!$A$2:$A$252,0)),"NA"))</f>
        <v>0.34</v>
      </c>
      <c r="F168" s="54" t="n">
        <f aca="false" t="array" ref="F168:F168">IFERROR(INDEX('Bad Bins'!$J$2:$J$252,MATCH($A168,'Bad Bins'!$A$2:$A$252,0)),IFERROR(INDEX('Bad Bins'!$J$2:$J$252,MATCH(SUBSTITUTE($A168," SS","  SS"),'Bad Bins'!$A$2:$A$252,0)),"NA"))</f>
        <v>118</v>
      </c>
      <c r="G168" s="54" t="str">
        <f aca="false" t="array" ref="G168:G168">IFERROR(INDEX('RSTO &gt; 48hrs'!$G$2:$G$134,MATCH($A168,'RSTO &gt; 48hrs'!$A$2:$A$134,0)),IFERROR(INDEX('RSTO &gt; 48hrs'!$G$2:$G$134,MATCH(SUBSTITUTE($A168," SS","  SS"),'RSTO &gt; 48hrs'!$A$2:$A$134,0)),"NA"))</f>
        <v>NA</v>
      </c>
      <c r="H168" s="54" t="str">
        <f aca="false" t="array" ref="H168:H168">IFERROR(INDEX('Recirculation &gt; 24 hrs'!$J$2:$J$150,MATCH($A168,'Recirculation &gt; 24 hrs'!$A$2:$A$150,0)),IFERROR(INDEX('Recirculation &gt; 24 hrs'!$J$2:$J$150,MATCH(SUBSTITUTE($A168," SS","  SS"),'Recirculation &gt; 24 hrs'!$A$2:$A$150,0)),"NA"))</f>
        <v>NA</v>
      </c>
      <c r="I168" s="54" t="n">
        <f aca="false" t="array" ref="I168:I168">IFERROR(INDEX('Pending Putaway'!$D$2:$D$255,MATCH($A168,'Pending Putaway'!$A$2:$A$255,0)),IFERROR(INDEX('Pending Putaway'!$D$2:$D$255,MATCH(SUBSTITUTE($A168," SS","  SS"),'Pending Putaway'!$A$2:$A$255,0)),"NA"))</f>
        <v>3503</v>
      </c>
      <c r="J168" s="54" t="n">
        <f aca="false" t="array" ref="J168:J168">IFERROR(INDEX('Pending Putaway'!$K$2:$K$255,MATCH($A168,'Pending Putaway'!$A$2:$A$255,0)),IFERROR(INDEX('Pending Putaway'!$K$2:$K$255,MATCH(SUBSTITUTE($A168," SS","  SS"),'Pending Putaway'!$A$2:$A$255,0)),"NA"))</f>
        <v>13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customFormat="false" ht="15.75" hidden="false" customHeight="true" outlineLevel="0" collapsed="false">
      <c r="A169" s="54" t="s">
        <v>223</v>
      </c>
      <c r="B169" s="54" t="str">
        <f aca="false" t="array" ref="B169:B169">IFERROR(INDEX('CLM &amp; IM Mapping'!$B$2:$B$270,MATCH($A169,'CLM &amp; IM Mapping'!$A$2:$A$270,0)),"Not Mapped")</f>
        <v>Ravishankar gowda</v>
      </c>
      <c r="C169" s="54" t="str">
        <f aca="false" t="array" ref="C169:C169">IFERROR(INDEX('CLM &amp; IM Mapping'!$C$2:$C$270,MATCH($A169,'CLM &amp; IM Mapping'!$A$2:$A$270,0)),"Not Mapped")</f>
        <v>Kishor K</v>
      </c>
      <c r="D169" s="55" t="n">
        <f aca="false" t="array" ref="D169:D169">IFERROR(INDEX(Shrinkage!$O$2:$O$260,MATCH($A169,Shrinkage!$C$2:$C$260,0)),IFERROR(INDEX(Shrinkage!$O$2:$O$260,MATCH(SUBSTITUTE($A169," SS","  SS"),Shrinkage!$C$2:$C$260,0)),"NA"))</f>
        <v>-4178</v>
      </c>
      <c r="E169" s="56" t="n">
        <f aca="false" t="array" ref="E169:E169">IFERROR(INDEX('Inventory Hygiene'!$I$2:$I$252,MATCH($A169,'Inventory Hygiene'!$A$2:$A$252,0)),IFERROR(INDEX('Inventory Hygiene'!$I$2:$I$252,MATCH(SUBSTITUTE($A169," SS","  SS"),'Inventory Hygiene'!$A$2:$A$252,0)),"NA"))</f>
        <v>0.79</v>
      </c>
      <c r="F169" s="54" t="n">
        <f aca="false" t="array" ref="F169:F169">IFERROR(INDEX('Bad Bins'!$J$2:$J$252,MATCH($A169,'Bad Bins'!$A$2:$A$252,0)),IFERROR(INDEX('Bad Bins'!$J$2:$J$252,MATCH(SUBSTITUTE($A169," SS","  SS"),'Bad Bins'!$A$2:$A$252,0)),"NA"))</f>
        <v>52</v>
      </c>
      <c r="G169" s="54" t="n">
        <f aca="false" t="array" ref="G169:G169">IFERROR(INDEX('RSTO &gt; 48hrs'!$G$2:$G$134,MATCH($A169,'RSTO &gt; 48hrs'!$A$2:$A$134,0)),IFERROR(INDEX('RSTO &gt; 48hrs'!$G$2:$G$134,MATCH(SUBSTITUTE($A169," SS","  SS"),'RSTO &gt; 48hrs'!$A$2:$A$134,0)),"NA"))</f>
        <v>1</v>
      </c>
      <c r="H169" s="54" t="str">
        <f aca="false" t="array" ref="H169:H169">IFERROR(INDEX('Recirculation &gt; 24 hrs'!$J$2:$J$150,MATCH($A169,'Recirculation &gt; 24 hrs'!$A$2:$A$150,0)),IFERROR(INDEX('Recirculation &gt; 24 hrs'!$J$2:$J$150,MATCH(SUBSTITUTE($A169," SS","  SS"),'Recirculation &gt; 24 hrs'!$A$2:$A$150,0)),"NA"))</f>
        <v>NA</v>
      </c>
      <c r="I169" s="54" t="n">
        <f aca="false" t="array" ref="I169:I169">IFERROR(INDEX('Pending Putaway'!$D$2:$D$255,MATCH($A169,'Pending Putaway'!$A$2:$A$255,0)),IFERROR(INDEX('Pending Putaway'!$D$2:$D$255,MATCH(SUBSTITUTE($A169," SS","  SS"),'Pending Putaway'!$A$2:$A$255,0)),"NA"))</f>
        <v>329</v>
      </c>
      <c r="J169" s="54" t="n">
        <f aca="false" t="array" ref="J169:J169">IFERROR(INDEX('Pending Putaway'!$K$2:$K$255,MATCH($A169,'Pending Putaway'!$A$2:$A$255,0)),IFERROR(INDEX('Pending Putaway'!$K$2:$K$255,MATCH(SUBSTITUTE($A169," SS","  SS"),'Pending Putaway'!$A$2:$A$255,0)),"NA"))</f>
        <v>0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customFormat="false" ht="15.75" hidden="false" customHeight="true" outlineLevel="0" collapsed="false">
      <c r="A170" s="54" t="s">
        <v>124</v>
      </c>
      <c r="B170" s="54" t="str">
        <f aca="false" t="array" ref="B170:B170">IFERROR(INDEX('CLM &amp; IM Mapping'!$B$2:$B$270,MATCH($A170,'CLM &amp; IM Mapping'!$A$2:$A$270,0)),"Not Mapped")</f>
        <v>Majid Kakatikar</v>
      </c>
      <c r="C170" s="54" t="str">
        <f aca="false" t="array" ref="C170:C170">IFERROR(INDEX('CLM &amp; IM Mapping'!$C$2:$C$270,MATCH($A170,'CLM &amp; IM Mapping'!$A$2:$A$270,0)),"Not Mapped")</f>
        <v>Kishor K</v>
      </c>
      <c r="D170" s="55" t="n">
        <f aca="false" t="array" ref="D170:D170">IFERROR(INDEX(Shrinkage!$O$2:$O$260,MATCH($A170,Shrinkage!$C$2:$C$260,0)),IFERROR(INDEX(Shrinkage!$O$2:$O$260,MATCH(SUBSTITUTE($A170," SS","  SS"),Shrinkage!$C$2:$C$260,0)),"NA"))</f>
        <v>9545</v>
      </c>
      <c r="E170" s="56" t="n">
        <f aca="false" t="array" ref="E170:E170">IFERROR(INDEX('Inventory Hygiene'!$I$2:$I$252,MATCH($A170,'Inventory Hygiene'!$A$2:$A$252,0)),IFERROR(INDEX('Inventory Hygiene'!$I$2:$I$252,MATCH(SUBSTITUTE($A170," SS","  SS"),'Inventory Hygiene'!$A$2:$A$252,0)),"NA"))</f>
        <v>0.35</v>
      </c>
      <c r="F170" s="54" t="n">
        <f aca="false" t="array" ref="F170:F170">IFERROR(INDEX('Bad Bins'!$J$2:$J$252,MATCH($A170,'Bad Bins'!$A$2:$A$252,0)),IFERROR(INDEX('Bad Bins'!$J$2:$J$252,MATCH(SUBSTITUTE($A170," SS","  SS"),'Bad Bins'!$A$2:$A$252,0)),"NA"))</f>
        <v>74</v>
      </c>
      <c r="G170" s="54" t="str">
        <f aca="false" t="array" ref="G170:G170">IFERROR(INDEX('RSTO &gt; 48hrs'!$G$2:$G$134,MATCH($A170,'RSTO &gt; 48hrs'!$A$2:$A$134,0)),IFERROR(INDEX('RSTO &gt; 48hrs'!$G$2:$G$134,MATCH(SUBSTITUTE($A170," SS","  SS"),'RSTO &gt; 48hrs'!$A$2:$A$134,0)),"NA"))</f>
        <v>NA</v>
      </c>
      <c r="H170" s="54" t="str">
        <f aca="false" t="array" ref="H170:H170">IFERROR(INDEX('Recirculation &gt; 24 hrs'!$J$2:$J$150,MATCH($A170,'Recirculation &gt; 24 hrs'!$A$2:$A$150,0)),IFERROR(INDEX('Recirculation &gt; 24 hrs'!$J$2:$J$150,MATCH(SUBSTITUTE($A170," SS","  SS"),'Recirculation &gt; 24 hrs'!$A$2:$A$150,0)),"NA"))</f>
        <v>NA</v>
      </c>
      <c r="I170" s="54" t="n">
        <f aca="false" t="array" ref="I170:I170">IFERROR(INDEX('Pending Putaway'!$D$2:$D$255,MATCH($A170,'Pending Putaway'!$A$2:$A$255,0)),IFERROR(INDEX('Pending Putaway'!$D$2:$D$255,MATCH(SUBSTITUTE($A170," SS","  SS"),'Pending Putaway'!$A$2:$A$255,0)),"NA"))</f>
        <v>0</v>
      </c>
      <c r="J170" s="54" t="n">
        <f aca="false" t="array" ref="J170:J170">IFERROR(INDEX('Pending Putaway'!$K$2:$K$255,MATCH($A170,'Pending Putaway'!$A$2:$A$255,0)),IFERROR(INDEX('Pending Putaway'!$K$2:$K$255,MATCH(SUBSTITUTE($A170," SS","  SS"),'Pending Putaway'!$A$2:$A$255,0)),"NA"))</f>
        <v>0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customFormat="false" ht="15.75" hidden="false" customHeight="true" outlineLevel="0" collapsed="false">
      <c r="A171" s="54" t="s">
        <v>188</v>
      </c>
      <c r="B171" s="54" t="str">
        <f aca="false" t="array" ref="B171:B171">IFERROR(INDEX('CLM &amp; IM Mapping'!$B$2:$B$270,MATCH($A171,'CLM &amp; IM Mapping'!$A$2:$A$270,0)),"Not Mapped")</f>
        <v>Majid Kakatikar</v>
      </c>
      <c r="C171" s="54" t="str">
        <f aca="false" t="array" ref="C171:C171">IFERROR(INDEX('CLM &amp; IM Mapping'!$C$2:$C$270,MATCH($A171,'CLM &amp; IM Mapping'!$A$2:$A$270,0)),"Not Mapped")</f>
        <v>Kishor K</v>
      </c>
      <c r="D171" s="55" t="n">
        <f aca="false" t="array" ref="D171:D171">IFERROR(INDEX(Shrinkage!$O$2:$O$260,MATCH($A171,Shrinkage!$C$2:$C$260,0)),IFERROR(INDEX(Shrinkage!$O$2:$O$260,MATCH(SUBSTITUTE($A171," SS","  SS"),Shrinkage!$C$2:$C$260,0)),"NA"))</f>
        <v>-264</v>
      </c>
      <c r="E171" s="56" t="n">
        <f aca="false" t="array" ref="E171:E171">IFERROR(INDEX('Inventory Hygiene'!$I$2:$I$252,MATCH($A171,'Inventory Hygiene'!$A$2:$A$252,0)),IFERROR(INDEX('Inventory Hygiene'!$I$2:$I$252,MATCH(SUBSTITUTE($A171," SS","  SS"),'Inventory Hygiene'!$A$2:$A$252,0)),"NA"))</f>
        <v>0.69</v>
      </c>
      <c r="F171" s="54" t="n">
        <f aca="false" t="array" ref="F171:F171">IFERROR(INDEX('Bad Bins'!$J$2:$J$252,MATCH($A171,'Bad Bins'!$A$2:$A$252,0)),IFERROR(INDEX('Bad Bins'!$J$2:$J$252,MATCH(SUBSTITUTE($A171," SS","  SS"),'Bad Bins'!$A$2:$A$252,0)),"NA"))</f>
        <v>58</v>
      </c>
      <c r="G171" s="54" t="str">
        <f aca="false" t="array" ref="G171:G171">IFERROR(INDEX('RSTO &gt; 48hrs'!$G$2:$G$134,MATCH($A171,'RSTO &gt; 48hrs'!$A$2:$A$134,0)),IFERROR(INDEX('RSTO &gt; 48hrs'!$G$2:$G$134,MATCH(SUBSTITUTE($A171," SS","  SS"),'RSTO &gt; 48hrs'!$A$2:$A$134,0)),"NA"))</f>
        <v>NA</v>
      </c>
      <c r="H171" s="54" t="str">
        <f aca="false" t="array" ref="H171:H171">IFERROR(INDEX('Recirculation &gt; 24 hrs'!$J$2:$J$150,MATCH($A171,'Recirculation &gt; 24 hrs'!$A$2:$A$150,0)),IFERROR(INDEX('Recirculation &gt; 24 hrs'!$J$2:$J$150,MATCH(SUBSTITUTE($A171," SS","  SS"),'Recirculation &gt; 24 hrs'!$A$2:$A$150,0)),"NA"))</f>
        <v>NA</v>
      </c>
      <c r="I171" s="54" t="n">
        <f aca="false" t="array" ref="I171:I171">IFERROR(INDEX('Pending Putaway'!$D$2:$D$255,MATCH($A171,'Pending Putaway'!$A$2:$A$255,0)),IFERROR(INDEX('Pending Putaway'!$D$2:$D$255,MATCH(SUBSTITUTE($A171," SS","  SS"),'Pending Putaway'!$A$2:$A$255,0)),"NA"))</f>
        <v>0</v>
      </c>
      <c r="J171" s="54" t="n">
        <f aca="false" t="array" ref="J171:J171">IFERROR(INDEX('Pending Putaway'!$K$2:$K$255,MATCH($A171,'Pending Putaway'!$A$2:$A$255,0)),IFERROR(INDEX('Pending Putaway'!$K$2:$K$255,MATCH(SUBSTITUTE($A171," SS","  SS"),'Pending Putaway'!$A$2:$A$255,0)),"NA"))</f>
        <v>0</v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customFormat="false" ht="15.75" hidden="false" customHeight="true" outlineLevel="0" collapsed="false">
      <c r="A172" s="54" t="s">
        <v>41</v>
      </c>
      <c r="B172" s="54" t="str">
        <f aca="false" t="array" ref="B172:B172">IFERROR(INDEX('CLM &amp; IM Mapping'!$B$2:$B$270,MATCH($A172,'CLM &amp; IM Mapping'!$A$2:$A$270,0)),"Not Mapped")</f>
        <v>Narasimhamurthy R</v>
      </c>
      <c r="C172" s="54" t="str">
        <f aca="false" t="array" ref="C172:C172">IFERROR(INDEX('CLM &amp; IM Mapping'!$C$2:$C$270,MATCH($A172,'CLM &amp; IM Mapping'!$A$2:$A$270,0)),"Not Mapped")</f>
        <v>Kishor K</v>
      </c>
      <c r="D172" s="55" t="n">
        <f aca="false" t="array" ref="D172:D172">IFERROR(INDEX(Shrinkage!$O$2:$O$260,MATCH($A172,Shrinkage!$C$2:$C$260,0)),IFERROR(INDEX(Shrinkage!$O$2:$O$260,MATCH(SUBSTITUTE($A172," SS","  SS"),Shrinkage!$C$2:$C$260,0)),"NA"))</f>
        <v>48665</v>
      </c>
      <c r="E172" s="56" t="n">
        <f aca="false" t="array" ref="E172:E172">IFERROR(INDEX('Inventory Hygiene'!$I$2:$I$252,MATCH($A172,'Inventory Hygiene'!$A$2:$A$252,0)),IFERROR(INDEX('Inventory Hygiene'!$I$2:$I$252,MATCH(SUBSTITUTE($A172," SS","  SS"),'Inventory Hygiene'!$A$2:$A$252,0)),"NA"))</f>
        <v>0.53</v>
      </c>
      <c r="F172" s="54" t="n">
        <f aca="false" t="array" ref="F172:F172">IFERROR(INDEX('Bad Bins'!$J$2:$J$252,MATCH($A172,'Bad Bins'!$A$2:$A$252,0)),IFERROR(INDEX('Bad Bins'!$J$2:$J$252,MATCH(SUBSTITUTE($A172," SS","  SS"),'Bad Bins'!$A$2:$A$252,0)),"NA"))</f>
        <v>95</v>
      </c>
      <c r="G172" s="54" t="n">
        <f aca="false" t="array" ref="G172:G172">IFERROR(INDEX('RSTO &gt; 48hrs'!$G$2:$G$134,MATCH($A172,'RSTO &gt; 48hrs'!$A$2:$A$134,0)),IFERROR(INDEX('RSTO &gt; 48hrs'!$G$2:$G$134,MATCH(SUBSTITUTE($A172," SS","  SS"),'RSTO &gt; 48hrs'!$A$2:$A$134,0)),"NA"))</f>
        <v>47</v>
      </c>
      <c r="H172" s="54" t="n">
        <f aca="false" t="array" ref="H172:H172">IFERROR(INDEX('Recirculation &gt; 24 hrs'!$J$2:$J$150,MATCH($A172,'Recirculation &gt; 24 hrs'!$A$2:$A$150,0)),IFERROR(INDEX('Recirculation &gt; 24 hrs'!$J$2:$J$150,MATCH(SUBSTITUTE($A172," SS","  SS"),'Recirculation &gt; 24 hrs'!$A$2:$A$150,0)),"NA"))</f>
        <v>1420</v>
      </c>
      <c r="I172" s="54" t="n">
        <f aca="false" t="array" ref="I172:I172">IFERROR(INDEX('Pending Putaway'!$D$2:$D$255,MATCH($A172,'Pending Putaway'!$A$2:$A$255,0)),IFERROR(INDEX('Pending Putaway'!$D$2:$D$255,MATCH(SUBSTITUTE($A172," SS","  SS"),'Pending Putaway'!$A$2:$A$255,0)),"NA"))</f>
        <v>18</v>
      </c>
      <c r="J172" s="54" t="n">
        <f aca="false" t="array" ref="J172:J172">IFERROR(INDEX('Pending Putaway'!$K$2:$K$255,MATCH($A172,'Pending Putaway'!$A$2:$A$255,0)),IFERROR(INDEX('Pending Putaway'!$K$2:$K$255,MATCH(SUBSTITUTE($A172," SS","  SS"),'Pending Putaway'!$A$2:$A$255,0)),"NA"))</f>
        <v>18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customFormat="false" ht="15.75" hidden="false" customHeight="true" outlineLevel="0" collapsed="false">
      <c r="A173" s="54" t="s">
        <v>58</v>
      </c>
      <c r="B173" s="54" t="str">
        <f aca="false" t="array" ref="B173:B173">IFERROR(INDEX('CLM &amp; IM Mapping'!$B$2:$B$270,MATCH($A173,'CLM &amp; IM Mapping'!$A$2:$A$270,0)),"Not Mapped")</f>
        <v>Narasimhamurthy R</v>
      </c>
      <c r="C173" s="54" t="str">
        <f aca="false" t="array" ref="C173:C173">IFERROR(INDEX('CLM &amp; IM Mapping'!$C$2:$C$270,MATCH($A173,'CLM &amp; IM Mapping'!$A$2:$A$270,0)),"Not Mapped")</f>
        <v>Kishor K</v>
      </c>
      <c r="D173" s="55" t="n">
        <f aca="false" t="array" ref="D173:D173">IFERROR(INDEX(Shrinkage!$O$2:$O$260,MATCH($A173,Shrinkage!$C$2:$C$260,0)),IFERROR(INDEX(Shrinkage!$O$2:$O$260,MATCH(SUBSTITUTE($A173," SS","  SS"),Shrinkage!$C$2:$C$260,0)),"NA"))</f>
        <v>41500</v>
      </c>
      <c r="E173" s="56" t="n">
        <f aca="false" t="array" ref="E173:E173">IFERROR(INDEX('Inventory Hygiene'!$I$2:$I$252,MATCH($A173,'Inventory Hygiene'!$A$2:$A$252,0)),IFERROR(INDEX('Inventory Hygiene'!$I$2:$I$252,MATCH(SUBSTITUTE($A173," SS","  SS"),'Inventory Hygiene'!$A$2:$A$252,0)),"NA"))</f>
        <v>0.19</v>
      </c>
      <c r="F173" s="54" t="n">
        <f aca="false" t="array" ref="F173:F173">IFERROR(INDEX('Bad Bins'!$J$2:$J$252,MATCH($A173,'Bad Bins'!$A$2:$A$252,0)),IFERROR(INDEX('Bad Bins'!$J$2:$J$252,MATCH(SUBSTITUTE($A173," SS","  SS"),'Bad Bins'!$A$2:$A$252,0)),"NA"))</f>
        <v>95</v>
      </c>
      <c r="G173" s="54" t="str">
        <f aca="false" t="array" ref="G173:G173">IFERROR(INDEX('RSTO &gt; 48hrs'!$G$2:$G$134,MATCH($A173,'RSTO &gt; 48hrs'!$A$2:$A$134,0)),IFERROR(INDEX('RSTO &gt; 48hrs'!$G$2:$G$134,MATCH(SUBSTITUTE($A173," SS","  SS"),'RSTO &gt; 48hrs'!$A$2:$A$134,0)),"NA"))</f>
        <v>NA</v>
      </c>
      <c r="H173" s="54" t="str">
        <f aca="false" t="array" ref="H173:H173">IFERROR(INDEX('Recirculation &gt; 24 hrs'!$J$2:$J$150,MATCH($A173,'Recirculation &gt; 24 hrs'!$A$2:$A$150,0)),IFERROR(INDEX('Recirculation &gt; 24 hrs'!$J$2:$J$150,MATCH(SUBSTITUTE($A173," SS","  SS"),'Recirculation &gt; 24 hrs'!$A$2:$A$150,0)),"NA"))</f>
        <v>NA</v>
      </c>
      <c r="I173" s="54" t="n">
        <f aca="false" t="array" ref="I173:I173">IFERROR(INDEX('Pending Putaway'!$D$2:$D$255,MATCH($A173,'Pending Putaway'!$A$2:$A$255,0)),IFERROR(INDEX('Pending Putaway'!$D$2:$D$255,MATCH(SUBSTITUTE($A173," SS","  SS"),'Pending Putaway'!$A$2:$A$255,0)),"NA"))</f>
        <v>7663</v>
      </c>
      <c r="J173" s="54" t="n">
        <f aca="false" t="array" ref="J173:J173">IFERROR(INDEX('Pending Putaway'!$K$2:$K$255,MATCH($A173,'Pending Putaway'!$A$2:$A$255,0)),IFERROR(INDEX('Pending Putaway'!$K$2:$K$255,MATCH(SUBSTITUTE($A173," SS","  SS"),'Pending Putaway'!$A$2:$A$255,0)),"NA"))</f>
        <v>1399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customFormat="false" ht="15.75" hidden="false" customHeight="true" outlineLevel="0" collapsed="false">
      <c r="A174" s="54" t="s">
        <v>234</v>
      </c>
      <c r="B174" s="54" t="str">
        <f aca="false" t="array" ref="B174:B174">IFERROR(INDEX('CLM &amp; IM Mapping'!$B$2:$B$270,MATCH($A174,'CLM &amp; IM Mapping'!$A$2:$A$270,0)),"Not Mapped")</f>
        <v>Narasimhamurthy R</v>
      </c>
      <c r="C174" s="54" t="str">
        <f aca="false" t="array" ref="C174:C174">IFERROR(INDEX('CLM &amp; IM Mapping'!$C$2:$C$270,MATCH($A174,'CLM &amp; IM Mapping'!$A$2:$A$270,0)),"Not Mapped")</f>
        <v>Kishor K</v>
      </c>
      <c r="D174" s="55" t="n">
        <f aca="false" t="array" ref="D174:D174">IFERROR(INDEX(Shrinkage!$O$2:$O$260,MATCH($A174,Shrinkage!$C$2:$C$260,0)),IFERROR(INDEX(Shrinkage!$O$2:$O$260,MATCH(SUBSTITUTE($A174," SS","  SS"),Shrinkage!$C$2:$C$260,0)),"NA"))</f>
        <v>-5331</v>
      </c>
      <c r="E174" s="56" t="n">
        <f aca="false" t="array" ref="E174:E174">IFERROR(INDEX('Inventory Hygiene'!$I$2:$I$252,MATCH($A174,'Inventory Hygiene'!$A$2:$A$252,0)),IFERROR(INDEX('Inventory Hygiene'!$I$2:$I$252,MATCH(SUBSTITUTE($A174," SS","  SS"),'Inventory Hygiene'!$A$2:$A$252,0)),"NA"))</f>
        <v>0.53</v>
      </c>
      <c r="F174" s="54" t="n">
        <f aca="false" t="array" ref="F174:F174">IFERROR(INDEX('Bad Bins'!$J$2:$J$252,MATCH($A174,'Bad Bins'!$A$2:$A$252,0)),IFERROR(INDEX('Bad Bins'!$J$2:$J$252,MATCH(SUBSTITUTE($A174," SS","  SS"),'Bad Bins'!$A$2:$A$252,0)),"NA"))</f>
        <v>37</v>
      </c>
      <c r="G174" s="54" t="str">
        <f aca="false" t="array" ref="G174:G174">IFERROR(INDEX('RSTO &gt; 48hrs'!$G$2:$G$134,MATCH($A174,'RSTO &gt; 48hrs'!$A$2:$A$134,0)),IFERROR(INDEX('RSTO &gt; 48hrs'!$G$2:$G$134,MATCH(SUBSTITUTE($A174," SS","  SS"),'RSTO &gt; 48hrs'!$A$2:$A$134,0)),"NA"))</f>
        <v>NA</v>
      </c>
      <c r="H174" s="54" t="str">
        <f aca="false" t="array" ref="H174:H174">IFERROR(INDEX('Recirculation &gt; 24 hrs'!$J$2:$J$150,MATCH($A174,'Recirculation &gt; 24 hrs'!$A$2:$A$150,0)),IFERROR(INDEX('Recirculation &gt; 24 hrs'!$J$2:$J$150,MATCH(SUBSTITUTE($A174," SS","  SS"),'Recirculation &gt; 24 hrs'!$A$2:$A$150,0)),"NA"))</f>
        <v>NA</v>
      </c>
      <c r="I174" s="54" t="n">
        <f aca="false" t="array" ref="I174:I174">IFERROR(INDEX('Pending Putaway'!$D$2:$D$255,MATCH($A174,'Pending Putaway'!$A$2:$A$255,0)),IFERROR(INDEX('Pending Putaway'!$D$2:$D$255,MATCH(SUBSTITUTE($A174," SS","  SS"),'Pending Putaway'!$A$2:$A$255,0)),"NA"))</f>
        <v>0</v>
      </c>
      <c r="J174" s="54" t="n">
        <f aca="false" t="array" ref="J174:J174">IFERROR(INDEX('Pending Putaway'!$K$2:$K$255,MATCH($A174,'Pending Putaway'!$A$2:$A$255,0)),IFERROR(INDEX('Pending Putaway'!$K$2:$K$255,MATCH(SUBSTITUTE($A174," SS","  SS"),'Pending Putaway'!$A$2:$A$255,0)),"NA"))</f>
        <v>0</v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customFormat="false" ht="15.75" hidden="false" customHeight="true" outlineLevel="0" collapsed="false">
      <c r="A175" s="54" t="s">
        <v>276</v>
      </c>
      <c r="B175" s="54" t="str">
        <f aca="false" t="array" ref="B175:B175">IFERROR(INDEX('CLM &amp; IM Mapping'!$B$2:$B$270,MATCH($A175,'CLM &amp; IM Mapping'!$A$2:$A$270,0)),"Not Mapped")</f>
        <v>Narasimhamurthy R</v>
      </c>
      <c r="C175" s="54" t="str">
        <f aca="false" t="array" ref="C175:C175">IFERROR(INDEX('CLM &amp; IM Mapping'!$C$2:$C$270,MATCH($A175,'CLM &amp; IM Mapping'!$A$2:$A$270,0)),"Not Mapped")</f>
        <v>Kishor K</v>
      </c>
      <c r="D175" s="55" t="n">
        <f aca="false" t="array" ref="D175:D175">IFERROR(INDEX(Shrinkage!$O$2:$O$260,MATCH($A175,Shrinkage!$C$2:$C$260,0)),IFERROR(INDEX(Shrinkage!$O$2:$O$260,MATCH(SUBSTITUTE($A175," SS","  SS"),Shrinkage!$C$2:$C$260,0)),"NA"))</f>
        <v>-13227</v>
      </c>
      <c r="E175" s="56" t="n">
        <f aca="false" t="array" ref="E175:E175">IFERROR(INDEX('Inventory Hygiene'!$I$2:$I$252,MATCH($A175,'Inventory Hygiene'!$A$2:$A$252,0)),IFERROR(INDEX('Inventory Hygiene'!$I$2:$I$252,MATCH(SUBSTITUTE($A175," SS","  SS"),'Inventory Hygiene'!$A$2:$A$252,0)),"NA"))</f>
        <v>0.88</v>
      </c>
      <c r="F175" s="54" t="n">
        <f aca="false" t="array" ref="F175:F175">IFERROR(INDEX('Bad Bins'!$J$2:$J$252,MATCH($A175,'Bad Bins'!$A$2:$A$252,0)),IFERROR(INDEX('Bad Bins'!$J$2:$J$252,MATCH(SUBSTITUTE($A175," SS","  SS"),'Bad Bins'!$A$2:$A$252,0)),"NA"))</f>
        <v>16</v>
      </c>
      <c r="G175" s="54" t="str">
        <f aca="false" t="array" ref="G175:G175">IFERROR(INDEX('RSTO &gt; 48hrs'!$G$2:$G$134,MATCH($A175,'RSTO &gt; 48hrs'!$A$2:$A$134,0)),IFERROR(INDEX('RSTO &gt; 48hrs'!$G$2:$G$134,MATCH(SUBSTITUTE($A175," SS","  SS"),'RSTO &gt; 48hrs'!$A$2:$A$134,0)),"NA"))</f>
        <v>NA</v>
      </c>
      <c r="H175" s="54" t="n">
        <f aca="false" t="array" ref="H175:H175">IFERROR(INDEX('Recirculation &gt; 24 hrs'!$J$2:$J$150,MATCH($A175,'Recirculation &gt; 24 hrs'!$A$2:$A$150,0)),IFERROR(INDEX('Recirculation &gt; 24 hrs'!$J$2:$J$150,MATCH(SUBSTITUTE($A175," SS","  SS"),'Recirculation &gt; 24 hrs'!$A$2:$A$150,0)),"NA"))</f>
        <v>997</v>
      </c>
      <c r="I175" s="54" t="n">
        <f aca="false" t="array" ref="I175:I175">IFERROR(INDEX('Pending Putaway'!$D$2:$D$255,MATCH($A175,'Pending Putaway'!$A$2:$A$255,0)),IFERROR(INDEX('Pending Putaway'!$D$2:$D$255,MATCH(SUBSTITUTE($A175," SS","  SS"),'Pending Putaway'!$A$2:$A$255,0)),"NA"))</f>
        <v>0</v>
      </c>
      <c r="J175" s="54" t="n">
        <f aca="false" t="array" ref="J175:J175">IFERROR(INDEX('Pending Putaway'!$K$2:$K$255,MATCH($A175,'Pending Putaway'!$A$2:$A$255,0)),IFERROR(INDEX('Pending Putaway'!$K$2:$K$255,MATCH(SUBSTITUTE($A175," SS","  SS"),'Pending Putaway'!$A$2:$A$255,0)),"NA"))</f>
        <v>0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customFormat="false" ht="15.75" hidden="false" customHeight="true" outlineLevel="0" collapsed="false">
      <c r="A176" s="54" t="s">
        <v>209</v>
      </c>
      <c r="B176" s="54" t="str">
        <f aca="false" t="array" ref="B176:B176">IFERROR(INDEX('CLM &amp; IM Mapping'!$B$2:$B$270,MATCH($A176,'CLM &amp; IM Mapping'!$A$2:$A$270,0)),"Not Mapped")</f>
        <v>Narasimhamurthy R</v>
      </c>
      <c r="C176" s="54" t="str">
        <f aca="false" t="array" ref="C176:C176">IFERROR(INDEX('CLM &amp; IM Mapping'!$C$2:$C$270,MATCH($A176,'CLM &amp; IM Mapping'!$A$2:$A$270,0)),"Not Mapped")</f>
        <v>Kishor K</v>
      </c>
      <c r="D176" s="55" t="n">
        <f aca="false" t="array" ref="D176:D176">IFERROR(INDEX(Shrinkage!$O$2:$O$260,MATCH($A176,Shrinkage!$C$2:$C$260,0)),IFERROR(INDEX(Shrinkage!$O$2:$O$260,MATCH(SUBSTITUTE($A176," SS","  SS"),Shrinkage!$C$2:$C$260,0)),"NA"))</f>
        <v>-2281</v>
      </c>
      <c r="E176" s="56" t="n">
        <f aca="false" t="array" ref="E176:E176">IFERROR(INDEX('Inventory Hygiene'!$I$2:$I$252,MATCH($A176,'Inventory Hygiene'!$A$2:$A$252,0)),IFERROR(INDEX('Inventory Hygiene'!$I$2:$I$252,MATCH(SUBSTITUTE($A176," SS","  SS"),'Inventory Hygiene'!$A$2:$A$252,0)),"NA"))</f>
        <v>0.69</v>
      </c>
      <c r="F176" s="54" t="n">
        <f aca="false" t="array" ref="F176:F176">IFERROR(INDEX('Bad Bins'!$J$2:$J$252,MATCH($A176,'Bad Bins'!$A$2:$A$252,0)),IFERROR(INDEX('Bad Bins'!$J$2:$J$252,MATCH(SUBSTITUTE($A176," SS","  SS"),'Bad Bins'!$A$2:$A$252,0)),"NA"))</f>
        <v>50</v>
      </c>
      <c r="G176" s="54" t="str">
        <f aca="false" t="array" ref="G176:G176">IFERROR(INDEX('RSTO &gt; 48hrs'!$G$2:$G$134,MATCH($A176,'RSTO &gt; 48hrs'!$A$2:$A$134,0)),IFERROR(INDEX('RSTO &gt; 48hrs'!$G$2:$G$134,MATCH(SUBSTITUTE($A176," SS","  SS"),'RSTO &gt; 48hrs'!$A$2:$A$134,0)),"NA"))</f>
        <v>NA</v>
      </c>
      <c r="H176" s="54" t="n">
        <f aca="false" t="array" ref="H176:H176">IFERROR(INDEX('Recirculation &gt; 24 hrs'!$J$2:$J$150,MATCH($A176,'Recirculation &gt; 24 hrs'!$A$2:$A$150,0)),IFERROR(INDEX('Recirculation &gt; 24 hrs'!$J$2:$J$150,MATCH(SUBSTITUTE($A176," SS","  SS"),'Recirculation &gt; 24 hrs'!$A$2:$A$150,0)),"NA"))</f>
        <v>18</v>
      </c>
      <c r="I176" s="54" t="n">
        <f aca="false" t="array" ref="I176:I176">IFERROR(INDEX('Pending Putaway'!$D$2:$D$255,MATCH($A176,'Pending Putaway'!$A$2:$A$255,0)),IFERROR(INDEX('Pending Putaway'!$D$2:$D$255,MATCH(SUBSTITUTE($A176," SS","  SS"),'Pending Putaway'!$A$2:$A$255,0)),"NA"))</f>
        <v>3983</v>
      </c>
      <c r="J176" s="54" t="n">
        <f aca="false" t="array" ref="J176:J176">IFERROR(INDEX('Pending Putaway'!$K$2:$K$255,MATCH($A176,'Pending Putaway'!$A$2:$A$255,0)),IFERROR(INDEX('Pending Putaway'!$K$2:$K$255,MATCH(SUBSTITUTE($A176," SS","  SS"),'Pending Putaway'!$A$2:$A$255,0)),"NA"))</f>
        <v>0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customFormat="false" ht="15.75" hidden="false" customHeight="true" outlineLevel="0" collapsed="false">
      <c r="A177" s="54" t="s">
        <v>240</v>
      </c>
      <c r="B177" s="54" t="str">
        <f aca="false" t="array" ref="B177:B177">IFERROR(INDEX('CLM &amp; IM Mapping'!$B$2:$B$270,MATCH($A177,'CLM &amp; IM Mapping'!$A$2:$A$270,0)),"Not Mapped")</f>
        <v>Narasimhamurthy R</v>
      </c>
      <c r="C177" s="54" t="str">
        <f aca="false" t="array" ref="C177:C177">IFERROR(INDEX('CLM &amp; IM Mapping'!$C$2:$C$270,MATCH($A177,'CLM &amp; IM Mapping'!$A$2:$A$270,0)),"Not Mapped")</f>
        <v>Kishor K</v>
      </c>
      <c r="D177" s="55" t="n">
        <f aca="false" t="array" ref="D177:D177">IFERROR(INDEX(Shrinkage!$O$2:$O$260,MATCH($A177,Shrinkage!$C$2:$C$260,0)),IFERROR(INDEX(Shrinkage!$O$2:$O$260,MATCH(SUBSTITUTE($A177," SS","  SS"),Shrinkage!$C$2:$C$260,0)),"NA"))</f>
        <v>-6150</v>
      </c>
      <c r="E177" s="56" t="n">
        <f aca="false" t="array" ref="E177:E177">IFERROR(INDEX('Inventory Hygiene'!$I$2:$I$252,MATCH($A177,'Inventory Hygiene'!$A$2:$A$252,0)),IFERROR(INDEX('Inventory Hygiene'!$I$2:$I$252,MATCH(SUBSTITUTE($A177," SS","  SS"),'Inventory Hygiene'!$A$2:$A$252,0)),"NA"))</f>
        <v>0.4</v>
      </c>
      <c r="F177" s="54" t="n">
        <f aca="false" t="array" ref="F177:F177">IFERROR(INDEX('Bad Bins'!$J$2:$J$252,MATCH($A177,'Bad Bins'!$A$2:$A$252,0)),IFERROR(INDEX('Bad Bins'!$J$2:$J$252,MATCH(SUBSTITUTE($A177," SS","  SS"),'Bad Bins'!$A$2:$A$252,0)),"NA"))</f>
        <v>56</v>
      </c>
      <c r="G177" s="54" t="str">
        <f aca="false" t="array" ref="G177:G177">IFERROR(INDEX('RSTO &gt; 48hrs'!$G$2:$G$134,MATCH($A177,'RSTO &gt; 48hrs'!$A$2:$A$134,0)),IFERROR(INDEX('RSTO &gt; 48hrs'!$G$2:$G$134,MATCH(SUBSTITUTE($A177," SS","  SS"),'RSTO &gt; 48hrs'!$A$2:$A$134,0)),"NA"))</f>
        <v>NA</v>
      </c>
      <c r="H177" s="54" t="n">
        <f aca="false" t="array" ref="H177:H177">IFERROR(INDEX('Recirculation &gt; 24 hrs'!$J$2:$J$150,MATCH($A177,'Recirculation &gt; 24 hrs'!$A$2:$A$150,0)),IFERROR(INDEX('Recirculation &gt; 24 hrs'!$J$2:$J$150,MATCH(SUBSTITUTE($A177," SS","  SS"),'Recirculation &gt; 24 hrs'!$A$2:$A$150,0)),"NA"))</f>
        <v>804</v>
      </c>
      <c r="I177" s="54" t="n">
        <f aca="false" t="array" ref="I177:I177">IFERROR(INDEX('Pending Putaway'!$D$2:$D$255,MATCH($A177,'Pending Putaway'!$A$2:$A$255,0)),IFERROR(INDEX('Pending Putaway'!$D$2:$D$255,MATCH(SUBSTITUTE($A177," SS","  SS"),'Pending Putaway'!$A$2:$A$255,0)),"NA"))</f>
        <v>6070</v>
      </c>
      <c r="J177" s="54" t="n">
        <f aca="false" t="array" ref="J177:J177">IFERROR(INDEX('Pending Putaway'!$K$2:$K$255,MATCH($A177,'Pending Putaway'!$A$2:$A$255,0)),IFERROR(INDEX('Pending Putaway'!$K$2:$K$255,MATCH(SUBSTITUTE($A177," SS","  SS"),'Pending Putaway'!$A$2:$A$255,0)),"NA"))</f>
        <v>0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customFormat="false" ht="15.75" hidden="false" customHeight="true" outlineLevel="0" collapsed="false">
      <c r="A178" s="54" t="s">
        <v>210</v>
      </c>
      <c r="B178" s="54" t="str">
        <f aca="false" t="array" ref="B178:B178">IFERROR(INDEX('CLM &amp; IM Mapping'!$B$2:$B$270,MATCH($A178,'CLM &amp; IM Mapping'!$A$2:$A$270,0)),"Not Mapped")</f>
        <v>Narasimhamurthy R</v>
      </c>
      <c r="C178" s="54" t="str">
        <f aca="false" t="array" ref="C178:C178">IFERROR(INDEX('CLM &amp; IM Mapping'!$C$2:$C$270,MATCH($A178,'CLM &amp; IM Mapping'!$A$2:$A$270,0)),"Not Mapped")</f>
        <v>Kishor K</v>
      </c>
      <c r="D178" s="55" t="n">
        <f aca="false" t="array" ref="D178:D178">IFERROR(INDEX(Shrinkage!$O$2:$O$260,MATCH($A178,Shrinkage!$C$2:$C$260,0)),IFERROR(INDEX(Shrinkage!$O$2:$O$260,MATCH(SUBSTITUTE($A178," SS","  SS"),Shrinkage!$C$2:$C$260,0)),"NA"))</f>
        <v>-2441</v>
      </c>
      <c r="E178" s="56" t="n">
        <f aca="false" t="array" ref="E178:E178">IFERROR(INDEX('Inventory Hygiene'!$I$2:$I$252,MATCH($A178,'Inventory Hygiene'!$A$2:$A$252,0)),IFERROR(INDEX('Inventory Hygiene'!$I$2:$I$252,MATCH(SUBSTITUTE($A178," SS","  SS"),'Inventory Hygiene'!$A$2:$A$252,0)),"NA"))</f>
        <v>0.57</v>
      </c>
      <c r="F178" s="54" t="n">
        <f aca="false" t="array" ref="F178:F178">IFERROR(INDEX('Bad Bins'!$J$2:$J$252,MATCH($A178,'Bad Bins'!$A$2:$A$252,0)),IFERROR(INDEX('Bad Bins'!$J$2:$J$252,MATCH(SUBSTITUTE($A178," SS","  SS"),'Bad Bins'!$A$2:$A$252,0)),"NA"))</f>
        <v>41</v>
      </c>
      <c r="G178" s="54" t="str">
        <f aca="false" t="array" ref="G178:G178">IFERROR(INDEX('RSTO &gt; 48hrs'!$G$2:$G$134,MATCH($A178,'RSTO &gt; 48hrs'!$A$2:$A$134,0)),IFERROR(INDEX('RSTO &gt; 48hrs'!$G$2:$G$134,MATCH(SUBSTITUTE($A178," SS","  SS"),'RSTO &gt; 48hrs'!$A$2:$A$134,0)),"NA"))</f>
        <v>NA</v>
      </c>
      <c r="H178" s="54" t="n">
        <f aca="false" t="array" ref="H178:H178">IFERROR(INDEX('Recirculation &gt; 24 hrs'!$J$2:$J$150,MATCH($A178,'Recirculation &gt; 24 hrs'!$A$2:$A$150,0)),IFERROR(INDEX('Recirculation &gt; 24 hrs'!$J$2:$J$150,MATCH(SUBSTITUTE($A178," SS","  SS"),'Recirculation &gt; 24 hrs'!$A$2:$A$150,0)),"NA"))</f>
        <v>2</v>
      </c>
      <c r="I178" s="54" t="n">
        <f aca="false" t="array" ref="I178:I178">IFERROR(INDEX('Pending Putaway'!$D$2:$D$255,MATCH($A178,'Pending Putaway'!$A$2:$A$255,0)),IFERROR(INDEX('Pending Putaway'!$D$2:$D$255,MATCH(SUBSTITUTE($A178," SS","  SS"),'Pending Putaway'!$A$2:$A$255,0)),"NA"))</f>
        <v>2970</v>
      </c>
      <c r="J178" s="54" t="n">
        <f aca="false" t="array" ref="J178:J178">IFERROR(INDEX('Pending Putaway'!$K$2:$K$255,MATCH($A178,'Pending Putaway'!$A$2:$A$255,0)),IFERROR(INDEX('Pending Putaway'!$K$2:$K$255,MATCH(SUBSTITUTE($A178," SS","  SS"),'Pending Putaway'!$A$2:$A$255,0)),"NA"))</f>
        <v>0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customFormat="false" ht="15.75" hidden="false" customHeight="true" outlineLevel="0" collapsed="false">
      <c r="A179" s="54" t="s">
        <v>88</v>
      </c>
      <c r="B179" s="54" t="str">
        <f aca="false" t="array" ref="B179:B179">IFERROR(INDEX('CLM &amp; IM Mapping'!$B$2:$B$270,MATCH($A179,'CLM &amp; IM Mapping'!$A$2:$A$270,0)),"Not Mapped")</f>
        <v>Richard Harris</v>
      </c>
      <c r="C179" s="54" t="str">
        <f aca="false" t="array" ref="C179:C179">IFERROR(INDEX('CLM &amp; IM Mapping'!$C$2:$C$270,MATCH($A179,'CLM &amp; IM Mapping'!$A$2:$A$270,0)),"Not Mapped")</f>
        <v>Kantha Kumar</v>
      </c>
      <c r="D179" s="55" t="n">
        <f aca="false" t="array" ref="D179:D179">IFERROR(INDEX(Shrinkage!$O$2:$O$260,MATCH($A179,Shrinkage!$C$2:$C$260,0)),IFERROR(INDEX(Shrinkage!$O$2:$O$260,MATCH(SUBSTITUTE($A179," SS","  SS"),Shrinkage!$C$2:$C$260,0)),"NA"))</f>
        <v>27268</v>
      </c>
      <c r="E179" s="56" t="n">
        <f aca="false" t="array" ref="E179:E179">IFERROR(INDEX('Inventory Hygiene'!$I$2:$I$252,MATCH($A179,'Inventory Hygiene'!$A$2:$A$252,0)),IFERROR(INDEX('Inventory Hygiene'!$I$2:$I$252,MATCH(SUBSTITUTE($A179," SS","  SS"),'Inventory Hygiene'!$A$2:$A$252,0)),"NA"))</f>
        <v>0.32</v>
      </c>
      <c r="F179" s="54" t="n">
        <f aca="false" t="array" ref="F179:F179">IFERROR(INDEX('Bad Bins'!$J$2:$J$252,MATCH($A179,'Bad Bins'!$A$2:$A$252,0)),IFERROR(INDEX('Bad Bins'!$J$2:$J$252,MATCH(SUBSTITUTE($A179," SS","  SS"),'Bad Bins'!$A$2:$A$252,0)),"NA"))</f>
        <v>123</v>
      </c>
      <c r="G179" s="54" t="n">
        <f aca="false" t="array" ref="G179:G179">IFERROR(INDEX('RSTO &gt; 48hrs'!$G$2:$G$134,MATCH($A179,'RSTO &gt; 48hrs'!$A$2:$A$134,0)),IFERROR(INDEX('RSTO &gt; 48hrs'!$G$2:$G$134,MATCH(SUBSTITUTE($A179," SS","  SS"),'RSTO &gt; 48hrs'!$A$2:$A$134,0)),"NA"))</f>
        <v>42</v>
      </c>
      <c r="H179" s="54" t="str">
        <f aca="false" t="array" ref="H179:H179">IFERROR(INDEX('Recirculation &gt; 24 hrs'!$J$2:$J$150,MATCH($A179,'Recirculation &gt; 24 hrs'!$A$2:$A$150,0)),IFERROR(INDEX('Recirculation &gt; 24 hrs'!$J$2:$J$150,MATCH(SUBSTITUTE($A179," SS","  SS"),'Recirculation &gt; 24 hrs'!$A$2:$A$150,0)),"NA"))</f>
        <v>NA</v>
      </c>
      <c r="I179" s="54" t="n">
        <f aca="false" t="array" ref="I179:I179">IFERROR(INDEX('Pending Putaway'!$D$2:$D$255,MATCH($A179,'Pending Putaway'!$A$2:$A$255,0)),IFERROR(INDEX('Pending Putaway'!$D$2:$D$255,MATCH(SUBSTITUTE($A179," SS","  SS"),'Pending Putaway'!$A$2:$A$255,0)),"NA"))</f>
        <v>4764</v>
      </c>
      <c r="J179" s="54" t="n">
        <f aca="false" t="array" ref="J179:J179">IFERROR(INDEX('Pending Putaway'!$K$2:$K$255,MATCH($A179,'Pending Putaway'!$A$2:$A$255,0)),IFERROR(INDEX('Pending Putaway'!$K$2:$K$255,MATCH(SUBSTITUTE($A179," SS","  SS"),'Pending Putaway'!$A$2:$A$255,0)),"NA"))</f>
        <v>4476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customFormat="false" ht="15.75" hidden="false" customHeight="true" outlineLevel="0" collapsed="false">
      <c r="A180" s="54" t="s">
        <v>86</v>
      </c>
      <c r="B180" s="54" t="str">
        <f aca="false" t="array" ref="B180:B180">IFERROR(INDEX('CLM &amp; IM Mapping'!$B$2:$B$270,MATCH($A180,'CLM &amp; IM Mapping'!$A$2:$A$270,0)),"Not Mapped")</f>
        <v>Richard Harris</v>
      </c>
      <c r="C180" s="54" t="str">
        <f aca="false" t="array" ref="C180:C180">IFERROR(INDEX('CLM &amp; IM Mapping'!$C$2:$C$270,MATCH($A180,'CLM &amp; IM Mapping'!$A$2:$A$270,0)),"Not Mapped")</f>
        <v>Kantha Kumar</v>
      </c>
      <c r="D180" s="55" t="n">
        <f aca="false" t="array" ref="D180:D180">IFERROR(INDEX(Shrinkage!$O$2:$O$260,MATCH($A180,Shrinkage!$C$2:$C$260,0)),IFERROR(INDEX(Shrinkage!$O$2:$O$260,MATCH(SUBSTITUTE($A180," SS","  SS"),Shrinkage!$C$2:$C$260,0)),"NA"))</f>
        <v>27472</v>
      </c>
      <c r="E180" s="56" t="n">
        <f aca="false" t="array" ref="E180:E180">IFERROR(INDEX('Inventory Hygiene'!$I$2:$I$252,MATCH($A180,'Inventory Hygiene'!$A$2:$A$252,0)),IFERROR(INDEX('Inventory Hygiene'!$I$2:$I$252,MATCH(SUBSTITUTE($A180," SS","  SS"),'Inventory Hygiene'!$A$2:$A$252,0)),"NA"))</f>
        <v>0.22</v>
      </c>
      <c r="F180" s="54" t="n">
        <f aca="false" t="array" ref="F180:F180">IFERROR(INDEX('Bad Bins'!$J$2:$J$252,MATCH($A180,'Bad Bins'!$A$2:$A$252,0)),IFERROR(INDEX('Bad Bins'!$J$2:$J$252,MATCH(SUBSTITUTE($A180," SS","  SS"),'Bad Bins'!$A$2:$A$252,0)),"NA"))</f>
        <v>628</v>
      </c>
      <c r="G180" s="54" t="n">
        <f aca="false" t="array" ref="G180:G180">IFERROR(INDEX('RSTO &gt; 48hrs'!$G$2:$G$134,MATCH($A180,'RSTO &gt; 48hrs'!$A$2:$A$134,0)),IFERROR(INDEX('RSTO &gt; 48hrs'!$G$2:$G$134,MATCH(SUBSTITUTE($A180," SS","  SS"),'RSTO &gt; 48hrs'!$A$2:$A$134,0)),"NA"))</f>
        <v>2</v>
      </c>
      <c r="H180" s="54" t="str">
        <f aca="false" t="array" ref="H180:H180">IFERROR(INDEX('Recirculation &gt; 24 hrs'!$J$2:$J$150,MATCH($A180,'Recirculation &gt; 24 hrs'!$A$2:$A$150,0)),IFERROR(INDEX('Recirculation &gt; 24 hrs'!$J$2:$J$150,MATCH(SUBSTITUTE($A180," SS","  SS"),'Recirculation &gt; 24 hrs'!$A$2:$A$150,0)),"NA"))</f>
        <v>NA</v>
      </c>
      <c r="I180" s="54" t="n">
        <f aca="false" t="array" ref="I180:I180">IFERROR(INDEX('Pending Putaway'!$D$2:$D$255,MATCH($A180,'Pending Putaway'!$A$2:$A$255,0)),IFERROR(INDEX('Pending Putaway'!$D$2:$D$255,MATCH(SUBSTITUTE($A180," SS","  SS"),'Pending Putaway'!$A$2:$A$255,0)),"NA"))</f>
        <v>2924</v>
      </c>
      <c r="J180" s="54" t="n">
        <f aca="false" t="array" ref="J180:J180">IFERROR(INDEX('Pending Putaway'!$K$2:$K$255,MATCH($A180,'Pending Putaway'!$A$2:$A$255,0)),IFERROR(INDEX('Pending Putaway'!$K$2:$K$255,MATCH(SUBSTITUTE($A180," SS","  SS"),'Pending Putaway'!$A$2:$A$255,0)),"NA"))</f>
        <v>23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customFormat="false" ht="15.75" hidden="false" customHeight="true" outlineLevel="0" collapsed="false">
      <c r="A181" s="54" t="s">
        <v>217</v>
      </c>
      <c r="B181" s="54" t="str">
        <f aca="false" t="array" ref="B181:B181">IFERROR(INDEX('CLM &amp; IM Mapping'!$B$2:$B$270,MATCH($A181,'CLM &amp; IM Mapping'!$A$2:$A$270,0)),"Not Mapped")</f>
        <v>Richard Harris</v>
      </c>
      <c r="C181" s="54" t="str">
        <f aca="false" t="array" ref="C181:C181">IFERROR(INDEX('CLM &amp; IM Mapping'!$C$2:$C$270,MATCH($A181,'CLM &amp; IM Mapping'!$A$2:$A$270,0)),"Not Mapped")</f>
        <v>Kantha Kumar</v>
      </c>
      <c r="D181" s="55" t="n">
        <f aca="false" t="array" ref="D181:D181">IFERROR(INDEX(Shrinkage!$O$2:$O$260,MATCH($A181,Shrinkage!$C$2:$C$260,0)),IFERROR(INDEX(Shrinkage!$O$2:$O$260,MATCH(SUBSTITUTE($A181," SS","  SS"),Shrinkage!$C$2:$C$260,0)),"NA"))</f>
        <v>-3323</v>
      </c>
      <c r="E181" s="56" t="n">
        <f aca="false" t="array" ref="E181:E181">IFERROR(INDEX('Inventory Hygiene'!$I$2:$I$252,MATCH($A181,'Inventory Hygiene'!$A$2:$A$252,0)),IFERROR(INDEX('Inventory Hygiene'!$I$2:$I$252,MATCH(SUBSTITUTE($A181," SS","  SS"),'Inventory Hygiene'!$A$2:$A$252,0)),"NA"))</f>
        <v>0.48</v>
      </c>
      <c r="F181" s="54" t="n">
        <f aca="false" t="array" ref="F181:F181">IFERROR(INDEX('Bad Bins'!$J$2:$J$252,MATCH($A181,'Bad Bins'!$A$2:$A$252,0)),IFERROR(INDEX('Bad Bins'!$J$2:$J$252,MATCH(SUBSTITUTE($A181," SS","  SS"),'Bad Bins'!$A$2:$A$252,0)),"NA"))</f>
        <v>141</v>
      </c>
      <c r="G181" s="54" t="n">
        <f aca="false" t="array" ref="G181:G181">IFERROR(INDEX('RSTO &gt; 48hrs'!$G$2:$G$134,MATCH($A181,'RSTO &gt; 48hrs'!$A$2:$A$134,0)),IFERROR(INDEX('RSTO &gt; 48hrs'!$G$2:$G$134,MATCH(SUBSTITUTE($A181," SS","  SS"),'RSTO &gt; 48hrs'!$A$2:$A$134,0)),"NA"))</f>
        <v>9</v>
      </c>
      <c r="H181" s="54" t="str">
        <f aca="false" t="array" ref="H181:H181">IFERROR(INDEX('Recirculation &gt; 24 hrs'!$J$2:$J$150,MATCH($A181,'Recirculation &gt; 24 hrs'!$A$2:$A$150,0)),IFERROR(INDEX('Recirculation &gt; 24 hrs'!$J$2:$J$150,MATCH(SUBSTITUTE($A181," SS","  SS"),'Recirculation &gt; 24 hrs'!$A$2:$A$150,0)),"NA"))</f>
        <v>NA</v>
      </c>
      <c r="I181" s="54" t="n">
        <f aca="false" t="array" ref="I181:I181">IFERROR(INDEX('Pending Putaway'!$D$2:$D$255,MATCH($A181,'Pending Putaway'!$A$2:$A$255,0)),IFERROR(INDEX('Pending Putaway'!$D$2:$D$255,MATCH(SUBSTITUTE($A181," SS","  SS"),'Pending Putaway'!$A$2:$A$255,0)),"NA"))</f>
        <v>3250</v>
      </c>
      <c r="J181" s="54" t="n">
        <f aca="false" t="array" ref="J181:J181">IFERROR(INDEX('Pending Putaway'!$K$2:$K$255,MATCH($A181,'Pending Putaway'!$A$2:$A$255,0)),IFERROR(INDEX('Pending Putaway'!$K$2:$K$255,MATCH(SUBSTITUTE($A181," SS","  SS"),'Pending Putaway'!$A$2:$A$255,0)),"NA"))</f>
        <v>1085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customFormat="false" ht="15.75" hidden="false" customHeight="true" outlineLevel="0" collapsed="false">
      <c r="A182" s="54" t="s">
        <v>34</v>
      </c>
      <c r="B182" s="54" t="str">
        <f aca="false" t="array" ref="B182:B182">IFERROR(INDEX('CLM &amp; IM Mapping'!$B$2:$B$270,MATCH($A182,'CLM &amp; IM Mapping'!$A$2:$A$270,0)),"Not Mapped")</f>
        <v>Richard Harris</v>
      </c>
      <c r="C182" s="54" t="str">
        <f aca="false" t="array" ref="C182:C182">IFERROR(INDEX('CLM &amp; IM Mapping'!$C$2:$C$270,MATCH($A182,'CLM &amp; IM Mapping'!$A$2:$A$270,0)),"Not Mapped")</f>
        <v>Kantha Kumar</v>
      </c>
      <c r="D182" s="55" t="n">
        <f aca="false" t="array" ref="D182:D182">IFERROR(INDEX(Shrinkage!$O$2:$O$260,MATCH($A182,Shrinkage!$C$2:$C$260,0)),IFERROR(INDEX(Shrinkage!$O$2:$O$260,MATCH(SUBSTITUTE($A182," SS","  SS"),Shrinkage!$C$2:$C$260,0)),"NA"))</f>
        <v>57750</v>
      </c>
      <c r="E182" s="56" t="n">
        <f aca="false" t="array" ref="E182:E182">IFERROR(INDEX('Inventory Hygiene'!$I$2:$I$252,MATCH($A182,'Inventory Hygiene'!$A$2:$A$252,0)),IFERROR(INDEX('Inventory Hygiene'!$I$2:$I$252,MATCH(SUBSTITUTE($A182," SS","  SS"),'Inventory Hygiene'!$A$2:$A$252,0)),"NA"))</f>
        <v>0.4</v>
      </c>
      <c r="F182" s="54" t="n">
        <f aca="false" t="array" ref="F182:F182">IFERROR(INDEX('Bad Bins'!$J$2:$J$252,MATCH($A182,'Bad Bins'!$A$2:$A$252,0)),IFERROR(INDEX('Bad Bins'!$J$2:$J$252,MATCH(SUBSTITUTE($A182," SS","  SS"),'Bad Bins'!$A$2:$A$252,0)),"NA"))</f>
        <v>113</v>
      </c>
      <c r="G182" s="54" t="n">
        <f aca="false" t="array" ref="G182:G182">IFERROR(INDEX('RSTO &gt; 48hrs'!$G$2:$G$134,MATCH($A182,'RSTO &gt; 48hrs'!$A$2:$A$134,0)),IFERROR(INDEX('RSTO &gt; 48hrs'!$G$2:$G$134,MATCH(SUBSTITUTE($A182," SS","  SS"),'RSTO &gt; 48hrs'!$A$2:$A$134,0)),"NA"))</f>
        <v>7</v>
      </c>
      <c r="H182" s="54" t="n">
        <f aca="false" t="array" ref="H182:H182">IFERROR(INDEX('Recirculation &gt; 24 hrs'!$J$2:$J$150,MATCH($A182,'Recirculation &gt; 24 hrs'!$A$2:$A$150,0)),IFERROR(INDEX('Recirculation &gt; 24 hrs'!$J$2:$J$150,MATCH(SUBSTITUTE($A182," SS","  SS"),'Recirculation &gt; 24 hrs'!$A$2:$A$150,0)),"NA"))</f>
        <v>21</v>
      </c>
      <c r="I182" s="54" t="n">
        <f aca="false" t="array" ref="I182:I182">IFERROR(INDEX('Pending Putaway'!$D$2:$D$255,MATCH($A182,'Pending Putaway'!$A$2:$A$255,0)),IFERROR(INDEX('Pending Putaway'!$D$2:$D$255,MATCH(SUBSTITUTE($A182," SS","  SS"),'Pending Putaway'!$A$2:$A$255,0)),"NA"))</f>
        <v>4120</v>
      </c>
      <c r="J182" s="54" t="n">
        <f aca="false" t="array" ref="J182:J182">IFERROR(INDEX('Pending Putaway'!$K$2:$K$255,MATCH($A182,'Pending Putaway'!$A$2:$A$255,0)),IFERROR(INDEX('Pending Putaway'!$K$2:$K$255,MATCH(SUBSTITUTE($A182," SS","  SS"),'Pending Putaway'!$A$2:$A$255,0)),"NA"))</f>
        <v>1041</v>
      </c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customFormat="false" ht="15.75" hidden="false" customHeight="true" outlineLevel="0" collapsed="false">
      <c r="A183" s="54" t="s">
        <v>193</v>
      </c>
      <c r="B183" s="54" t="str">
        <f aca="false" t="array" ref="B183:B183">IFERROR(INDEX('CLM &amp; IM Mapping'!$B$2:$B$270,MATCH($A183,'CLM &amp; IM Mapping'!$A$2:$A$270,0)),"Not Mapped")</f>
        <v>Richard Harris</v>
      </c>
      <c r="C183" s="54" t="str">
        <f aca="false" t="array" ref="C183:C183">IFERROR(INDEX('CLM &amp; IM Mapping'!$C$2:$C$270,MATCH($A183,'CLM &amp; IM Mapping'!$A$2:$A$270,0)),"Not Mapped")</f>
        <v>Kantha Kumar</v>
      </c>
      <c r="D183" s="55" t="n">
        <f aca="false" t="array" ref="D183:D183">IFERROR(INDEX(Shrinkage!$O$2:$O$260,MATCH($A183,Shrinkage!$C$2:$C$260,0)),IFERROR(INDEX(Shrinkage!$O$2:$O$260,MATCH(SUBSTITUTE($A183," SS","  SS"),Shrinkage!$C$2:$C$260,0)),"NA"))</f>
        <v>-638</v>
      </c>
      <c r="E183" s="56" t="n">
        <f aca="false" t="array" ref="E183:E183">IFERROR(INDEX('Inventory Hygiene'!$I$2:$I$252,MATCH($A183,'Inventory Hygiene'!$A$2:$A$252,0)),IFERROR(INDEX('Inventory Hygiene'!$I$2:$I$252,MATCH(SUBSTITUTE($A183," SS","  SS"),'Inventory Hygiene'!$A$2:$A$252,0)),"NA"))</f>
        <v>0.39</v>
      </c>
      <c r="F183" s="54" t="n">
        <f aca="false" t="array" ref="F183:F183">IFERROR(INDEX('Bad Bins'!$J$2:$J$252,MATCH($A183,'Bad Bins'!$A$2:$A$252,0)),IFERROR(INDEX('Bad Bins'!$J$2:$J$252,MATCH(SUBSTITUTE($A183," SS","  SS"),'Bad Bins'!$A$2:$A$252,0)),"NA"))</f>
        <v>188</v>
      </c>
      <c r="G183" s="54" t="n">
        <f aca="false" t="array" ref="G183:G183">IFERROR(INDEX('RSTO &gt; 48hrs'!$G$2:$G$134,MATCH($A183,'RSTO &gt; 48hrs'!$A$2:$A$134,0)),IFERROR(INDEX('RSTO &gt; 48hrs'!$G$2:$G$134,MATCH(SUBSTITUTE($A183," SS","  SS"),'RSTO &gt; 48hrs'!$A$2:$A$134,0)),"NA"))</f>
        <v>4</v>
      </c>
      <c r="H183" s="54" t="n">
        <f aca="false" t="array" ref="H183:H183">IFERROR(INDEX('Recirculation &gt; 24 hrs'!$J$2:$J$150,MATCH($A183,'Recirculation &gt; 24 hrs'!$A$2:$A$150,0)),IFERROR(INDEX('Recirculation &gt; 24 hrs'!$J$2:$J$150,MATCH(SUBSTITUTE($A183," SS","  SS"),'Recirculation &gt; 24 hrs'!$A$2:$A$150,0)),"NA"))</f>
        <v>1</v>
      </c>
      <c r="I183" s="54" t="n">
        <f aca="false" t="array" ref="I183:I183">IFERROR(INDEX('Pending Putaway'!$D$2:$D$255,MATCH($A183,'Pending Putaway'!$A$2:$A$255,0)),IFERROR(INDEX('Pending Putaway'!$D$2:$D$255,MATCH(SUBSTITUTE($A183," SS","  SS"),'Pending Putaway'!$A$2:$A$255,0)),"NA"))</f>
        <v>0</v>
      </c>
      <c r="J183" s="54" t="n">
        <f aca="false" t="array" ref="J183:J183">IFERROR(INDEX('Pending Putaway'!$K$2:$K$255,MATCH($A183,'Pending Putaway'!$A$2:$A$255,0)),IFERROR(INDEX('Pending Putaway'!$K$2:$K$255,MATCH(SUBSTITUTE($A183," SS","  SS"),'Pending Putaway'!$A$2:$A$255,0)),"NA"))</f>
        <v>0</v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customFormat="false" ht="15.75" hidden="false" customHeight="true" outlineLevel="0" collapsed="false">
      <c r="A184" s="54" t="s">
        <v>79</v>
      </c>
      <c r="B184" s="54" t="str">
        <f aca="false" t="array" ref="B184:B184">IFERROR(INDEX('CLM &amp; IM Mapping'!$B$2:$B$270,MATCH($A184,'CLM &amp; IM Mapping'!$A$2:$A$270,0)),"Not Mapped")</f>
        <v>Ashwath S</v>
      </c>
      <c r="C184" s="54" t="str">
        <f aca="false" t="array" ref="C184:C184">IFERROR(INDEX('CLM &amp; IM Mapping'!$C$2:$C$270,MATCH($A184,'CLM &amp; IM Mapping'!$A$2:$A$270,0)),"Not Mapped")</f>
        <v>Kantha Kumar</v>
      </c>
      <c r="D184" s="55" t="n">
        <f aca="false" t="array" ref="D184:D184">IFERROR(INDEX(Shrinkage!$O$2:$O$260,MATCH($A184,Shrinkage!$C$2:$C$260,0)),IFERROR(INDEX(Shrinkage!$O$2:$O$260,MATCH(SUBSTITUTE($A184," SS","  SS"),Shrinkage!$C$2:$C$260,0)),"NA"))</f>
        <v>29752</v>
      </c>
      <c r="E184" s="56" t="n">
        <f aca="false" t="array" ref="E184:E184">IFERROR(INDEX('Inventory Hygiene'!$I$2:$I$252,MATCH($A184,'Inventory Hygiene'!$A$2:$A$252,0)),IFERROR(INDEX('Inventory Hygiene'!$I$2:$I$252,MATCH(SUBSTITUTE($A184," SS","  SS"),'Inventory Hygiene'!$A$2:$A$252,0)),"NA"))</f>
        <v>0.34</v>
      </c>
      <c r="F184" s="54" t="n">
        <f aca="false" t="array" ref="F184:F184">IFERROR(INDEX('Bad Bins'!$J$2:$J$252,MATCH($A184,'Bad Bins'!$A$2:$A$252,0)),IFERROR(INDEX('Bad Bins'!$J$2:$J$252,MATCH(SUBSTITUTE($A184," SS","  SS"),'Bad Bins'!$A$2:$A$252,0)),"NA"))</f>
        <v>73</v>
      </c>
      <c r="G184" s="54" t="n">
        <f aca="false" t="array" ref="G184:G184">IFERROR(INDEX('RSTO &gt; 48hrs'!$G$2:$G$134,MATCH($A184,'RSTO &gt; 48hrs'!$A$2:$A$134,0)),IFERROR(INDEX('RSTO &gt; 48hrs'!$G$2:$G$134,MATCH(SUBSTITUTE($A184," SS","  SS"),'RSTO &gt; 48hrs'!$A$2:$A$134,0)),"NA"))</f>
        <v>14</v>
      </c>
      <c r="H184" s="54" t="n">
        <f aca="false" t="array" ref="H184:H184">IFERROR(INDEX('Recirculation &gt; 24 hrs'!$J$2:$J$150,MATCH($A184,'Recirculation &gt; 24 hrs'!$A$2:$A$150,0)),IFERROR(INDEX('Recirculation &gt; 24 hrs'!$J$2:$J$150,MATCH(SUBSTITUTE($A184," SS","  SS"),'Recirculation &gt; 24 hrs'!$A$2:$A$150,0)),"NA"))</f>
        <v>19</v>
      </c>
      <c r="I184" s="54" t="n">
        <f aca="false" t="array" ref="I184:I184">IFERROR(INDEX('Pending Putaway'!$D$2:$D$255,MATCH($A184,'Pending Putaway'!$A$2:$A$255,0)),IFERROR(INDEX('Pending Putaway'!$D$2:$D$255,MATCH(SUBSTITUTE($A184," SS","  SS"),'Pending Putaway'!$A$2:$A$255,0)),"NA"))</f>
        <v>207</v>
      </c>
      <c r="J184" s="54" t="n">
        <f aca="false" t="array" ref="J184:J184">IFERROR(INDEX('Pending Putaway'!$K$2:$K$255,MATCH($A184,'Pending Putaway'!$A$2:$A$255,0)),IFERROR(INDEX('Pending Putaway'!$K$2:$K$255,MATCH(SUBSTITUTE($A184," SS","  SS"),'Pending Putaway'!$A$2:$A$255,0)),"NA"))</f>
        <v>1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customFormat="false" ht="15.75" hidden="false" customHeight="true" outlineLevel="0" collapsed="false">
      <c r="A185" s="54" t="s">
        <v>76</v>
      </c>
      <c r="B185" s="54" t="str">
        <f aca="false" t="array" ref="B185:B185">IFERROR(INDEX('CLM &amp; IM Mapping'!$B$2:$B$270,MATCH($A185,'CLM &amp; IM Mapping'!$A$2:$A$270,0)),"Not Mapped")</f>
        <v>Ashwath S</v>
      </c>
      <c r="C185" s="54" t="str">
        <f aca="false" t="array" ref="C185:C185">IFERROR(INDEX('CLM &amp; IM Mapping'!$C$2:$C$270,MATCH($A185,'CLM &amp; IM Mapping'!$A$2:$A$270,0)),"Not Mapped")</f>
        <v>Kantha Kumar</v>
      </c>
      <c r="D185" s="55" t="n">
        <f aca="false" t="array" ref="D185:D185">IFERROR(INDEX(Shrinkage!$O$2:$O$260,MATCH($A185,Shrinkage!$C$2:$C$260,0)),IFERROR(INDEX(Shrinkage!$O$2:$O$260,MATCH(SUBSTITUTE($A185," SS","  SS"),Shrinkage!$C$2:$C$260,0)),"NA"))</f>
        <v>30401</v>
      </c>
      <c r="E185" s="56" t="n">
        <f aca="false" t="array" ref="E185:E185">IFERROR(INDEX('Inventory Hygiene'!$I$2:$I$252,MATCH($A185,'Inventory Hygiene'!$A$2:$A$252,0)),IFERROR(INDEX('Inventory Hygiene'!$I$2:$I$252,MATCH(SUBSTITUTE($A185," SS","  SS"),'Inventory Hygiene'!$A$2:$A$252,0)),"NA"))</f>
        <v>0.73</v>
      </c>
      <c r="F185" s="54" t="n">
        <f aca="false" t="array" ref="F185:F185">IFERROR(INDEX('Bad Bins'!$J$2:$J$252,MATCH($A185,'Bad Bins'!$A$2:$A$252,0)),IFERROR(INDEX('Bad Bins'!$J$2:$J$252,MATCH(SUBSTITUTE($A185," SS","  SS"),'Bad Bins'!$A$2:$A$252,0)),"NA"))</f>
        <v>218</v>
      </c>
      <c r="G185" s="54" t="n">
        <f aca="false" t="array" ref="G185:G185">IFERROR(INDEX('RSTO &gt; 48hrs'!$G$2:$G$134,MATCH($A185,'RSTO &gt; 48hrs'!$A$2:$A$134,0)),IFERROR(INDEX('RSTO &gt; 48hrs'!$G$2:$G$134,MATCH(SUBSTITUTE($A185," SS","  SS"),'RSTO &gt; 48hrs'!$A$2:$A$134,0)),"NA"))</f>
        <v>52</v>
      </c>
      <c r="H185" s="54" t="str">
        <f aca="false" t="array" ref="H185:H185">IFERROR(INDEX('Recirculation &gt; 24 hrs'!$J$2:$J$150,MATCH($A185,'Recirculation &gt; 24 hrs'!$A$2:$A$150,0)),IFERROR(INDEX('Recirculation &gt; 24 hrs'!$J$2:$J$150,MATCH(SUBSTITUTE($A185," SS","  SS"),'Recirculation &gt; 24 hrs'!$A$2:$A$150,0)),"NA"))</f>
        <v>NA</v>
      </c>
      <c r="I185" s="54" t="n">
        <f aca="false" t="array" ref="I185:I185">IFERROR(INDEX('Pending Putaway'!$D$2:$D$255,MATCH($A185,'Pending Putaway'!$A$2:$A$255,0)),IFERROR(INDEX('Pending Putaway'!$D$2:$D$255,MATCH(SUBSTITUTE($A185," SS","  SS"),'Pending Putaway'!$A$2:$A$255,0)),"NA"))</f>
        <v>1541</v>
      </c>
      <c r="J185" s="54" t="n">
        <f aca="false" t="array" ref="J185:J185">IFERROR(INDEX('Pending Putaway'!$K$2:$K$255,MATCH($A185,'Pending Putaway'!$A$2:$A$255,0)),IFERROR(INDEX('Pending Putaway'!$K$2:$K$255,MATCH(SUBSTITUTE($A185," SS","  SS"),'Pending Putaway'!$A$2:$A$255,0)),"NA"))</f>
        <v>1541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customFormat="false" ht="15.75" hidden="false" customHeight="true" outlineLevel="0" collapsed="false">
      <c r="A186" s="54" t="s">
        <v>180</v>
      </c>
      <c r="B186" s="54" t="str">
        <f aca="false" t="array" ref="B186:B186">IFERROR(INDEX('CLM &amp; IM Mapping'!$B$2:$B$270,MATCH($A186,'CLM &amp; IM Mapping'!$A$2:$A$270,0)),"Not Mapped")</f>
        <v>Ashwath S</v>
      </c>
      <c r="C186" s="54" t="str">
        <f aca="false" t="array" ref="C186:C186">IFERROR(INDEX('CLM &amp; IM Mapping'!$C$2:$C$270,MATCH($A186,'CLM &amp; IM Mapping'!$A$2:$A$270,0)),"Not Mapped")</f>
        <v>Kantha Kumar</v>
      </c>
      <c r="D186" s="55" t="n">
        <f aca="false" t="array" ref="D186:D186">IFERROR(INDEX(Shrinkage!$O$2:$O$260,MATCH($A186,Shrinkage!$C$2:$C$260,0)),IFERROR(INDEX(Shrinkage!$O$2:$O$260,MATCH(SUBSTITUTE($A186," SS","  SS"),Shrinkage!$C$2:$C$260,0)),"NA"))</f>
        <v>166</v>
      </c>
      <c r="E186" s="56" t="n">
        <f aca="false" t="array" ref="E186:E186">IFERROR(INDEX('Inventory Hygiene'!$I$2:$I$252,MATCH($A186,'Inventory Hygiene'!$A$2:$A$252,0)),IFERROR(INDEX('Inventory Hygiene'!$I$2:$I$252,MATCH(SUBSTITUTE($A186," SS","  SS"),'Inventory Hygiene'!$A$2:$A$252,0)),"NA"))</f>
        <v>0.48</v>
      </c>
      <c r="F186" s="54" t="n">
        <f aca="false" t="array" ref="F186:F186">IFERROR(INDEX('Bad Bins'!$J$2:$J$252,MATCH($A186,'Bad Bins'!$A$2:$A$252,0)),IFERROR(INDEX('Bad Bins'!$J$2:$J$252,MATCH(SUBSTITUTE($A186," SS","  SS"),'Bad Bins'!$A$2:$A$252,0)),"NA"))</f>
        <v>154</v>
      </c>
      <c r="G186" s="54" t="str">
        <f aca="false" t="array" ref="G186:G186">IFERROR(INDEX('RSTO &gt; 48hrs'!$G$2:$G$134,MATCH($A186,'RSTO &gt; 48hrs'!$A$2:$A$134,0)),IFERROR(INDEX('RSTO &gt; 48hrs'!$G$2:$G$134,MATCH(SUBSTITUTE($A186," SS","  SS"),'RSTO &gt; 48hrs'!$A$2:$A$134,0)),"NA"))</f>
        <v>NA</v>
      </c>
      <c r="H186" s="54" t="str">
        <f aca="false" t="array" ref="H186:H186">IFERROR(INDEX('Recirculation &gt; 24 hrs'!$J$2:$J$150,MATCH($A186,'Recirculation &gt; 24 hrs'!$A$2:$A$150,0)),IFERROR(INDEX('Recirculation &gt; 24 hrs'!$J$2:$J$150,MATCH(SUBSTITUTE($A186," SS","  SS"),'Recirculation &gt; 24 hrs'!$A$2:$A$150,0)),"NA"))</f>
        <v>NA</v>
      </c>
      <c r="I186" s="54" t="n">
        <f aca="false" t="array" ref="I186:I186">IFERROR(INDEX('Pending Putaway'!$D$2:$D$255,MATCH($A186,'Pending Putaway'!$A$2:$A$255,0)),IFERROR(INDEX('Pending Putaway'!$D$2:$D$255,MATCH(SUBSTITUTE($A186," SS","  SS"),'Pending Putaway'!$A$2:$A$255,0)),"NA"))</f>
        <v>0</v>
      </c>
      <c r="J186" s="54" t="n">
        <f aca="false" t="array" ref="J186:J186">IFERROR(INDEX('Pending Putaway'!$K$2:$K$255,MATCH($A186,'Pending Putaway'!$A$2:$A$255,0)),IFERROR(INDEX('Pending Putaway'!$K$2:$K$255,MATCH(SUBSTITUTE($A186," SS","  SS"),'Pending Putaway'!$A$2:$A$255,0)),"NA"))</f>
        <v>0</v>
      </c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customFormat="false" ht="15.75" hidden="false" customHeight="true" outlineLevel="0" collapsed="false">
      <c r="A187" s="54" t="s">
        <v>149</v>
      </c>
      <c r="B187" s="54" t="str">
        <f aca="false" t="array" ref="B187:B187">IFERROR(INDEX('CLM &amp; IM Mapping'!$B$2:$B$270,MATCH($A187,'CLM &amp; IM Mapping'!$A$2:$A$270,0)),"Not Mapped")</f>
        <v>Ashwath S</v>
      </c>
      <c r="C187" s="54" t="str">
        <f aca="false" t="array" ref="C187:C187">IFERROR(INDEX('CLM &amp; IM Mapping'!$C$2:$C$270,MATCH($A187,'CLM &amp; IM Mapping'!$A$2:$A$270,0)),"Not Mapped")</f>
        <v>Kantha Kumar</v>
      </c>
      <c r="D187" s="55" t="n">
        <f aca="false" t="array" ref="D187:D187">IFERROR(INDEX(Shrinkage!$O$2:$O$260,MATCH($A187,Shrinkage!$C$2:$C$260,0)),IFERROR(INDEX(Shrinkage!$O$2:$O$260,MATCH(SUBSTITUTE($A187," SS","  SS"),Shrinkage!$C$2:$C$260,0)),"NA"))</f>
        <v>4921</v>
      </c>
      <c r="E187" s="56" t="n">
        <f aca="false" t="array" ref="E187:E187">IFERROR(INDEX('Inventory Hygiene'!$I$2:$I$252,MATCH($A187,'Inventory Hygiene'!$A$2:$A$252,0)),IFERROR(INDEX('Inventory Hygiene'!$I$2:$I$252,MATCH(SUBSTITUTE($A187," SS","  SS"),'Inventory Hygiene'!$A$2:$A$252,0)),"NA"))</f>
        <v>0.88</v>
      </c>
      <c r="F187" s="54" t="n">
        <f aca="false" t="array" ref="F187:F187">IFERROR(INDEX('Bad Bins'!$J$2:$J$252,MATCH($A187,'Bad Bins'!$A$2:$A$252,0)),IFERROR(INDEX('Bad Bins'!$J$2:$J$252,MATCH(SUBSTITUTE($A187," SS","  SS"),'Bad Bins'!$A$2:$A$252,0)),"NA"))</f>
        <v>136</v>
      </c>
      <c r="G187" s="54" t="str">
        <f aca="false" t="array" ref="G187:G187">IFERROR(INDEX('RSTO &gt; 48hrs'!$G$2:$G$134,MATCH($A187,'RSTO &gt; 48hrs'!$A$2:$A$134,0)),IFERROR(INDEX('RSTO &gt; 48hrs'!$G$2:$G$134,MATCH(SUBSTITUTE($A187," SS","  SS"),'RSTO &gt; 48hrs'!$A$2:$A$134,0)),"NA"))</f>
        <v>NA</v>
      </c>
      <c r="H187" s="54" t="str">
        <f aca="false" t="array" ref="H187:H187">IFERROR(INDEX('Recirculation &gt; 24 hrs'!$J$2:$J$150,MATCH($A187,'Recirculation &gt; 24 hrs'!$A$2:$A$150,0)),IFERROR(INDEX('Recirculation &gt; 24 hrs'!$J$2:$J$150,MATCH(SUBSTITUTE($A187," SS","  SS"),'Recirculation &gt; 24 hrs'!$A$2:$A$150,0)),"NA"))</f>
        <v>NA</v>
      </c>
      <c r="I187" s="54" t="n">
        <f aca="false" t="array" ref="I187:I187">IFERROR(INDEX('Pending Putaway'!$D$2:$D$255,MATCH($A187,'Pending Putaway'!$A$2:$A$255,0)),IFERROR(INDEX('Pending Putaway'!$D$2:$D$255,MATCH(SUBSTITUTE($A187," SS","  SS"),'Pending Putaway'!$A$2:$A$255,0)),"NA"))</f>
        <v>0</v>
      </c>
      <c r="J187" s="54" t="n">
        <f aca="false" t="array" ref="J187:J187">IFERROR(INDEX('Pending Putaway'!$K$2:$K$255,MATCH($A187,'Pending Putaway'!$A$2:$A$255,0)),IFERROR(INDEX('Pending Putaway'!$K$2:$K$255,MATCH(SUBSTITUTE($A187," SS","  SS"),'Pending Putaway'!$A$2:$A$255,0)),"NA"))</f>
        <v>0</v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customFormat="false" ht="15.75" hidden="false" customHeight="true" outlineLevel="0" collapsed="false">
      <c r="A188" s="54" t="s">
        <v>102</v>
      </c>
      <c r="B188" s="54" t="str">
        <f aca="false" t="array" ref="B188:B188">IFERROR(INDEX('CLM &amp; IM Mapping'!$B$2:$B$270,MATCH($A188,'CLM &amp; IM Mapping'!$A$2:$A$270,0)),"Not Mapped")</f>
        <v>Ashwath S</v>
      </c>
      <c r="C188" s="54" t="str">
        <f aca="false" t="array" ref="C188:C188">IFERROR(INDEX('CLM &amp; IM Mapping'!$C$2:$C$270,MATCH($A188,'CLM &amp; IM Mapping'!$A$2:$A$270,0)),"Not Mapped")</f>
        <v>Kantha Kumar</v>
      </c>
      <c r="D188" s="55" t="n">
        <f aca="false" t="array" ref="D188:D188">IFERROR(INDEX(Shrinkage!$O$2:$O$260,MATCH($A188,Shrinkage!$C$2:$C$260,0)),IFERROR(INDEX(Shrinkage!$O$2:$O$260,MATCH(SUBSTITUTE($A188," SS","  SS"),Shrinkage!$C$2:$C$260,0)),"NA"))</f>
        <v>19518</v>
      </c>
      <c r="E188" s="56" t="n">
        <f aca="false" t="array" ref="E188:E188">IFERROR(INDEX('Inventory Hygiene'!$I$2:$I$252,MATCH($A188,'Inventory Hygiene'!$A$2:$A$252,0)),IFERROR(INDEX('Inventory Hygiene'!$I$2:$I$252,MATCH(SUBSTITUTE($A188," SS","  SS"),'Inventory Hygiene'!$A$2:$A$252,0)),"NA"))</f>
        <v>0.37</v>
      </c>
      <c r="F188" s="54" t="n">
        <f aca="false" t="array" ref="F188:F188">IFERROR(INDEX('Bad Bins'!$J$2:$J$252,MATCH($A188,'Bad Bins'!$A$2:$A$252,0)),IFERROR(INDEX('Bad Bins'!$J$2:$J$252,MATCH(SUBSTITUTE($A188," SS","  SS"),'Bad Bins'!$A$2:$A$252,0)),"NA"))</f>
        <v>324</v>
      </c>
      <c r="G188" s="54" t="n">
        <f aca="false" t="array" ref="G188:G188">IFERROR(INDEX('RSTO &gt; 48hrs'!$G$2:$G$134,MATCH($A188,'RSTO &gt; 48hrs'!$A$2:$A$134,0)),IFERROR(INDEX('RSTO &gt; 48hrs'!$G$2:$G$134,MATCH(SUBSTITUTE($A188," SS","  SS"),'RSTO &gt; 48hrs'!$A$2:$A$134,0)),"NA"))</f>
        <v>61</v>
      </c>
      <c r="H188" s="54" t="str">
        <f aca="false" t="array" ref="H188:H188">IFERROR(INDEX('Recirculation &gt; 24 hrs'!$J$2:$J$150,MATCH($A188,'Recirculation &gt; 24 hrs'!$A$2:$A$150,0)),IFERROR(INDEX('Recirculation &gt; 24 hrs'!$J$2:$J$150,MATCH(SUBSTITUTE($A188," SS","  SS"),'Recirculation &gt; 24 hrs'!$A$2:$A$150,0)),"NA"))</f>
        <v>NA</v>
      </c>
      <c r="I188" s="54" t="n">
        <f aca="false" t="array" ref="I188:I188">IFERROR(INDEX('Pending Putaway'!$D$2:$D$255,MATCH($A188,'Pending Putaway'!$A$2:$A$255,0)),IFERROR(INDEX('Pending Putaway'!$D$2:$D$255,MATCH(SUBSTITUTE($A188," SS","  SS"),'Pending Putaway'!$A$2:$A$255,0)),"NA"))</f>
        <v>1900</v>
      </c>
      <c r="J188" s="54" t="n">
        <f aca="false" t="array" ref="J188:J188">IFERROR(INDEX('Pending Putaway'!$K$2:$K$255,MATCH($A188,'Pending Putaway'!$A$2:$A$255,0)),IFERROR(INDEX('Pending Putaway'!$K$2:$K$255,MATCH(SUBSTITUTE($A188," SS","  SS"),'Pending Putaway'!$A$2:$A$255,0)),"NA"))</f>
        <v>1900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customFormat="false" ht="15.75" hidden="false" customHeight="true" outlineLevel="0" collapsed="false">
      <c r="A189" s="54" t="s">
        <v>73</v>
      </c>
      <c r="B189" s="54" t="str">
        <f aca="false" t="array" ref="B189:B189">IFERROR(INDEX('CLM &amp; IM Mapping'!$B$2:$B$270,MATCH($A189,'CLM &amp; IM Mapping'!$A$2:$A$270,0)),"Not Mapped")</f>
        <v>Ashwath S</v>
      </c>
      <c r="C189" s="54" t="str">
        <f aca="false" t="array" ref="C189:C189">IFERROR(INDEX('CLM &amp; IM Mapping'!$C$2:$C$270,MATCH($A189,'CLM &amp; IM Mapping'!$A$2:$A$270,0)),"Not Mapped")</f>
        <v>Kantha Kumar</v>
      </c>
      <c r="D189" s="55" t="n">
        <f aca="false" t="array" ref="D189:D189">IFERROR(INDEX(Shrinkage!$O$2:$O$260,MATCH($A189,Shrinkage!$C$2:$C$260,0)),IFERROR(INDEX(Shrinkage!$O$2:$O$260,MATCH(SUBSTITUTE($A189," SS","  SS"),Shrinkage!$C$2:$C$260,0)),"NA"))</f>
        <v>32557</v>
      </c>
      <c r="E189" s="56" t="n">
        <f aca="false" t="array" ref="E189:E189">IFERROR(INDEX('Inventory Hygiene'!$I$2:$I$252,MATCH($A189,'Inventory Hygiene'!$A$2:$A$252,0)),IFERROR(INDEX('Inventory Hygiene'!$I$2:$I$252,MATCH(SUBSTITUTE($A189," SS","  SS"),'Inventory Hygiene'!$A$2:$A$252,0)),"NA"))</f>
        <v>0.37</v>
      </c>
      <c r="F189" s="54" t="n">
        <f aca="false" t="array" ref="F189:F189">IFERROR(INDEX('Bad Bins'!$J$2:$J$252,MATCH($A189,'Bad Bins'!$A$2:$A$252,0)),IFERROR(INDEX('Bad Bins'!$J$2:$J$252,MATCH(SUBSTITUTE($A189," SS","  SS"),'Bad Bins'!$A$2:$A$252,0)),"NA"))</f>
        <v>282</v>
      </c>
      <c r="G189" s="54" t="n">
        <f aca="false" t="array" ref="G189:G189">IFERROR(INDEX('RSTO &gt; 48hrs'!$G$2:$G$134,MATCH($A189,'RSTO &gt; 48hrs'!$A$2:$A$134,0)),IFERROR(INDEX('RSTO &gt; 48hrs'!$G$2:$G$134,MATCH(SUBSTITUTE($A189," SS","  SS"),'RSTO &gt; 48hrs'!$A$2:$A$134,0)),"NA"))</f>
        <v>7</v>
      </c>
      <c r="H189" s="54" t="n">
        <f aca="false" t="array" ref="H189:H189">IFERROR(INDEX('Recirculation &gt; 24 hrs'!$J$2:$J$150,MATCH($A189,'Recirculation &gt; 24 hrs'!$A$2:$A$150,0)),IFERROR(INDEX('Recirculation &gt; 24 hrs'!$J$2:$J$150,MATCH(SUBSTITUTE($A189," SS","  SS"),'Recirculation &gt; 24 hrs'!$A$2:$A$150,0)),"NA"))</f>
        <v>277</v>
      </c>
      <c r="I189" s="54" t="n">
        <f aca="false" t="array" ref="I189:I189">IFERROR(INDEX('Pending Putaway'!$D$2:$D$255,MATCH($A189,'Pending Putaway'!$A$2:$A$255,0)),IFERROR(INDEX('Pending Putaway'!$D$2:$D$255,MATCH(SUBSTITUTE($A189," SS","  SS"),'Pending Putaway'!$A$2:$A$255,0)),"NA"))</f>
        <v>1262</v>
      </c>
      <c r="J189" s="54" t="n">
        <f aca="false" t="array" ref="J189:J189">IFERROR(INDEX('Pending Putaway'!$K$2:$K$255,MATCH($A189,'Pending Putaway'!$A$2:$A$255,0)),IFERROR(INDEX('Pending Putaway'!$K$2:$K$255,MATCH(SUBSTITUTE($A189," SS","  SS"),'Pending Putaway'!$A$2:$A$255,0)),"NA"))</f>
        <v>1262</v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customFormat="false" ht="15.75" hidden="false" customHeight="true" outlineLevel="0" collapsed="false">
      <c r="A190" s="54" t="s">
        <v>161</v>
      </c>
      <c r="B190" s="54" t="str">
        <f aca="false" t="array" ref="B190:B190">IFERROR(INDEX('CLM &amp; IM Mapping'!$B$2:$B$270,MATCH($A190,'CLM &amp; IM Mapping'!$A$2:$A$270,0)),"Not Mapped")</f>
        <v>Ashwath S</v>
      </c>
      <c r="C190" s="54" t="str">
        <f aca="false" t="array" ref="C190:C190">IFERROR(INDEX('CLM &amp; IM Mapping'!$C$2:$C$270,MATCH($A190,'CLM &amp; IM Mapping'!$A$2:$A$270,0)),"Not Mapped")</f>
        <v>Kantha Kumar</v>
      </c>
      <c r="D190" s="55" t="n">
        <f aca="false" t="array" ref="D190:D190">IFERROR(INDEX(Shrinkage!$O$2:$O$260,MATCH($A190,Shrinkage!$C$2:$C$260,0)),IFERROR(INDEX(Shrinkage!$O$2:$O$260,MATCH(SUBSTITUTE($A190," SS","  SS"),Shrinkage!$C$2:$C$260,0)),"NA"))</f>
        <v>2770</v>
      </c>
      <c r="E190" s="56" t="n">
        <f aca="false" t="array" ref="E190:E190">IFERROR(INDEX('Inventory Hygiene'!$I$2:$I$252,MATCH($A190,'Inventory Hygiene'!$A$2:$A$252,0)),IFERROR(INDEX('Inventory Hygiene'!$I$2:$I$252,MATCH(SUBSTITUTE($A190," SS","  SS"),'Inventory Hygiene'!$A$2:$A$252,0)),"NA"))</f>
        <v>0.72</v>
      </c>
      <c r="F190" s="54" t="n">
        <f aca="false" t="array" ref="F190:F190">IFERROR(INDEX('Bad Bins'!$J$2:$J$252,MATCH($A190,'Bad Bins'!$A$2:$A$252,0)),IFERROR(INDEX('Bad Bins'!$J$2:$J$252,MATCH(SUBSTITUTE($A190," SS","  SS"),'Bad Bins'!$A$2:$A$252,0)),"NA"))</f>
        <v>50</v>
      </c>
      <c r="G190" s="54" t="str">
        <f aca="false" t="array" ref="G190:G190">IFERROR(INDEX('RSTO &gt; 48hrs'!$G$2:$G$134,MATCH($A190,'RSTO &gt; 48hrs'!$A$2:$A$134,0)),IFERROR(INDEX('RSTO &gt; 48hrs'!$G$2:$G$134,MATCH(SUBSTITUTE($A190," SS","  SS"),'RSTO &gt; 48hrs'!$A$2:$A$134,0)),"NA"))</f>
        <v>NA</v>
      </c>
      <c r="H190" s="54" t="str">
        <f aca="false" t="array" ref="H190:H190">IFERROR(INDEX('Recirculation &gt; 24 hrs'!$J$2:$J$150,MATCH($A190,'Recirculation &gt; 24 hrs'!$A$2:$A$150,0)),IFERROR(INDEX('Recirculation &gt; 24 hrs'!$J$2:$J$150,MATCH(SUBSTITUTE($A190," SS","  SS"),'Recirculation &gt; 24 hrs'!$A$2:$A$150,0)),"NA"))</f>
        <v>NA</v>
      </c>
      <c r="I190" s="54" t="n">
        <f aca="false" t="array" ref="I190:I190">IFERROR(INDEX('Pending Putaway'!$D$2:$D$255,MATCH($A190,'Pending Putaway'!$A$2:$A$255,0)),IFERROR(INDEX('Pending Putaway'!$D$2:$D$255,MATCH(SUBSTITUTE($A190," SS","  SS"),'Pending Putaway'!$A$2:$A$255,0)),"NA"))</f>
        <v>0</v>
      </c>
      <c r="J190" s="54" t="n">
        <f aca="false" t="array" ref="J190:J190">IFERROR(INDEX('Pending Putaway'!$K$2:$K$255,MATCH($A190,'Pending Putaway'!$A$2:$A$255,0)),IFERROR(INDEX('Pending Putaway'!$K$2:$K$255,MATCH(SUBSTITUTE($A190," SS","  SS"),'Pending Putaway'!$A$2:$A$255,0)),"NA"))</f>
        <v>0</v>
      </c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customFormat="false" ht="15.75" hidden="false" customHeight="true" outlineLevel="0" collapsed="false">
      <c r="A191" s="54" t="s">
        <v>156</v>
      </c>
      <c r="B191" s="54" t="str">
        <f aca="false" t="array" ref="B191:B191">IFERROR(INDEX('CLM &amp; IM Mapping'!$B$2:$B$270,MATCH($A191,'CLM &amp; IM Mapping'!$A$2:$A$270,0)),"Not Mapped")</f>
        <v>Ashwath S</v>
      </c>
      <c r="C191" s="54" t="str">
        <f aca="false" t="array" ref="C191:C191">IFERROR(INDEX('CLM &amp; IM Mapping'!$C$2:$C$270,MATCH($A191,'CLM &amp; IM Mapping'!$A$2:$A$270,0)),"Not Mapped")</f>
        <v>Kantha Kumar</v>
      </c>
      <c r="D191" s="55" t="n">
        <f aca="false" t="array" ref="D191:D191">IFERROR(INDEX(Shrinkage!$O$2:$O$260,MATCH($A191,Shrinkage!$C$2:$C$260,0)),IFERROR(INDEX(Shrinkage!$O$2:$O$260,MATCH(SUBSTITUTE($A191," SS","  SS"),Shrinkage!$C$2:$C$260,0)),"NA"))</f>
        <v>3992</v>
      </c>
      <c r="E191" s="56" t="n">
        <f aca="false" t="array" ref="E191:E191">IFERROR(INDEX('Inventory Hygiene'!$I$2:$I$252,MATCH($A191,'Inventory Hygiene'!$A$2:$A$252,0)),IFERROR(INDEX('Inventory Hygiene'!$I$2:$I$252,MATCH(SUBSTITUTE($A191," SS","  SS"),'Inventory Hygiene'!$A$2:$A$252,0)),"NA"))</f>
        <v>0.82</v>
      </c>
      <c r="F191" s="54" t="n">
        <f aca="false" t="array" ref="F191:F191">IFERROR(INDEX('Bad Bins'!$J$2:$J$252,MATCH($A191,'Bad Bins'!$A$2:$A$252,0)),IFERROR(INDEX('Bad Bins'!$J$2:$J$252,MATCH(SUBSTITUTE($A191," SS","  SS"),'Bad Bins'!$A$2:$A$252,0)),"NA"))</f>
        <v>154</v>
      </c>
      <c r="G191" s="54" t="str">
        <f aca="false" t="array" ref="G191:G191">IFERROR(INDEX('RSTO &gt; 48hrs'!$G$2:$G$134,MATCH($A191,'RSTO &gt; 48hrs'!$A$2:$A$134,0)),IFERROR(INDEX('RSTO &gt; 48hrs'!$G$2:$G$134,MATCH(SUBSTITUTE($A191," SS","  SS"),'RSTO &gt; 48hrs'!$A$2:$A$134,0)),"NA"))</f>
        <v>NA</v>
      </c>
      <c r="H191" s="54" t="str">
        <f aca="false" t="array" ref="H191:H191">IFERROR(INDEX('Recirculation &gt; 24 hrs'!$J$2:$J$150,MATCH($A191,'Recirculation &gt; 24 hrs'!$A$2:$A$150,0)),IFERROR(INDEX('Recirculation &gt; 24 hrs'!$J$2:$J$150,MATCH(SUBSTITUTE($A191," SS","  SS"),'Recirculation &gt; 24 hrs'!$A$2:$A$150,0)),"NA"))</f>
        <v>NA</v>
      </c>
      <c r="I191" s="54" t="n">
        <f aca="false" t="array" ref="I191:I191">IFERROR(INDEX('Pending Putaway'!$D$2:$D$255,MATCH($A191,'Pending Putaway'!$A$2:$A$255,0)),IFERROR(INDEX('Pending Putaway'!$D$2:$D$255,MATCH(SUBSTITUTE($A191," SS","  SS"),'Pending Putaway'!$A$2:$A$255,0)),"NA"))</f>
        <v>0</v>
      </c>
      <c r="J191" s="54" t="n">
        <f aca="false" t="array" ref="J191:J191">IFERROR(INDEX('Pending Putaway'!$K$2:$K$255,MATCH($A191,'Pending Putaway'!$A$2:$A$255,0)),IFERROR(INDEX('Pending Putaway'!$K$2:$K$255,MATCH(SUBSTITUTE($A191," SS","  SS"),'Pending Putaway'!$A$2:$A$255,0)),"NA"))</f>
        <v>0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customFormat="false" ht="15.75" hidden="false" customHeight="true" outlineLevel="0" collapsed="false">
      <c r="A192" s="54" t="s">
        <v>64</v>
      </c>
      <c r="B192" s="54" t="str">
        <f aca="false" t="array" ref="B192:B192">IFERROR(INDEX('CLM &amp; IM Mapping'!$B$2:$B$270,MATCH($A192,'CLM &amp; IM Mapping'!$A$2:$A$270,0)),"Not Mapped")</f>
        <v>Ashwath S</v>
      </c>
      <c r="C192" s="54" t="str">
        <f aca="false" t="array" ref="C192:C192">IFERROR(INDEX('CLM &amp; IM Mapping'!$C$2:$C$270,MATCH($A192,'CLM &amp; IM Mapping'!$A$2:$A$270,0)),"Not Mapped")</f>
        <v>Kantha Kumar</v>
      </c>
      <c r="D192" s="55" t="n">
        <f aca="false" t="array" ref="D192:D192">IFERROR(INDEX(Shrinkage!$O$2:$O$260,MATCH($A192,Shrinkage!$C$2:$C$260,0)),IFERROR(INDEX(Shrinkage!$O$2:$O$260,MATCH(SUBSTITUTE($A192," SS","  SS"),Shrinkage!$C$2:$C$260,0)),"NA"))</f>
        <v>39679</v>
      </c>
      <c r="E192" s="56" t="n">
        <f aca="false" t="array" ref="E192:E192">IFERROR(INDEX('Inventory Hygiene'!$I$2:$I$252,MATCH($A192,'Inventory Hygiene'!$A$2:$A$252,0)),IFERROR(INDEX('Inventory Hygiene'!$I$2:$I$252,MATCH(SUBSTITUTE($A192," SS","  SS"),'Inventory Hygiene'!$A$2:$A$252,0)),"NA"))</f>
        <v>0.4</v>
      </c>
      <c r="F192" s="54" t="n">
        <f aca="false" t="array" ref="F192:F192">IFERROR(INDEX('Bad Bins'!$J$2:$J$252,MATCH($A192,'Bad Bins'!$A$2:$A$252,0)),IFERROR(INDEX('Bad Bins'!$J$2:$J$252,MATCH(SUBSTITUTE($A192," SS","  SS"),'Bad Bins'!$A$2:$A$252,0)),"NA"))</f>
        <v>673</v>
      </c>
      <c r="G192" s="54" t="n">
        <f aca="false" t="array" ref="G192:G192">IFERROR(INDEX('RSTO &gt; 48hrs'!$G$2:$G$134,MATCH($A192,'RSTO &gt; 48hrs'!$A$2:$A$134,0)),IFERROR(INDEX('RSTO &gt; 48hrs'!$G$2:$G$134,MATCH(SUBSTITUTE($A192," SS","  SS"),'RSTO &gt; 48hrs'!$A$2:$A$134,0)),"NA"))</f>
        <v>67</v>
      </c>
      <c r="H192" s="54" t="n">
        <f aca="false" t="array" ref="H192:H192">IFERROR(INDEX('Recirculation &gt; 24 hrs'!$J$2:$J$150,MATCH($A192,'Recirculation &gt; 24 hrs'!$A$2:$A$150,0)),IFERROR(INDEX('Recirculation &gt; 24 hrs'!$J$2:$J$150,MATCH(SUBSTITUTE($A192," SS","  SS"),'Recirculation &gt; 24 hrs'!$A$2:$A$150,0)),"NA"))</f>
        <v>2</v>
      </c>
      <c r="I192" s="54" t="n">
        <f aca="false" t="array" ref="I192:I192">IFERROR(INDEX('Pending Putaway'!$D$2:$D$255,MATCH($A192,'Pending Putaway'!$A$2:$A$255,0)),IFERROR(INDEX('Pending Putaway'!$D$2:$D$255,MATCH(SUBSTITUTE($A192," SS","  SS"),'Pending Putaway'!$A$2:$A$255,0)),"NA"))</f>
        <v>301</v>
      </c>
      <c r="J192" s="54" t="n">
        <f aca="false" t="array" ref="J192:J192">IFERROR(INDEX('Pending Putaway'!$K$2:$K$255,MATCH($A192,'Pending Putaway'!$A$2:$A$255,0)),IFERROR(INDEX('Pending Putaway'!$K$2:$K$255,MATCH(SUBSTITUTE($A192," SS","  SS"),'Pending Putaway'!$A$2:$A$255,0)),"NA"))</f>
        <v>48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customFormat="false" ht="15.75" hidden="false" customHeight="true" outlineLevel="0" collapsed="false">
      <c r="A193" s="54" t="s">
        <v>50</v>
      </c>
      <c r="B193" s="54" t="str">
        <f aca="false" t="array" ref="B193:B193">IFERROR(INDEX('CLM &amp; IM Mapping'!$B$2:$B$270,MATCH($A193,'CLM &amp; IM Mapping'!$A$2:$A$270,0)),"Not Mapped")</f>
        <v>Ashwath S</v>
      </c>
      <c r="C193" s="54" t="str">
        <f aca="false" t="array" ref="C193:C193">IFERROR(INDEX('CLM &amp; IM Mapping'!$C$2:$C$270,MATCH($A193,'CLM &amp; IM Mapping'!$A$2:$A$270,0)),"Not Mapped")</f>
        <v>Kantha Kumar</v>
      </c>
      <c r="D193" s="55" t="n">
        <f aca="false" t="array" ref="D193:D193">IFERROR(INDEX(Shrinkage!$O$2:$O$260,MATCH($A193,Shrinkage!$C$2:$C$260,0)),IFERROR(INDEX(Shrinkage!$O$2:$O$260,MATCH(SUBSTITUTE($A193," SS","  SS"),Shrinkage!$C$2:$C$260,0)),"NA"))</f>
        <v>43012</v>
      </c>
      <c r="E193" s="56" t="n">
        <f aca="false" t="array" ref="E193:E193">IFERROR(INDEX('Inventory Hygiene'!$I$2:$I$252,MATCH($A193,'Inventory Hygiene'!$A$2:$A$252,0)),IFERROR(INDEX('Inventory Hygiene'!$I$2:$I$252,MATCH(SUBSTITUTE($A193," SS","  SS"),'Inventory Hygiene'!$A$2:$A$252,0)),"NA"))</f>
        <v>0.51</v>
      </c>
      <c r="F193" s="54" t="n">
        <f aca="false" t="array" ref="F193:F193">IFERROR(INDEX('Bad Bins'!$J$2:$J$252,MATCH($A193,'Bad Bins'!$A$2:$A$252,0)),IFERROR(INDEX('Bad Bins'!$J$2:$J$252,MATCH(SUBSTITUTE($A193," SS","  SS"),'Bad Bins'!$A$2:$A$252,0)),"NA"))</f>
        <v>96</v>
      </c>
      <c r="G193" s="54" t="str">
        <f aca="false" t="array" ref="G193:G193">IFERROR(INDEX('RSTO &gt; 48hrs'!$G$2:$G$134,MATCH($A193,'RSTO &gt; 48hrs'!$A$2:$A$134,0)),IFERROR(INDEX('RSTO &gt; 48hrs'!$G$2:$G$134,MATCH(SUBSTITUTE($A193," SS","  SS"),'RSTO &gt; 48hrs'!$A$2:$A$134,0)),"NA"))</f>
        <v>NA</v>
      </c>
      <c r="H193" s="54" t="n">
        <f aca="false" t="array" ref="H193:H193">IFERROR(INDEX('Recirculation &gt; 24 hrs'!$J$2:$J$150,MATCH($A193,'Recirculation &gt; 24 hrs'!$A$2:$A$150,0)),IFERROR(INDEX('Recirculation &gt; 24 hrs'!$J$2:$J$150,MATCH(SUBSTITUTE($A193," SS","  SS"),'Recirculation &gt; 24 hrs'!$A$2:$A$150,0)),"NA"))</f>
        <v>500</v>
      </c>
      <c r="I193" s="54" t="n">
        <f aca="false" t="array" ref="I193:I193">IFERROR(INDEX('Pending Putaway'!$D$2:$D$255,MATCH($A193,'Pending Putaway'!$A$2:$A$255,0)),IFERROR(INDEX('Pending Putaway'!$D$2:$D$255,MATCH(SUBSTITUTE($A193," SS","  SS"),'Pending Putaway'!$A$2:$A$255,0)),"NA"))</f>
        <v>2939</v>
      </c>
      <c r="J193" s="54" t="n">
        <f aca="false" t="array" ref="J193:J193">IFERROR(INDEX('Pending Putaway'!$K$2:$K$255,MATCH($A193,'Pending Putaway'!$A$2:$A$255,0)),IFERROR(INDEX('Pending Putaway'!$K$2:$K$255,MATCH(SUBSTITUTE($A193," SS","  SS"),'Pending Putaway'!$A$2:$A$255,0)),"NA"))</f>
        <v>102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customFormat="false" ht="15.75" hidden="false" customHeight="true" outlineLevel="0" collapsed="false">
      <c r="A194" s="54" t="s">
        <v>138</v>
      </c>
      <c r="B194" s="54" t="str">
        <f aca="false" t="array" ref="B194:B194">IFERROR(INDEX('CLM &amp; IM Mapping'!$B$2:$B$270,MATCH($A194,'CLM &amp; IM Mapping'!$A$2:$A$270,0)),"Not Mapped")</f>
        <v>Ashwath S</v>
      </c>
      <c r="C194" s="54" t="str">
        <f aca="false" t="array" ref="C194:C194">IFERROR(INDEX('CLM &amp; IM Mapping'!$C$2:$C$270,MATCH($A194,'CLM &amp; IM Mapping'!$A$2:$A$270,0)),"Not Mapped")</f>
        <v>Kantha Kumar</v>
      </c>
      <c r="D194" s="55" t="n">
        <f aca="false" t="array" ref="D194:D194">IFERROR(INDEX(Shrinkage!$O$2:$O$260,MATCH($A194,Shrinkage!$C$2:$C$260,0)),IFERROR(INDEX(Shrinkage!$O$2:$O$260,MATCH(SUBSTITUTE($A194," SS","  SS"),Shrinkage!$C$2:$C$260,0)),"NA"))</f>
        <v>7149</v>
      </c>
      <c r="E194" s="56" t="n">
        <f aca="false" t="array" ref="E194:E194">IFERROR(INDEX('Inventory Hygiene'!$I$2:$I$252,MATCH($A194,'Inventory Hygiene'!$A$2:$A$252,0)),IFERROR(INDEX('Inventory Hygiene'!$I$2:$I$252,MATCH(SUBSTITUTE($A194," SS","  SS"),'Inventory Hygiene'!$A$2:$A$252,0)),"NA"))</f>
        <v>0.38</v>
      </c>
      <c r="F194" s="54" t="n">
        <f aca="false" t="array" ref="F194:F194">IFERROR(INDEX('Bad Bins'!$J$2:$J$252,MATCH($A194,'Bad Bins'!$A$2:$A$252,0)),IFERROR(INDEX('Bad Bins'!$J$2:$J$252,MATCH(SUBSTITUTE($A194," SS","  SS"),'Bad Bins'!$A$2:$A$252,0)),"NA"))</f>
        <v>67</v>
      </c>
      <c r="G194" s="54" t="str">
        <f aca="false" t="array" ref="G194:G194">IFERROR(INDEX('RSTO &gt; 48hrs'!$G$2:$G$134,MATCH($A194,'RSTO &gt; 48hrs'!$A$2:$A$134,0)),IFERROR(INDEX('RSTO &gt; 48hrs'!$G$2:$G$134,MATCH(SUBSTITUTE($A194," SS","  SS"),'RSTO &gt; 48hrs'!$A$2:$A$134,0)),"NA"))</f>
        <v>NA</v>
      </c>
      <c r="H194" s="54" t="n">
        <f aca="false" t="array" ref="H194:H194">IFERROR(INDEX('Recirculation &gt; 24 hrs'!$J$2:$J$150,MATCH($A194,'Recirculation &gt; 24 hrs'!$A$2:$A$150,0)),IFERROR(INDEX('Recirculation &gt; 24 hrs'!$J$2:$J$150,MATCH(SUBSTITUTE($A194," SS","  SS"),'Recirculation &gt; 24 hrs'!$A$2:$A$150,0)),"NA"))</f>
        <v>9</v>
      </c>
      <c r="I194" s="54" t="n">
        <f aca="false" t="array" ref="I194:I194">IFERROR(INDEX('Pending Putaway'!$D$2:$D$255,MATCH($A194,'Pending Putaway'!$A$2:$A$255,0)),IFERROR(INDEX('Pending Putaway'!$D$2:$D$255,MATCH(SUBSTITUTE($A194," SS","  SS"),'Pending Putaway'!$A$2:$A$255,0)),"NA"))</f>
        <v>0</v>
      </c>
      <c r="J194" s="54" t="n">
        <f aca="false" t="array" ref="J194:J194">IFERROR(INDEX('Pending Putaway'!$K$2:$K$255,MATCH($A194,'Pending Putaway'!$A$2:$A$255,0)),IFERROR(INDEX('Pending Putaway'!$K$2:$K$255,MATCH(SUBSTITUTE($A194," SS","  SS"),'Pending Putaway'!$A$2:$A$255,0)),"NA"))</f>
        <v>0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customFormat="false" ht="15.75" hidden="false" customHeight="true" outlineLevel="0" collapsed="false">
      <c r="A195" s="54" t="s">
        <v>245</v>
      </c>
      <c r="B195" s="54" t="str">
        <f aca="false" t="array" ref="B195:B195">IFERROR(INDEX('CLM &amp; IM Mapping'!$B$2:$B$270,MATCH($A195,'CLM &amp; IM Mapping'!$A$2:$A$270,0)),"Not Mapped")</f>
        <v>Ashwath S</v>
      </c>
      <c r="C195" s="54" t="str">
        <f aca="false" t="array" ref="C195:C195">IFERROR(INDEX('CLM &amp; IM Mapping'!$C$2:$C$270,MATCH($A195,'CLM &amp; IM Mapping'!$A$2:$A$270,0)),"Not Mapped")</f>
        <v>Kantha Kumar</v>
      </c>
      <c r="D195" s="55" t="n">
        <f aca="false" t="array" ref="D195:D195">IFERROR(INDEX(Shrinkage!$O$2:$O$260,MATCH($A195,Shrinkage!$C$2:$C$260,0)),IFERROR(INDEX(Shrinkage!$O$2:$O$260,MATCH(SUBSTITUTE($A195," SS","  SS"),Shrinkage!$C$2:$C$260,0)),"NA"))</f>
        <v>-6592</v>
      </c>
      <c r="E195" s="56" t="n">
        <f aca="false" t="array" ref="E195:E195">IFERROR(INDEX('Inventory Hygiene'!$I$2:$I$252,MATCH($A195,'Inventory Hygiene'!$A$2:$A$252,0)),IFERROR(INDEX('Inventory Hygiene'!$I$2:$I$252,MATCH(SUBSTITUTE($A195," SS","  SS"),'Inventory Hygiene'!$A$2:$A$252,0)),"NA"))</f>
        <v>0.88</v>
      </c>
      <c r="F195" s="54" t="n">
        <f aca="false" t="array" ref="F195:F195">IFERROR(INDEX('Bad Bins'!$J$2:$J$252,MATCH($A195,'Bad Bins'!$A$2:$A$252,0)),IFERROR(INDEX('Bad Bins'!$J$2:$J$252,MATCH(SUBSTITUTE($A195," SS","  SS"),'Bad Bins'!$A$2:$A$252,0)),"NA"))</f>
        <v>139</v>
      </c>
      <c r="G195" s="54" t="n">
        <f aca="false" t="array" ref="G195:G195">IFERROR(INDEX('RSTO &gt; 48hrs'!$G$2:$G$134,MATCH($A195,'RSTO &gt; 48hrs'!$A$2:$A$134,0)),IFERROR(INDEX('RSTO &gt; 48hrs'!$G$2:$G$134,MATCH(SUBSTITUTE($A195," SS","  SS"),'RSTO &gt; 48hrs'!$A$2:$A$134,0)),"NA"))</f>
        <v>21</v>
      </c>
      <c r="H195" s="54" t="str">
        <f aca="false" t="array" ref="H195:H195">IFERROR(INDEX('Recirculation &gt; 24 hrs'!$J$2:$J$150,MATCH($A195,'Recirculation &gt; 24 hrs'!$A$2:$A$150,0)),IFERROR(INDEX('Recirculation &gt; 24 hrs'!$J$2:$J$150,MATCH(SUBSTITUTE($A195," SS","  SS"),'Recirculation &gt; 24 hrs'!$A$2:$A$150,0)),"NA"))</f>
        <v>NA</v>
      </c>
      <c r="I195" s="54" t="n">
        <f aca="false" t="array" ref="I195:I195">IFERROR(INDEX('Pending Putaway'!$D$2:$D$255,MATCH($A195,'Pending Putaway'!$A$2:$A$255,0)),IFERROR(INDEX('Pending Putaway'!$D$2:$D$255,MATCH(SUBSTITUTE($A195," SS","  SS"),'Pending Putaway'!$A$2:$A$255,0)),"NA"))</f>
        <v>80</v>
      </c>
      <c r="J195" s="54" t="n">
        <f aca="false" t="array" ref="J195:J195">IFERROR(INDEX('Pending Putaway'!$K$2:$K$255,MATCH($A195,'Pending Putaway'!$A$2:$A$255,0)),IFERROR(INDEX('Pending Putaway'!$K$2:$K$255,MATCH(SUBSTITUTE($A195," SS","  SS"),'Pending Putaway'!$A$2:$A$255,0)),"NA"))</f>
        <v>65</v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customFormat="false" ht="15.75" hidden="false" customHeight="true" outlineLevel="0" collapsed="false">
      <c r="A196" s="54" t="s">
        <v>253</v>
      </c>
      <c r="B196" s="54" t="str">
        <f aca="false" t="array" ref="B196:B196">IFERROR(INDEX('CLM &amp; IM Mapping'!$B$2:$B$270,MATCH($A196,'CLM &amp; IM Mapping'!$A$2:$A$270,0)),"Not Mapped")</f>
        <v>Ashwath S</v>
      </c>
      <c r="C196" s="54" t="str">
        <f aca="false" t="array" ref="C196:C196">IFERROR(INDEX('CLM &amp; IM Mapping'!$C$2:$C$270,MATCH($A196,'CLM &amp; IM Mapping'!$A$2:$A$270,0)),"Not Mapped")</f>
        <v>Kantha Kumar</v>
      </c>
      <c r="D196" s="55" t="n">
        <f aca="false" t="array" ref="D196:D196">IFERROR(INDEX(Shrinkage!$O$2:$O$260,MATCH($A196,Shrinkage!$C$2:$C$260,0)),IFERROR(INDEX(Shrinkage!$O$2:$O$260,MATCH(SUBSTITUTE($A196," SS","  SS"),Shrinkage!$C$2:$C$260,0)),"NA"))</f>
        <v>-7708</v>
      </c>
      <c r="E196" s="56" t="n">
        <f aca="false" t="array" ref="E196:E196">IFERROR(INDEX('Inventory Hygiene'!$I$2:$I$252,MATCH($A196,'Inventory Hygiene'!$A$2:$A$252,0)),IFERROR(INDEX('Inventory Hygiene'!$I$2:$I$252,MATCH(SUBSTITUTE($A196," SS","  SS"),'Inventory Hygiene'!$A$2:$A$252,0)),"NA"))</f>
        <v>0.9</v>
      </c>
      <c r="F196" s="54" t="n">
        <f aca="false" t="array" ref="F196:F196">IFERROR(INDEX('Bad Bins'!$J$2:$J$252,MATCH($A196,'Bad Bins'!$A$2:$A$252,0)),IFERROR(INDEX('Bad Bins'!$J$2:$J$252,MATCH(SUBSTITUTE($A196," SS","  SS"),'Bad Bins'!$A$2:$A$252,0)),"NA"))</f>
        <v>178</v>
      </c>
      <c r="G196" s="54" t="str">
        <f aca="false" t="array" ref="G196:G196">IFERROR(INDEX('RSTO &gt; 48hrs'!$G$2:$G$134,MATCH($A196,'RSTO &gt; 48hrs'!$A$2:$A$134,0)),IFERROR(INDEX('RSTO &gt; 48hrs'!$G$2:$G$134,MATCH(SUBSTITUTE($A196," SS","  SS"),'RSTO &gt; 48hrs'!$A$2:$A$134,0)),"NA"))</f>
        <v>NA</v>
      </c>
      <c r="H196" s="54" t="n">
        <f aca="false" t="array" ref="H196:H196">IFERROR(INDEX('Recirculation &gt; 24 hrs'!$J$2:$J$150,MATCH($A196,'Recirculation &gt; 24 hrs'!$A$2:$A$150,0)),IFERROR(INDEX('Recirculation &gt; 24 hrs'!$J$2:$J$150,MATCH(SUBSTITUTE($A196," SS","  SS"),'Recirculation &gt; 24 hrs'!$A$2:$A$150,0)),"NA"))</f>
        <v>1452</v>
      </c>
      <c r="I196" s="54" t="n">
        <f aca="false" t="array" ref="I196:I196">IFERROR(INDEX('Pending Putaway'!$D$2:$D$255,MATCH($A196,'Pending Putaway'!$A$2:$A$255,0)),IFERROR(INDEX('Pending Putaway'!$D$2:$D$255,MATCH(SUBSTITUTE($A196," SS","  SS"),'Pending Putaway'!$A$2:$A$255,0)),"NA"))</f>
        <v>73</v>
      </c>
      <c r="J196" s="54" t="n">
        <f aca="false" t="array" ref="J196:J196">IFERROR(INDEX('Pending Putaway'!$K$2:$K$255,MATCH($A196,'Pending Putaway'!$A$2:$A$255,0)),IFERROR(INDEX('Pending Putaway'!$K$2:$K$255,MATCH(SUBSTITUTE($A196," SS","  SS"),'Pending Putaway'!$A$2:$A$255,0)),"NA"))</f>
        <v>0</v>
      </c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customFormat="false" ht="15.75" hidden="false" customHeight="true" outlineLevel="0" collapsed="false">
      <c r="A197" s="54" t="s">
        <v>157</v>
      </c>
      <c r="B197" s="54" t="str">
        <f aca="false" t="array" ref="B197:B197">IFERROR(INDEX('CLM &amp; IM Mapping'!$B$2:$B$270,MATCH($A197,'CLM &amp; IM Mapping'!$A$2:$A$270,0)),"Not Mapped")</f>
        <v>Ashwath S</v>
      </c>
      <c r="C197" s="54" t="str">
        <f aca="false" t="array" ref="C197:C197">IFERROR(INDEX('CLM &amp; IM Mapping'!$C$2:$C$270,MATCH($A197,'CLM &amp; IM Mapping'!$A$2:$A$270,0)),"Not Mapped")</f>
        <v>Kantha Kumar</v>
      </c>
      <c r="D197" s="55" t="n">
        <f aca="false" t="array" ref="D197:D197">IFERROR(INDEX(Shrinkage!$O$2:$O$260,MATCH($A197,Shrinkage!$C$2:$C$260,0)),IFERROR(INDEX(Shrinkage!$O$2:$O$260,MATCH(SUBSTITUTE($A197," SS","  SS"),Shrinkage!$C$2:$C$260,0)),"NA"))</f>
        <v>3636</v>
      </c>
      <c r="E197" s="56" t="n">
        <f aca="false" t="array" ref="E197:E197">IFERROR(INDEX('Inventory Hygiene'!$I$2:$I$252,MATCH($A197,'Inventory Hygiene'!$A$2:$A$252,0)),IFERROR(INDEX('Inventory Hygiene'!$I$2:$I$252,MATCH(SUBSTITUTE($A197," SS","  SS"),'Inventory Hygiene'!$A$2:$A$252,0)),"NA"))</f>
        <v>0.9</v>
      </c>
      <c r="F197" s="54" t="n">
        <f aca="false" t="array" ref="F197:F197">IFERROR(INDEX('Bad Bins'!$J$2:$J$252,MATCH($A197,'Bad Bins'!$A$2:$A$252,0)),IFERROR(INDEX('Bad Bins'!$J$2:$J$252,MATCH(SUBSTITUTE($A197," SS","  SS"),'Bad Bins'!$A$2:$A$252,0)),"NA"))</f>
        <v>182</v>
      </c>
      <c r="G197" s="54" t="n">
        <f aca="false" t="array" ref="G197:G197">IFERROR(INDEX('RSTO &gt; 48hrs'!$G$2:$G$134,MATCH($A197,'RSTO &gt; 48hrs'!$A$2:$A$134,0)),IFERROR(INDEX('RSTO &gt; 48hrs'!$G$2:$G$134,MATCH(SUBSTITUTE($A197," SS","  SS"),'RSTO &gt; 48hrs'!$A$2:$A$134,0)),"NA"))</f>
        <v>29</v>
      </c>
      <c r="H197" s="54" t="n">
        <f aca="false" t="array" ref="H197:H197">IFERROR(INDEX('Recirculation &gt; 24 hrs'!$J$2:$J$150,MATCH($A197,'Recirculation &gt; 24 hrs'!$A$2:$A$150,0)),IFERROR(INDEX('Recirculation &gt; 24 hrs'!$J$2:$J$150,MATCH(SUBSTITUTE($A197," SS","  SS"),'Recirculation &gt; 24 hrs'!$A$2:$A$150,0)),"NA"))</f>
        <v>11</v>
      </c>
      <c r="I197" s="54" t="n">
        <f aca="false" t="array" ref="I197:I197">IFERROR(INDEX('Pending Putaway'!$D$2:$D$255,MATCH($A197,'Pending Putaway'!$A$2:$A$255,0)),IFERROR(INDEX('Pending Putaway'!$D$2:$D$255,MATCH(SUBSTITUTE($A197," SS","  SS"),'Pending Putaway'!$A$2:$A$255,0)),"NA"))</f>
        <v>1233</v>
      </c>
      <c r="J197" s="54" t="n">
        <f aca="false" t="array" ref="J197:J197">IFERROR(INDEX('Pending Putaway'!$K$2:$K$255,MATCH($A197,'Pending Putaway'!$A$2:$A$255,0)),IFERROR(INDEX('Pending Putaway'!$K$2:$K$255,MATCH(SUBSTITUTE($A197," SS","  SS"),'Pending Putaway'!$A$2:$A$255,0)),"NA"))</f>
        <v>167</v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customFormat="false" ht="15.75" hidden="false" customHeight="true" outlineLevel="0" collapsed="false">
      <c r="A198" s="54" t="s">
        <v>28</v>
      </c>
      <c r="B198" s="54" t="str">
        <f aca="false" t="array" ref="B198:B198">IFERROR(INDEX('CLM &amp; IM Mapping'!$B$2:$B$270,MATCH($A198,'CLM &amp; IM Mapping'!$A$2:$A$270,0)),"Not Mapped")</f>
        <v>Vijay M</v>
      </c>
      <c r="C198" s="54" t="str">
        <f aca="false" t="array" ref="C198:C198">IFERROR(INDEX('CLM &amp; IM Mapping'!$C$2:$C$270,MATCH($A198,'CLM &amp; IM Mapping'!$A$2:$A$270,0)),"Not Mapped")</f>
        <v>Kantha Kumar</v>
      </c>
      <c r="D198" s="55" t="n">
        <f aca="false" t="array" ref="D198:D198">IFERROR(INDEX(Shrinkage!$O$2:$O$260,MATCH($A198,Shrinkage!$C$2:$C$260,0)),IFERROR(INDEX(Shrinkage!$O$2:$O$260,MATCH(SUBSTITUTE($A198," SS","  SS"),Shrinkage!$C$2:$C$260,0)),"NA"))</f>
        <v>105001</v>
      </c>
      <c r="E198" s="56" t="n">
        <f aca="false" t="array" ref="E198:E198">IFERROR(INDEX('Inventory Hygiene'!$I$2:$I$252,MATCH($A198,'Inventory Hygiene'!$A$2:$A$252,0)),IFERROR(INDEX('Inventory Hygiene'!$I$2:$I$252,MATCH(SUBSTITUTE($A198," SS","  SS"),'Inventory Hygiene'!$A$2:$A$252,0)),"NA"))</f>
        <v>0.55</v>
      </c>
      <c r="F198" s="54" t="n">
        <f aca="false" t="array" ref="F198:F198">IFERROR(INDEX('Bad Bins'!$J$2:$J$252,MATCH($A198,'Bad Bins'!$A$2:$A$252,0)),IFERROR(INDEX('Bad Bins'!$J$2:$J$252,MATCH(SUBSTITUTE($A198," SS","  SS"),'Bad Bins'!$A$2:$A$252,0)),"NA"))</f>
        <v>1052</v>
      </c>
      <c r="G198" s="54" t="n">
        <f aca="false" t="array" ref="G198:G198">IFERROR(INDEX('RSTO &gt; 48hrs'!$G$2:$G$134,MATCH($A198,'RSTO &gt; 48hrs'!$A$2:$A$134,0)),IFERROR(INDEX('RSTO &gt; 48hrs'!$G$2:$G$134,MATCH(SUBSTITUTE($A198," SS","  SS"),'RSTO &gt; 48hrs'!$A$2:$A$134,0)),"NA"))</f>
        <v>242</v>
      </c>
      <c r="H198" s="54" t="n">
        <f aca="false" t="array" ref="H198:H198">IFERROR(INDEX('Recirculation &gt; 24 hrs'!$J$2:$J$150,MATCH($A198,'Recirculation &gt; 24 hrs'!$A$2:$A$150,0)),IFERROR(INDEX('Recirculation &gt; 24 hrs'!$J$2:$J$150,MATCH(SUBSTITUTE($A198," SS","  SS"),'Recirculation &gt; 24 hrs'!$A$2:$A$150,0)),"NA"))</f>
        <v>1</v>
      </c>
      <c r="I198" s="54" t="n">
        <f aca="false" t="array" ref="I198:I198">IFERROR(INDEX('Pending Putaway'!$D$2:$D$255,MATCH($A198,'Pending Putaway'!$A$2:$A$255,0)),IFERROR(INDEX('Pending Putaway'!$D$2:$D$255,MATCH(SUBSTITUTE($A198," SS","  SS"),'Pending Putaway'!$A$2:$A$255,0)),"NA"))</f>
        <v>6804</v>
      </c>
      <c r="J198" s="54" t="n">
        <f aca="false" t="array" ref="J198:J198">IFERROR(INDEX('Pending Putaway'!$K$2:$K$255,MATCH($A198,'Pending Putaway'!$A$2:$A$255,0)),IFERROR(INDEX('Pending Putaway'!$K$2:$K$255,MATCH(SUBSTITUTE($A198," SS","  SS"),'Pending Putaway'!$A$2:$A$255,0)),"NA"))</f>
        <v>619</v>
      </c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customFormat="false" ht="15.75" hidden="false" customHeight="true" outlineLevel="0" collapsed="false">
      <c r="A199" s="54" t="s">
        <v>353</v>
      </c>
      <c r="B199" s="54" t="str">
        <f aca="false" t="array" ref="B199:B199">IFERROR(INDEX('CLM &amp; IM Mapping'!$B$2:$B$270,MATCH($A199,'CLM &amp; IM Mapping'!$A$2:$A$270,0)),"Not Mapped")</f>
        <v>Vijay M</v>
      </c>
      <c r="C199" s="54" t="str">
        <f aca="false" t="array" ref="C199:C199">IFERROR(INDEX('CLM &amp; IM Mapping'!$C$2:$C$270,MATCH($A199,'CLM &amp; IM Mapping'!$A$2:$A$270,0)),"Not Mapped")</f>
        <v>Kantha Kumar</v>
      </c>
      <c r="D199" s="55" t="n">
        <f aca="false" t="array" ref="D199:D199">IFERROR(INDEX(Shrinkage!$O$2:$O$260,MATCH($A199,Shrinkage!$C$2:$C$260,0)),IFERROR(INDEX(Shrinkage!$O$2:$O$260,MATCH(SUBSTITUTE($A199," SS","  SS"),Shrinkage!$C$2:$C$260,0)),"NA"))</f>
        <v>16360</v>
      </c>
      <c r="E199" s="56" t="n">
        <f aca="false" t="array" ref="E199:E199">IFERROR(INDEX('Inventory Hygiene'!$I$2:$I$252,MATCH($A199,'Inventory Hygiene'!$A$2:$A$252,0)),IFERROR(INDEX('Inventory Hygiene'!$I$2:$I$252,MATCH(SUBSTITUTE($A199," SS","  SS"),'Inventory Hygiene'!$A$2:$A$252,0)),"NA"))</f>
        <v>0.76</v>
      </c>
      <c r="F199" s="54" t="n">
        <f aca="false" t="array" ref="F199:F199">IFERROR(INDEX('Bad Bins'!$J$2:$J$252,MATCH($A199,'Bad Bins'!$A$2:$A$252,0)),IFERROR(INDEX('Bad Bins'!$J$2:$J$252,MATCH(SUBSTITUTE($A199," SS","  SS"),'Bad Bins'!$A$2:$A$252,0)),"NA"))</f>
        <v>272</v>
      </c>
      <c r="G199" s="54" t="n">
        <f aca="false" t="array" ref="G199:G199">IFERROR(INDEX('RSTO &gt; 48hrs'!$G$2:$G$134,MATCH($A199,'RSTO &gt; 48hrs'!$A$2:$A$134,0)),IFERROR(INDEX('RSTO &gt; 48hrs'!$G$2:$G$134,MATCH(SUBSTITUTE($A199," SS","  SS"),'RSTO &gt; 48hrs'!$A$2:$A$134,0)),"NA"))</f>
        <v>250</v>
      </c>
      <c r="H199" s="54" t="n">
        <f aca="false" t="array" ref="H199:H199">IFERROR(INDEX('Recirculation &gt; 24 hrs'!$J$2:$J$150,MATCH($A199,'Recirculation &gt; 24 hrs'!$A$2:$A$150,0)),IFERROR(INDEX('Recirculation &gt; 24 hrs'!$J$2:$J$150,MATCH(SUBSTITUTE($A199," SS","  SS"),'Recirculation &gt; 24 hrs'!$A$2:$A$150,0)),"NA"))</f>
        <v>32</v>
      </c>
      <c r="I199" s="54" t="n">
        <f aca="false" t="array" ref="I199:I199">IFERROR(INDEX('Pending Putaway'!$D$2:$D$255,MATCH($A199,'Pending Putaway'!$A$2:$A$255,0)),IFERROR(INDEX('Pending Putaway'!$D$2:$D$255,MATCH(SUBSTITUTE($A199," SS","  SS"),'Pending Putaway'!$A$2:$A$255,0)),"NA"))</f>
        <v>0</v>
      </c>
      <c r="J199" s="54" t="n">
        <f aca="false" t="array" ref="J199:J199">IFERROR(INDEX('Pending Putaway'!$K$2:$K$255,MATCH($A199,'Pending Putaway'!$A$2:$A$255,0)),IFERROR(INDEX('Pending Putaway'!$K$2:$K$255,MATCH(SUBSTITUTE($A199," SS","  SS"),'Pending Putaway'!$A$2:$A$255,0)),"NA"))</f>
        <v>0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customFormat="false" ht="15.75" hidden="false" customHeight="true" outlineLevel="0" collapsed="false">
      <c r="A200" s="54" t="s">
        <v>251</v>
      </c>
      <c r="B200" s="54" t="str">
        <f aca="false" t="array" ref="B200:B200">IFERROR(INDEX('CLM &amp; IM Mapping'!$B$2:$B$270,MATCH($A200,'CLM &amp; IM Mapping'!$A$2:$A$270,0)),"Not Mapped")</f>
        <v>Vijay M</v>
      </c>
      <c r="C200" s="54" t="str">
        <f aca="false" t="array" ref="C200:C200">IFERROR(INDEX('CLM &amp; IM Mapping'!$C$2:$C$270,MATCH($A200,'CLM &amp; IM Mapping'!$A$2:$A$270,0)),"Not Mapped")</f>
        <v>Kantha Kumar</v>
      </c>
      <c r="D200" s="55" t="n">
        <f aca="false" t="array" ref="D200:D200">IFERROR(INDEX(Shrinkage!$O$2:$O$260,MATCH($A200,Shrinkage!$C$2:$C$260,0)),IFERROR(INDEX(Shrinkage!$O$2:$O$260,MATCH(SUBSTITUTE($A200," SS","  SS"),Shrinkage!$C$2:$C$260,0)),"NA"))</f>
        <v>-7602</v>
      </c>
      <c r="E200" s="56" t="n">
        <f aca="false" t="array" ref="E200:E200">IFERROR(INDEX('Inventory Hygiene'!$I$2:$I$252,MATCH($A200,'Inventory Hygiene'!$A$2:$A$252,0)),IFERROR(INDEX('Inventory Hygiene'!$I$2:$I$252,MATCH(SUBSTITUTE($A200," SS","  SS"),'Inventory Hygiene'!$A$2:$A$252,0)),"NA"))</f>
        <v>0.95</v>
      </c>
      <c r="F200" s="54" t="n">
        <f aca="false" t="array" ref="F200:F200">IFERROR(INDEX('Bad Bins'!$J$2:$J$252,MATCH($A200,'Bad Bins'!$A$2:$A$252,0)),IFERROR(INDEX('Bad Bins'!$J$2:$J$252,MATCH(SUBSTITUTE($A200," SS","  SS"),'Bad Bins'!$A$2:$A$252,0)),"NA"))</f>
        <v>189</v>
      </c>
      <c r="G200" s="54" t="n">
        <f aca="false" t="array" ref="G200:G200">IFERROR(INDEX('RSTO &gt; 48hrs'!$G$2:$G$134,MATCH($A200,'RSTO &gt; 48hrs'!$A$2:$A$134,0)),IFERROR(INDEX('RSTO &gt; 48hrs'!$G$2:$G$134,MATCH(SUBSTITUTE($A200," SS","  SS"),'RSTO &gt; 48hrs'!$A$2:$A$134,0)),"NA"))</f>
        <v>407</v>
      </c>
      <c r="H200" s="54" t="n">
        <f aca="false" t="array" ref="H200:H200">IFERROR(INDEX('Recirculation &gt; 24 hrs'!$J$2:$J$150,MATCH($A200,'Recirculation &gt; 24 hrs'!$A$2:$A$150,0)),IFERROR(INDEX('Recirculation &gt; 24 hrs'!$J$2:$J$150,MATCH(SUBSTITUTE($A200," SS","  SS"),'Recirculation &gt; 24 hrs'!$A$2:$A$150,0)),"NA"))</f>
        <v>10</v>
      </c>
      <c r="I200" s="54" t="n">
        <f aca="false" t="array" ref="I200:I200">IFERROR(INDEX('Pending Putaway'!$D$2:$D$255,MATCH($A200,'Pending Putaway'!$A$2:$A$255,0)),IFERROR(INDEX('Pending Putaway'!$D$2:$D$255,MATCH(SUBSTITUTE($A200," SS","  SS"),'Pending Putaway'!$A$2:$A$255,0)),"NA"))</f>
        <v>7267</v>
      </c>
      <c r="J200" s="54" t="n">
        <f aca="false" t="array" ref="J200:J200">IFERROR(INDEX('Pending Putaway'!$K$2:$K$255,MATCH($A200,'Pending Putaway'!$A$2:$A$255,0)),IFERROR(INDEX('Pending Putaway'!$K$2:$K$255,MATCH(SUBSTITUTE($A200," SS","  SS"),'Pending Putaway'!$A$2:$A$255,0)),"NA"))</f>
        <v>1267</v>
      </c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customFormat="false" ht="15.75" hidden="false" customHeight="true" outlineLevel="0" collapsed="false">
      <c r="A201" s="54" t="s">
        <v>354</v>
      </c>
      <c r="B201" s="54" t="str">
        <f aca="false" t="array" ref="B201:B201">IFERROR(INDEX('CLM &amp; IM Mapping'!$B$2:$B$270,MATCH($A201,'CLM &amp; IM Mapping'!$A$2:$A$270,0)),"Not Mapped")</f>
        <v>Vijay M</v>
      </c>
      <c r="C201" s="54" t="str">
        <f aca="false" t="array" ref="C201:C201">IFERROR(INDEX('CLM &amp; IM Mapping'!$C$2:$C$270,MATCH($A201,'CLM &amp; IM Mapping'!$A$2:$A$270,0)),"Not Mapped")</f>
        <v>Kantha Kumar</v>
      </c>
      <c r="D201" s="55" t="n">
        <f aca="false" t="array" ref="D201:D201">IFERROR(INDEX(Shrinkage!$O$2:$O$260,MATCH($A201,Shrinkage!$C$2:$C$260,0)),IFERROR(INDEX(Shrinkage!$O$2:$O$260,MATCH(SUBSTITUTE($A201," SS","  SS"),Shrinkage!$C$2:$C$260,0)),"NA"))</f>
        <v>-5636</v>
      </c>
      <c r="E201" s="56" t="n">
        <f aca="false" t="array" ref="E201:E201">IFERROR(INDEX('Inventory Hygiene'!$I$2:$I$252,MATCH($A201,'Inventory Hygiene'!$A$2:$A$252,0)),IFERROR(INDEX('Inventory Hygiene'!$I$2:$I$252,MATCH(SUBSTITUTE($A201," SS","  SS"),'Inventory Hygiene'!$A$2:$A$252,0)),"NA"))</f>
        <v>0.41</v>
      </c>
      <c r="F201" s="54" t="n">
        <f aca="false" t="array" ref="F201:F201">IFERROR(INDEX('Bad Bins'!$J$2:$J$252,MATCH($A201,'Bad Bins'!$A$2:$A$252,0)),IFERROR(INDEX('Bad Bins'!$J$2:$J$252,MATCH(SUBSTITUTE($A201," SS","  SS"),'Bad Bins'!$A$2:$A$252,0)),"NA"))</f>
        <v>99</v>
      </c>
      <c r="G201" s="54" t="n">
        <f aca="false" t="array" ref="G201:G201">IFERROR(INDEX('RSTO &gt; 48hrs'!$G$2:$G$134,MATCH($A201,'RSTO &gt; 48hrs'!$A$2:$A$134,0)),IFERROR(INDEX('RSTO &gt; 48hrs'!$G$2:$G$134,MATCH(SUBSTITUTE($A201," SS","  SS"),'RSTO &gt; 48hrs'!$A$2:$A$134,0)),"NA"))</f>
        <v>11</v>
      </c>
      <c r="H201" s="54" t="str">
        <f aca="false" t="array" ref="H201:H201">IFERROR(INDEX('Recirculation &gt; 24 hrs'!$J$2:$J$150,MATCH($A201,'Recirculation &gt; 24 hrs'!$A$2:$A$150,0)),IFERROR(INDEX('Recirculation &gt; 24 hrs'!$J$2:$J$150,MATCH(SUBSTITUTE($A201," SS","  SS"),'Recirculation &gt; 24 hrs'!$A$2:$A$150,0)),"NA"))</f>
        <v>NA</v>
      </c>
      <c r="I201" s="54" t="n">
        <f aca="false" t="array" ref="I201:I201">IFERROR(INDEX('Pending Putaway'!$D$2:$D$255,MATCH($A201,'Pending Putaway'!$A$2:$A$255,0)),IFERROR(INDEX('Pending Putaway'!$D$2:$D$255,MATCH(SUBSTITUTE($A201," SS","  SS"),'Pending Putaway'!$A$2:$A$255,0)),"NA"))</f>
        <v>7400</v>
      </c>
      <c r="J201" s="54" t="n">
        <f aca="false" t="array" ref="J201:J201">IFERROR(INDEX('Pending Putaway'!$K$2:$K$255,MATCH($A201,'Pending Putaway'!$A$2:$A$255,0)),IFERROR(INDEX('Pending Putaway'!$K$2:$K$255,MATCH(SUBSTITUTE($A201," SS","  SS"),'Pending Putaway'!$A$2:$A$255,0)),"NA"))</f>
        <v>11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customFormat="false" ht="15.75" hidden="false" customHeight="true" outlineLevel="0" collapsed="false">
      <c r="A202" s="54" t="s">
        <v>162</v>
      </c>
      <c r="B202" s="54" t="str">
        <f aca="false" t="array" ref="B202:B202">IFERROR(INDEX('CLM &amp; IM Mapping'!$B$2:$B$270,MATCH($A202,'CLM &amp; IM Mapping'!$A$2:$A$270,0)),"Not Mapped")</f>
        <v>Vijay M</v>
      </c>
      <c r="C202" s="54" t="str">
        <f aca="false" t="array" ref="C202:C202">IFERROR(INDEX('CLM &amp; IM Mapping'!$C$2:$C$270,MATCH($A202,'CLM &amp; IM Mapping'!$A$2:$A$270,0)),"Not Mapped")</f>
        <v>Kantha Kumar</v>
      </c>
      <c r="D202" s="55" t="n">
        <f aca="false" t="array" ref="D202:D202">IFERROR(INDEX(Shrinkage!$O$2:$O$260,MATCH($A202,Shrinkage!$C$2:$C$260,0)),IFERROR(INDEX(Shrinkage!$O$2:$O$260,MATCH(SUBSTITUTE($A202," SS","  SS"),Shrinkage!$C$2:$C$260,0)),"NA"))</f>
        <v>2706</v>
      </c>
      <c r="E202" s="56" t="n">
        <f aca="false" t="array" ref="E202:E202">IFERROR(INDEX('Inventory Hygiene'!$I$2:$I$252,MATCH($A202,'Inventory Hygiene'!$A$2:$A$252,0)),IFERROR(INDEX('Inventory Hygiene'!$I$2:$I$252,MATCH(SUBSTITUTE($A202," SS","  SS"),'Inventory Hygiene'!$A$2:$A$252,0)),"NA"))</f>
        <v>0.65</v>
      </c>
      <c r="F202" s="54" t="n">
        <f aca="false" t="array" ref="F202:F202">IFERROR(INDEX('Bad Bins'!$J$2:$J$252,MATCH($A202,'Bad Bins'!$A$2:$A$252,0)),IFERROR(INDEX('Bad Bins'!$J$2:$J$252,MATCH(SUBSTITUTE($A202," SS","  SS"),'Bad Bins'!$A$2:$A$252,0)),"NA"))</f>
        <v>527</v>
      </c>
      <c r="G202" s="54" t="str">
        <f aca="false" t="array" ref="G202:G202">IFERROR(INDEX('RSTO &gt; 48hrs'!$G$2:$G$134,MATCH($A202,'RSTO &gt; 48hrs'!$A$2:$A$134,0)),IFERROR(INDEX('RSTO &gt; 48hrs'!$G$2:$G$134,MATCH(SUBSTITUTE($A202," SS","  SS"),'RSTO &gt; 48hrs'!$A$2:$A$134,0)),"NA"))</f>
        <v>NA</v>
      </c>
      <c r="H202" s="54" t="n">
        <f aca="false" t="array" ref="H202:H202">IFERROR(INDEX('Recirculation &gt; 24 hrs'!$J$2:$J$150,MATCH($A202,'Recirculation &gt; 24 hrs'!$A$2:$A$150,0)),IFERROR(INDEX('Recirculation &gt; 24 hrs'!$J$2:$J$150,MATCH(SUBSTITUTE($A202," SS","  SS"),'Recirculation &gt; 24 hrs'!$A$2:$A$150,0)),"NA"))</f>
        <v>7</v>
      </c>
      <c r="I202" s="54" t="n">
        <f aca="false" t="array" ref="I202:I202">IFERROR(INDEX('Pending Putaway'!$D$2:$D$255,MATCH($A202,'Pending Putaway'!$A$2:$A$255,0)),IFERROR(INDEX('Pending Putaway'!$D$2:$D$255,MATCH(SUBSTITUTE($A202," SS","  SS"),'Pending Putaway'!$A$2:$A$255,0)),"NA"))</f>
        <v>0</v>
      </c>
      <c r="J202" s="54" t="n">
        <f aca="false" t="array" ref="J202:J202">IFERROR(INDEX('Pending Putaway'!$K$2:$K$255,MATCH($A202,'Pending Putaway'!$A$2:$A$255,0)),IFERROR(INDEX('Pending Putaway'!$K$2:$K$255,MATCH(SUBSTITUTE($A202," SS","  SS"),'Pending Putaway'!$A$2:$A$255,0)),"NA"))</f>
        <v>0</v>
      </c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customFormat="false" ht="15.75" hidden="false" customHeight="true" outlineLevel="0" collapsed="false">
      <c r="A203" s="54" t="s">
        <v>78</v>
      </c>
      <c r="B203" s="54" t="str">
        <f aca="false" t="array" ref="B203:B203">IFERROR(INDEX('CLM &amp; IM Mapping'!$B$2:$B$270,MATCH($A203,'CLM &amp; IM Mapping'!$A$2:$A$270,0)),"Not Mapped")</f>
        <v>Vijay M</v>
      </c>
      <c r="C203" s="54" t="str">
        <f aca="false" t="array" ref="C203:C203">IFERROR(INDEX('CLM &amp; IM Mapping'!$C$2:$C$270,MATCH($A203,'CLM &amp; IM Mapping'!$A$2:$A$270,0)),"Not Mapped")</f>
        <v>Kantha Kumar</v>
      </c>
      <c r="D203" s="55" t="n">
        <f aca="false" t="array" ref="D203:D203">IFERROR(INDEX(Shrinkage!$O$2:$O$260,MATCH($A203,Shrinkage!$C$2:$C$260,0)),IFERROR(INDEX(Shrinkage!$O$2:$O$260,MATCH(SUBSTITUTE($A203," SS","  SS"),Shrinkage!$C$2:$C$260,0)),"NA"))</f>
        <v>30017</v>
      </c>
      <c r="E203" s="56" t="n">
        <f aca="false" t="array" ref="E203:E203">IFERROR(INDEX('Inventory Hygiene'!$I$2:$I$252,MATCH($A203,'Inventory Hygiene'!$A$2:$A$252,0)),IFERROR(INDEX('Inventory Hygiene'!$I$2:$I$252,MATCH(SUBSTITUTE($A203," SS","  SS"),'Inventory Hygiene'!$A$2:$A$252,0)),"NA"))</f>
        <v>0.86</v>
      </c>
      <c r="F203" s="54" t="n">
        <f aca="false" t="array" ref="F203:F203">IFERROR(INDEX('Bad Bins'!$J$2:$J$252,MATCH($A203,'Bad Bins'!$A$2:$A$252,0)),IFERROR(INDEX('Bad Bins'!$J$2:$J$252,MATCH(SUBSTITUTE($A203," SS","  SS"),'Bad Bins'!$A$2:$A$252,0)),"NA"))</f>
        <v>322</v>
      </c>
      <c r="G203" s="54" t="str">
        <f aca="false" t="array" ref="G203:G203">IFERROR(INDEX('RSTO &gt; 48hrs'!$G$2:$G$134,MATCH($A203,'RSTO &gt; 48hrs'!$A$2:$A$134,0)),IFERROR(INDEX('RSTO &gt; 48hrs'!$G$2:$G$134,MATCH(SUBSTITUTE($A203," SS","  SS"),'RSTO &gt; 48hrs'!$A$2:$A$134,0)),"NA"))</f>
        <v>NA</v>
      </c>
      <c r="H203" s="54" t="n">
        <f aca="false" t="array" ref="H203:H203">IFERROR(INDEX('Recirculation &gt; 24 hrs'!$J$2:$J$150,MATCH($A203,'Recirculation &gt; 24 hrs'!$A$2:$A$150,0)),IFERROR(INDEX('Recirculation &gt; 24 hrs'!$J$2:$J$150,MATCH(SUBSTITUTE($A203," SS","  SS"),'Recirculation &gt; 24 hrs'!$A$2:$A$150,0)),"NA"))</f>
        <v>1009</v>
      </c>
      <c r="I203" s="54" t="n">
        <f aca="false" t="array" ref="I203:I203">IFERROR(INDEX('Pending Putaway'!$D$2:$D$255,MATCH($A203,'Pending Putaway'!$A$2:$A$255,0)),IFERROR(INDEX('Pending Putaway'!$D$2:$D$255,MATCH(SUBSTITUTE($A203," SS","  SS"),'Pending Putaway'!$A$2:$A$255,0)),"NA"))</f>
        <v>4157</v>
      </c>
      <c r="J203" s="54" t="n">
        <f aca="false" t="array" ref="J203:J203">IFERROR(INDEX('Pending Putaway'!$K$2:$K$255,MATCH($A203,'Pending Putaway'!$A$2:$A$255,0)),IFERROR(INDEX('Pending Putaway'!$K$2:$K$255,MATCH(SUBSTITUTE($A203," SS","  SS"),'Pending Putaway'!$A$2:$A$255,0)),"NA"))</f>
        <v>0</v>
      </c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customFormat="false" ht="15.75" hidden="false" customHeight="true" outlineLevel="0" collapsed="false">
      <c r="A204" s="54" t="s">
        <v>226</v>
      </c>
      <c r="B204" s="54" t="str">
        <f aca="false" t="array" ref="B204:B204">IFERROR(INDEX('CLM &amp; IM Mapping'!$B$2:$B$270,MATCH($A204,'CLM &amp; IM Mapping'!$A$2:$A$270,0)),"Not Mapped")</f>
        <v>Ashwath S</v>
      </c>
      <c r="C204" s="54" t="str">
        <f aca="false" t="array" ref="C204:C204">IFERROR(INDEX('CLM &amp; IM Mapping'!$C$2:$C$270,MATCH($A204,'CLM &amp; IM Mapping'!$A$2:$A$270,0)),"Not Mapped")</f>
        <v>Kantha Kumar</v>
      </c>
      <c r="D204" s="55" t="n">
        <f aca="false" t="array" ref="D204:D204">IFERROR(INDEX(Shrinkage!$O$2:$O$260,MATCH($A204,Shrinkage!$C$2:$C$260,0)),IFERROR(INDEX(Shrinkage!$O$2:$O$260,MATCH(SUBSTITUTE($A204," SS","  SS"),Shrinkage!$C$2:$C$260,0)),"NA"))</f>
        <v>-4818</v>
      </c>
      <c r="E204" s="56" t="n">
        <f aca="false" t="array" ref="E204:E204">IFERROR(INDEX('Inventory Hygiene'!$I$2:$I$252,MATCH($A204,'Inventory Hygiene'!$A$2:$A$252,0)),IFERROR(INDEX('Inventory Hygiene'!$I$2:$I$252,MATCH(SUBSTITUTE($A204," SS","  SS"),'Inventory Hygiene'!$A$2:$A$252,0)),"NA"))</f>
        <v>0.53</v>
      </c>
      <c r="F204" s="54" t="n">
        <f aca="false" t="array" ref="F204:F204">IFERROR(INDEX('Bad Bins'!$J$2:$J$252,MATCH($A204,'Bad Bins'!$A$2:$A$252,0)),IFERROR(INDEX('Bad Bins'!$J$2:$J$252,MATCH(SUBSTITUTE($A204," SS","  SS"),'Bad Bins'!$A$2:$A$252,0)),"NA"))</f>
        <v>182</v>
      </c>
      <c r="G204" s="54" t="str">
        <f aca="false" t="array" ref="G204:G204">IFERROR(INDEX('RSTO &gt; 48hrs'!$G$2:$G$134,MATCH($A204,'RSTO &gt; 48hrs'!$A$2:$A$134,0)),IFERROR(INDEX('RSTO &gt; 48hrs'!$G$2:$G$134,MATCH(SUBSTITUTE($A204," SS","  SS"),'RSTO &gt; 48hrs'!$A$2:$A$134,0)),"NA"))</f>
        <v>NA</v>
      </c>
      <c r="H204" s="54" t="n">
        <f aca="false" t="array" ref="H204:H204">IFERROR(INDEX('Recirculation &gt; 24 hrs'!$J$2:$J$150,MATCH($A204,'Recirculation &gt; 24 hrs'!$A$2:$A$150,0)),IFERROR(INDEX('Recirculation &gt; 24 hrs'!$J$2:$J$150,MATCH(SUBSTITUTE($A204," SS","  SS"),'Recirculation &gt; 24 hrs'!$A$2:$A$150,0)),"NA"))</f>
        <v>13</v>
      </c>
      <c r="I204" s="54" t="n">
        <f aca="false" t="array" ref="I204:I204">IFERROR(INDEX('Pending Putaway'!$D$2:$D$255,MATCH($A204,'Pending Putaway'!$A$2:$A$255,0)),IFERROR(INDEX('Pending Putaway'!$D$2:$D$255,MATCH(SUBSTITUTE($A204," SS","  SS"),'Pending Putaway'!$A$2:$A$255,0)),"NA"))</f>
        <v>0</v>
      </c>
      <c r="J204" s="54" t="n">
        <f aca="false" t="array" ref="J204:J204">IFERROR(INDEX('Pending Putaway'!$K$2:$K$255,MATCH($A204,'Pending Putaway'!$A$2:$A$255,0)),IFERROR(INDEX('Pending Putaway'!$K$2:$K$255,MATCH(SUBSTITUTE($A204," SS","  SS"),'Pending Putaway'!$A$2:$A$255,0)),"NA"))</f>
        <v>0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customFormat="false" ht="15.75" hidden="false" customHeight="true" outlineLevel="0" collapsed="false">
      <c r="A205" s="54" t="s">
        <v>98</v>
      </c>
      <c r="B205" s="54" t="str">
        <f aca="false" t="array" ref="B205:B205">IFERROR(INDEX('CLM &amp; IM Mapping'!$B$2:$B$270,MATCH($A205,'CLM &amp; IM Mapping'!$A$2:$A$270,0)),"Not Mapped")</f>
        <v>Silambarasan E</v>
      </c>
      <c r="C205" s="54" t="str">
        <f aca="false" t="array" ref="C205:C205">IFERROR(INDEX('CLM &amp; IM Mapping'!$C$2:$C$270,MATCH($A205,'CLM &amp; IM Mapping'!$A$2:$A$270,0)),"Not Mapped")</f>
        <v>Arivind S</v>
      </c>
      <c r="D205" s="55" t="n">
        <f aca="false" t="array" ref="D205:D205">IFERROR(INDEX(Shrinkage!$O$2:$O$260,MATCH($A205,Shrinkage!$C$2:$C$260,0)),IFERROR(INDEX(Shrinkage!$O$2:$O$260,MATCH(SUBSTITUTE($A205," SS","  SS"),Shrinkage!$C$2:$C$260,0)),"NA"))</f>
        <v>21363</v>
      </c>
      <c r="E205" s="56" t="n">
        <f aca="false" t="array" ref="E205:E205">IFERROR(INDEX('Inventory Hygiene'!$I$2:$I$252,MATCH($A205,'Inventory Hygiene'!$A$2:$A$252,0)),IFERROR(INDEX('Inventory Hygiene'!$I$2:$I$252,MATCH(SUBSTITUTE($A205," SS","  SS"),'Inventory Hygiene'!$A$2:$A$252,0)),"NA"))</f>
        <v>0.8</v>
      </c>
      <c r="F205" s="54" t="n">
        <f aca="false" t="array" ref="F205:F205">IFERROR(INDEX('Bad Bins'!$J$2:$J$252,MATCH($A205,'Bad Bins'!$A$2:$A$252,0)),IFERROR(INDEX('Bad Bins'!$J$2:$J$252,MATCH(SUBSTITUTE($A205," SS","  SS"),'Bad Bins'!$A$2:$A$252,0)),"NA"))</f>
        <v>663</v>
      </c>
      <c r="G205" s="54" t="n">
        <f aca="false" t="array" ref="G205:G205">IFERROR(INDEX('RSTO &gt; 48hrs'!$G$2:$G$134,MATCH($A205,'RSTO &gt; 48hrs'!$A$2:$A$134,0)),IFERROR(INDEX('RSTO &gt; 48hrs'!$G$2:$G$134,MATCH(SUBSTITUTE($A205," SS","  SS"),'RSTO &gt; 48hrs'!$A$2:$A$134,0)),"NA"))</f>
        <v>150</v>
      </c>
      <c r="H205" s="54" t="n">
        <f aca="false" t="array" ref="H205:H205">IFERROR(INDEX('Recirculation &gt; 24 hrs'!$J$2:$J$150,MATCH($A205,'Recirculation &gt; 24 hrs'!$A$2:$A$150,0)),IFERROR(INDEX('Recirculation &gt; 24 hrs'!$J$2:$J$150,MATCH(SUBSTITUTE($A205," SS","  SS"),'Recirculation &gt; 24 hrs'!$A$2:$A$150,0)),"NA"))</f>
        <v>1</v>
      </c>
      <c r="I205" s="54" t="n">
        <f aca="false" t="array" ref="I205:I205">IFERROR(INDEX('Pending Putaway'!$D$2:$D$255,MATCH($A205,'Pending Putaway'!$A$2:$A$255,0)),IFERROR(INDEX('Pending Putaway'!$D$2:$D$255,MATCH(SUBSTITUTE($A205," SS","  SS"),'Pending Putaway'!$A$2:$A$255,0)),"NA"))</f>
        <v>10473</v>
      </c>
      <c r="J205" s="54" t="n">
        <f aca="false" t="array" ref="J205:J205">IFERROR(INDEX('Pending Putaway'!$K$2:$K$255,MATCH($A205,'Pending Putaway'!$A$2:$A$255,0)),IFERROR(INDEX('Pending Putaway'!$K$2:$K$255,MATCH(SUBSTITUTE($A205," SS","  SS"),'Pending Putaway'!$A$2:$A$255,0)),"NA"))</f>
        <v>2349</v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customFormat="false" ht="15.75" hidden="false" customHeight="true" outlineLevel="0" collapsed="false">
      <c r="A206" s="54" t="s">
        <v>101</v>
      </c>
      <c r="B206" s="54" t="str">
        <f aca="false" t="array" ref="B206:B206">IFERROR(INDEX('CLM &amp; IM Mapping'!$B$2:$B$270,MATCH($A206,'CLM &amp; IM Mapping'!$A$2:$A$270,0)),"Not Mapped")</f>
        <v>Silambarasan E</v>
      </c>
      <c r="C206" s="54" t="str">
        <f aca="false" t="array" ref="C206:C206">IFERROR(INDEX('CLM &amp; IM Mapping'!$C$2:$C$270,MATCH($A206,'CLM &amp; IM Mapping'!$A$2:$A$270,0)),"Not Mapped")</f>
        <v>Arivind S</v>
      </c>
      <c r="D206" s="55" t="n">
        <f aca="false" t="array" ref="D206:D206">IFERROR(INDEX(Shrinkage!$O$2:$O$260,MATCH($A206,Shrinkage!$C$2:$C$260,0)),IFERROR(INDEX(Shrinkage!$O$2:$O$260,MATCH(SUBSTITUTE($A206," SS","  SS"),Shrinkage!$C$2:$C$260,0)),"NA"))</f>
        <v>19952</v>
      </c>
      <c r="E206" s="56" t="n">
        <f aca="false" t="array" ref="E206:E206">IFERROR(INDEX('Inventory Hygiene'!$I$2:$I$252,MATCH($A206,'Inventory Hygiene'!$A$2:$A$252,0)),IFERROR(INDEX('Inventory Hygiene'!$I$2:$I$252,MATCH(SUBSTITUTE($A206," SS","  SS"),'Inventory Hygiene'!$A$2:$A$252,0)),"NA"))</f>
        <v>0.53</v>
      </c>
      <c r="F206" s="54" t="n">
        <f aca="false" t="array" ref="F206:F206">IFERROR(INDEX('Bad Bins'!$J$2:$J$252,MATCH($A206,'Bad Bins'!$A$2:$A$252,0)),IFERROR(INDEX('Bad Bins'!$J$2:$J$252,MATCH(SUBSTITUTE($A206," SS","  SS"),'Bad Bins'!$A$2:$A$252,0)),"NA"))</f>
        <v>142</v>
      </c>
      <c r="G206" s="54" t="n">
        <f aca="false" t="array" ref="G206:G206">IFERROR(INDEX('RSTO &gt; 48hrs'!$G$2:$G$134,MATCH($A206,'RSTO &gt; 48hrs'!$A$2:$A$134,0)),IFERROR(INDEX('RSTO &gt; 48hrs'!$G$2:$G$134,MATCH(SUBSTITUTE($A206," SS","  SS"),'RSTO &gt; 48hrs'!$A$2:$A$134,0)),"NA"))</f>
        <v>49</v>
      </c>
      <c r="H206" s="54" t="n">
        <f aca="false" t="array" ref="H206:H206">IFERROR(INDEX('Recirculation &gt; 24 hrs'!$J$2:$J$150,MATCH($A206,'Recirculation &gt; 24 hrs'!$A$2:$A$150,0)),IFERROR(INDEX('Recirculation &gt; 24 hrs'!$J$2:$J$150,MATCH(SUBSTITUTE($A206," SS","  SS"),'Recirculation &gt; 24 hrs'!$A$2:$A$150,0)),"NA"))</f>
        <v>6</v>
      </c>
      <c r="I206" s="54" t="n">
        <f aca="false" t="array" ref="I206:I206">IFERROR(INDEX('Pending Putaway'!$D$2:$D$255,MATCH($A206,'Pending Putaway'!$A$2:$A$255,0)),IFERROR(INDEX('Pending Putaway'!$D$2:$D$255,MATCH(SUBSTITUTE($A206," SS","  SS"),'Pending Putaway'!$A$2:$A$255,0)),"NA"))</f>
        <v>0</v>
      </c>
      <c r="J206" s="54" t="n">
        <f aca="false" t="array" ref="J206:J206">IFERROR(INDEX('Pending Putaway'!$K$2:$K$255,MATCH($A206,'Pending Putaway'!$A$2:$A$255,0)),IFERROR(INDEX('Pending Putaway'!$K$2:$K$255,MATCH(SUBSTITUTE($A206," SS","  SS"),'Pending Putaway'!$A$2:$A$255,0)),"NA"))</f>
        <v>0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customFormat="false" ht="15.75" hidden="false" customHeight="true" outlineLevel="0" collapsed="false">
      <c r="A207" s="54" t="s">
        <v>228</v>
      </c>
      <c r="B207" s="54" t="str">
        <f aca="false" t="array" ref="B207:B207">IFERROR(INDEX('CLM &amp; IM Mapping'!$B$2:$B$270,MATCH($A207,'CLM &amp; IM Mapping'!$A$2:$A$270,0)),"Not Mapped")</f>
        <v>Silambarasan E</v>
      </c>
      <c r="C207" s="54" t="str">
        <f aca="false" t="array" ref="C207:C207">IFERROR(INDEX('CLM &amp; IM Mapping'!$C$2:$C$270,MATCH($A207,'CLM &amp; IM Mapping'!$A$2:$A$270,0)),"Not Mapped")</f>
        <v>Arivind S</v>
      </c>
      <c r="D207" s="55" t="n">
        <f aca="false" t="array" ref="D207:D207">IFERROR(INDEX(Shrinkage!$O$2:$O$260,MATCH($A207,Shrinkage!$C$2:$C$260,0)),IFERROR(INDEX(Shrinkage!$O$2:$O$260,MATCH(SUBSTITUTE($A207," SS","  SS"),Shrinkage!$C$2:$C$260,0)),"NA"))</f>
        <v>-4939</v>
      </c>
      <c r="E207" s="56" t="n">
        <f aca="false" t="array" ref="E207:E207">IFERROR(INDEX('Inventory Hygiene'!$I$2:$I$252,MATCH($A207,'Inventory Hygiene'!$A$2:$A$252,0)),IFERROR(INDEX('Inventory Hygiene'!$I$2:$I$252,MATCH(SUBSTITUTE($A207," SS","  SS"),'Inventory Hygiene'!$A$2:$A$252,0)),"NA"))</f>
        <v>0.39</v>
      </c>
      <c r="F207" s="54" t="n">
        <f aca="false" t="array" ref="F207:F207">IFERROR(INDEX('Bad Bins'!$J$2:$J$252,MATCH($A207,'Bad Bins'!$A$2:$A$252,0)),IFERROR(INDEX('Bad Bins'!$J$2:$J$252,MATCH(SUBSTITUTE($A207," SS","  SS"),'Bad Bins'!$A$2:$A$252,0)),"NA"))</f>
        <v>116</v>
      </c>
      <c r="G207" s="54" t="str">
        <f aca="false" t="array" ref="G207:G207">IFERROR(INDEX('RSTO &gt; 48hrs'!$G$2:$G$134,MATCH($A207,'RSTO &gt; 48hrs'!$A$2:$A$134,0)),IFERROR(INDEX('RSTO &gt; 48hrs'!$G$2:$G$134,MATCH(SUBSTITUTE($A207," SS","  SS"),'RSTO &gt; 48hrs'!$A$2:$A$134,0)),"NA"))</f>
        <v>NA</v>
      </c>
      <c r="H207" s="54" t="str">
        <f aca="false" t="array" ref="H207:H207">IFERROR(INDEX('Recirculation &gt; 24 hrs'!$J$2:$J$150,MATCH($A207,'Recirculation &gt; 24 hrs'!$A$2:$A$150,0)),IFERROR(INDEX('Recirculation &gt; 24 hrs'!$J$2:$J$150,MATCH(SUBSTITUTE($A207," SS","  SS"),'Recirculation &gt; 24 hrs'!$A$2:$A$150,0)),"NA"))</f>
        <v>NA</v>
      </c>
      <c r="I207" s="54" t="n">
        <f aca="false" t="array" ref="I207:I207">IFERROR(INDEX('Pending Putaway'!$D$2:$D$255,MATCH($A207,'Pending Putaway'!$A$2:$A$255,0)),IFERROR(INDEX('Pending Putaway'!$D$2:$D$255,MATCH(SUBSTITUTE($A207," SS","  SS"),'Pending Putaway'!$A$2:$A$255,0)),"NA"))</f>
        <v>7560</v>
      </c>
      <c r="J207" s="54" t="n">
        <f aca="false" t="array" ref="J207:J207">IFERROR(INDEX('Pending Putaway'!$K$2:$K$255,MATCH($A207,'Pending Putaway'!$A$2:$A$255,0)),IFERROR(INDEX('Pending Putaway'!$K$2:$K$255,MATCH(SUBSTITUTE($A207," SS","  SS"),'Pending Putaway'!$A$2:$A$255,0)),"NA"))</f>
        <v>603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customFormat="false" ht="15.75" hidden="false" customHeight="true" outlineLevel="0" collapsed="false">
      <c r="A208" s="54" t="s">
        <v>232</v>
      </c>
      <c r="B208" s="54" t="str">
        <f aca="false" t="array" ref="B208:B208">IFERROR(INDEX('CLM &amp; IM Mapping'!$B$2:$B$270,MATCH($A208,'CLM &amp; IM Mapping'!$A$2:$A$270,0)),"Not Mapped")</f>
        <v>Silambarasan E</v>
      </c>
      <c r="C208" s="54" t="str">
        <f aca="false" t="array" ref="C208:C208">IFERROR(INDEX('CLM &amp; IM Mapping'!$C$2:$C$270,MATCH($A208,'CLM &amp; IM Mapping'!$A$2:$A$270,0)),"Not Mapped")</f>
        <v>Arivind S</v>
      </c>
      <c r="D208" s="55" t="n">
        <f aca="false" t="array" ref="D208:D208">IFERROR(INDEX(Shrinkage!$O$2:$O$260,MATCH($A208,Shrinkage!$C$2:$C$260,0)),IFERROR(INDEX(Shrinkage!$O$2:$O$260,MATCH(SUBSTITUTE($A208," SS","  SS"),Shrinkage!$C$2:$C$260,0)),"NA"))</f>
        <v>-5077</v>
      </c>
      <c r="E208" s="56" t="n">
        <f aca="false" t="array" ref="E208:E208">IFERROR(INDEX('Inventory Hygiene'!$I$2:$I$252,MATCH($A208,'Inventory Hygiene'!$A$2:$A$252,0)),IFERROR(INDEX('Inventory Hygiene'!$I$2:$I$252,MATCH(SUBSTITUTE($A208," SS","  SS"),'Inventory Hygiene'!$A$2:$A$252,0)),"NA"))</f>
        <v>0.49</v>
      </c>
      <c r="F208" s="54" t="n">
        <f aca="false" t="array" ref="F208:F208">IFERROR(INDEX('Bad Bins'!$J$2:$J$252,MATCH($A208,'Bad Bins'!$A$2:$A$252,0)),IFERROR(INDEX('Bad Bins'!$J$2:$J$252,MATCH(SUBSTITUTE($A208," SS","  SS"),'Bad Bins'!$A$2:$A$252,0)),"NA"))</f>
        <v>59</v>
      </c>
      <c r="G208" s="54" t="str">
        <f aca="false" t="array" ref="G208:G208">IFERROR(INDEX('RSTO &gt; 48hrs'!$G$2:$G$134,MATCH($A208,'RSTO &gt; 48hrs'!$A$2:$A$134,0)),IFERROR(INDEX('RSTO &gt; 48hrs'!$G$2:$G$134,MATCH(SUBSTITUTE($A208," SS","  SS"),'RSTO &gt; 48hrs'!$A$2:$A$134,0)),"NA"))</f>
        <v>NA</v>
      </c>
      <c r="H208" s="54" t="str">
        <f aca="false" t="array" ref="H208:H208">IFERROR(INDEX('Recirculation &gt; 24 hrs'!$J$2:$J$150,MATCH($A208,'Recirculation &gt; 24 hrs'!$A$2:$A$150,0)),IFERROR(INDEX('Recirculation &gt; 24 hrs'!$J$2:$J$150,MATCH(SUBSTITUTE($A208," SS","  SS"),'Recirculation &gt; 24 hrs'!$A$2:$A$150,0)),"NA"))</f>
        <v>NA</v>
      </c>
      <c r="I208" s="54" t="n">
        <f aca="false" t="array" ref="I208:I208">IFERROR(INDEX('Pending Putaway'!$D$2:$D$255,MATCH($A208,'Pending Putaway'!$A$2:$A$255,0)),IFERROR(INDEX('Pending Putaway'!$D$2:$D$255,MATCH(SUBSTITUTE($A208," SS","  SS"),'Pending Putaway'!$A$2:$A$255,0)),"NA"))</f>
        <v>914</v>
      </c>
      <c r="J208" s="54" t="n">
        <f aca="false" t="array" ref="J208:J208">IFERROR(INDEX('Pending Putaway'!$K$2:$K$255,MATCH($A208,'Pending Putaway'!$A$2:$A$255,0)),IFERROR(INDEX('Pending Putaway'!$K$2:$K$255,MATCH(SUBSTITUTE($A208," SS","  SS"),'Pending Putaway'!$A$2:$A$255,0)),"NA"))</f>
        <v>914</v>
      </c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customFormat="false" ht="15.75" hidden="false" customHeight="true" outlineLevel="0" collapsed="false">
      <c r="A209" s="54" t="s">
        <v>87</v>
      </c>
      <c r="B209" s="54" t="str">
        <f aca="false" t="array" ref="B209:B209">IFERROR(INDEX('CLM &amp; IM Mapping'!$B$2:$B$270,MATCH($A209,'CLM &amp; IM Mapping'!$A$2:$A$270,0)),"Not Mapped")</f>
        <v>Silambarasan E</v>
      </c>
      <c r="C209" s="54" t="str">
        <f aca="false" t="array" ref="C209:C209">IFERROR(INDEX('CLM &amp; IM Mapping'!$C$2:$C$270,MATCH($A209,'CLM &amp; IM Mapping'!$A$2:$A$270,0)),"Not Mapped")</f>
        <v>Arivind S</v>
      </c>
      <c r="D209" s="55" t="n">
        <f aca="false" t="array" ref="D209:D209">IFERROR(INDEX(Shrinkage!$O$2:$O$260,MATCH($A209,Shrinkage!$C$2:$C$260,0)),IFERROR(INDEX(Shrinkage!$O$2:$O$260,MATCH(SUBSTITUTE($A209," SS","  SS"),Shrinkage!$C$2:$C$260,0)),"NA"))</f>
        <v>27298</v>
      </c>
      <c r="E209" s="56" t="n">
        <f aca="false" t="array" ref="E209:E209">IFERROR(INDEX('Inventory Hygiene'!$I$2:$I$252,MATCH($A209,'Inventory Hygiene'!$A$2:$A$252,0)),IFERROR(INDEX('Inventory Hygiene'!$I$2:$I$252,MATCH(SUBSTITUTE($A209," SS","  SS"),'Inventory Hygiene'!$A$2:$A$252,0)),"NA"))</f>
        <v>0.54</v>
      </c>
      <c r="F209" s="54" t="n">
        <f aca="false" t="array" ref="F209:F209">IFERROR(INDEX('Bad Bins'!$J$2:$J$252,MATCH($A209,'Bad Bins'!$A$2:$A$252,0)),IFERROR(INDEX('Bad Bins'!$J$2:$J$252,MATCH(SUBSTITUTE($A209," SS","  SS"),'Bad Bins'!$A$2:$A$252,0)),"NA"))</f>
        <v>116</v>
      </c>
      <c r="G209" s="54" t="n">
        <f aca="false" t="array" ref="G209:G209">IFERROR(INDEX('RSTO &gt; 48hrs'!$G$2:$G$134,MATCH($A209,'RSTO &gt; 48hrs'!$A$2:$A$134,0)),IFERROR(INDEX('RSTO &gt; 48hrs'!$G$2:$G$134,MATCH(SUBSTITUTE($A209," SS","  SS"),'RSTO &gt; 48hrs'!$A$2:$A$134,0)),"NA"))</f>
        <v>178</v>
      </c>
      <c r="H209" s="54" t="n">
        <f aca="false" t="array" ref="H209:H209">IFERROR(INDEX('Recirculation &gt; 24 hrs'!$J$2:$J$150,MATCH($A209,'Recirculation &gt; 24 hrs'!$A$2:$A$150,0)),IFERROR(INDEX('Recirculation &gt; 24 hrs'!$J$2:$J$150,MATCH(SUBSTITUTE($A209," SS","  SS"),'Recirculation &gt; 24 hrs'!$A$2:$A$150,0)),"NA"))</f>
        <v>9</v>
      </c>
      <c r="I209" s="54" t="n">
        <f aca="false" t="array" ref="I209:I209">IFERROR(INDEX('Pending Putaway'!$D$2:$D$255,MATCH($A209,'Pending Putaway'!$A$2:$A$255,0)),IFERROR(INDEX('Pending Putaway'!$D$2:$D$255,MATCH(SUBSTITUTE($A209," SS","  SS"),'Pending Putaway'!$A$2:$A$255,0)),"NA"))</f>
        <v>1277</v>
      </c>
      <c r="J209" s="54" t="n">
        <f aca="false" t="array" ref="J209:J209">IFERROR(INDEX('Pending Putaway'!$K$2:$K$255,MATCH($A209,'Pending Putaway'!$A$2:$A$255,0)),IFERROR(INDEX('Pending Putaway'!$K$2:$K$255,MATCH(SUBSTITUTE($A209," SS","  SS"),'Pending Putaway'!$A$2:$A$255,0)),"NA"))</f>
        <v>425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customFormat="false" ht="15.75" hidden="false" customHeight="true" outlineLevel="0" collapsed="false">
      <c r="A210" s="54" t="s">
        <v>260</v>
      </c>
      <c r="B210" s="54" t="str">
        <f aca="false" t="array" ref="B210:B210">IFERROR(INDEX('CLM &amp; IM Mapping'!$B$2:$B$270,MATCH($A210,'CLM &amp; IM Mapping'!$A$2:$A$270,0)),"Not Mapped")</f>
        <v>Silambarasan E</v>
      </c>
      <c r="C210" s="54" t="str">
        <f aca="false" t="array" ref="C210:C210">IFERROR(INDEX('CLM &amp; IM Mapping'!$C$2:$C$270,MATCH($A210,'CLM &amp; IM Mapping'!$A$2:$A$270,0)),"Not Mapped")</f>
        <v>Arivind S</v>
      </c>
      <c r="D210" s="55" t="n">
        <f aca="false" t="array" ref="D210:D210">IFERROR(INDEX(Shrinkage!$O$2:$O$260,MATCH($A210,Shrinkage!$C$2:$C$260,0)),IFERROR(INDEX(Shrinkage!$O$2:$O$260,MATCH(SUBSTITUTE($A210," SS","  SS"),Shrinkage!$C$2:$C$260,0)),"NA"))</f>
        <v>-9170</v>
      </c>
      <c r="E210" s="56" t="n">
        <f aca="false" t="array" ref="E210:E210">IFERROR(INDEX('Inventory Hygiene'!$I$2:$I$252,MATCH($A210,'Inventory Hygiene'!$A$2:$A$252,0)),IFERROR(INDEX('Inventory Hygiene'!$I$2:$I$252,MATCH(SUBSTITUTE($A210," SS","  SS"),'Inventory Hygiene'!$A$2:$A$252,0)),"NA"))</f>
        <v>0.48</v>
      </c>
      <c r="F210" s="54" t="n">
        <f aca="false" t="array" ref="F210:F210">IFERROR(INDEX('Bad Bins'!$J$2:$J$252,MATCH($A210,'Bad Bins'!$A$2:$A$252,0)),IFERROR(INDEX('Bad Bins'!$J$2:$J$252,MATCH(SUBSTITUTE($A210," SS","  SS"),'Bad Bins'!$A$2:$A$252,0)),"NA"))</f>
        <v>15</v>
      </c>
      <c r="G210" s="54" t="n">
        <f aca="false" t="array" ref="G210:G210">IFERROR(INDEX('RSTO &gt; 48hrs'!$G$2:$G$134,MATCH($A210,'RSTO &gt; 48hrs'!$A$2:$A$134,0)),IFERROR(INDEX('RSTO &gt; 48hrs'!$G$2:$G$134,MATCH(SUBSTITUTE($A210," SS","  SS"),'RSTO &gt; 48hrs'!$A$2:$A$134,0)),"NA"))</f>
        <v>1</v>
      </c>
      <c r="H210" s="54" t="str">
        <f aca="false" t="array" ref="H210:H210">IFERROR(INDEX('Recirculation &gt; 24 hrs'!$J$2:$J$150,MATCH($A210,'Recirculation &gt; 24 hrs'!$A$2:$A$150,0)),IFERROR(INDEX('Recirculation &gt; 24 hrs'!$J$2:$J$150,MATCH(SUBSTITUTE($A210," SS","  SS"),'Recirculation &gt; 24 hrs'!$A$2:$A$150,0)),"NA"))</f>
        <v>NA</v>
      </c>
      <c r="I210" s="54" t="n">
        <f aca="false" t="array" ref="I210:I210">IFERROR(INDEX('Pending Putaway'!$D$2:$D$255,MATCH($A210,'Pending Putaway'!$A$2:$A$255,0)),IFERROR(INDEX('Pending Putaway'!$D$2:$D$255,MATCH(SUBSTITUTE($A210," SS","  SS"),'Pending Putaway'!$A$2:$A$255,0)),"NA"))</f>
        <v>21</v>
      </c>
      <c r="J210" s="54" t="n">
        <f aca="false" t="array" ref="J210:J210">IFERROR(INDEX('Pending Putaway'!$K$2:$K$255,MATCH($A210,'Pending Putaway'!$A$2:$A$255,0)),IFERROR(INDEX('Pending Putaway'!$K$2:$K$255,MATCH(SUBSTITUTE($A210," SS","  SS"),'Pending Putaway'!$A$2:$A$255,0)),"NA"))</f>
        <v>0</v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customFormat="false" ht="15.75" hidden="false" customHeight="true" outlineLevel="0" collapsed="false">
      <c r="A211" s="54" t="s">
        <v>62</v>
      </c>
      <c r="B211" s="54" t="str">
        <f aca="false" t="array" ref="B211:B211">IFERROR(INDEX('CLM &amp; IM Mapping'!$B$2:$B$270,MATCH($A211,'CLM &amp; IM Mapping'!$A$2:$A$270,0)),"Not Mapped")</f>
        <v>Silambarasan E</v>
      </c>
      <c r="C211" s="54" t="str">
        <f aca="false" t="array" ref="C211:C211">IFERROR(INDEX('CLM &amp; IM Mapping'!$C$2:$C$270,MATCH($A211,'CLM &amp; IM Mapping'!$A$2:$A$270,0)),"Not Mapped")</f>
        <v>Arivind S</v>
      </c>
      <c r="D211" s="55" t="n">
        <f aca="false" t="array" ref="D211:D211">IFERROR(INDEX(Shrinkage!$O$2:$O$260,MATCH($A211,Shrinkage!$C$2:$C$260,0)),IFERROR(INDEX(Shrinkage!$O$2:$O$260,MATCH(SUBSTITUTE($A211," SS","  SS"),Shrinkage!$C$2:$C$260,0)),"NA"))</f>
        <v>40101</v>
      </c>
      <c r="E211" s="56" t="n">
        <f aca="false" t="array" ref="E211:E211">IFERROR(INDEX('Inventory Hygiene'!$I$2:$I$252,MATCH($A211,'Inventory Hygiene'!$A$2:$A$252,0)),IFERROR(INDEX('Inventory Hygiene'!$I$2:$I$252,MATCH(SUBSTITUTE($A211," SS","  SS"),'Inventory Hygiene'!$A$2:$A$252,0)),"NA"))</f>
        <v>0.48</v>
      </c>
      <c r="F211" s="54" t="n">
        <f aca="false" t="array" ref="F211:F211">IFERROR(INDEX('Bad Bins'!$J$2:$J$252,MATCH($A211,'Bad Bins'!$A$2:$A$252,0)),IFERROR(INDEX('Bad Bins'!$J$2:$J$252,MATCH(SUBSTITUTE($A211," SS","  SS"),'Bad Bins'!$A$2:$A$252,0)),"NA"))</f>
        <v>241</v>
      </c>
      <c r="G211" s="54" t="n">
        <f aca="false" t="array" ref="G211:G211">IFERROR(INDEX('RSTO &gt; 48hrs'!$G$2:$G$134,MATCH($A211,'RSTO &gt; 48hrs'!$A$2:$A$134,0)),IFERROR(INDEX('RSTO &gt; 48hrs'!$G$2:$G$134,MATCH(SUBSTITUTE($A211," SS","  SS"),'RSTO &gt; 48hrs'!$A$2:$A$134,0)),"NA"))</f>
        <v>267</v>
      </c>
      <c r="H211" s="54" t="n">
        <f aca="false" t="array" ref="H211:H211">IFERROR(INDEX('Recirculation &gt; 24 hrs'!$J$2:$J$150,MATCH($A211,'Recirculation &gt; 24 hrs'!$A$2:$A$150,0)),IFERROR(INDEX('Recirculation &gt; 24 hrs'!$J$2:$J$150,MATCH(SUBSTITUTE($A211," SS","  SS"),'Recirculation &gt; 24 hrs'!$A$2:$A$150,0)),"NA"))</f>
        <v>12</v>
      </c>
      <c r="I211" s="54" t="n">
        <f aca="false" t="array" ref="I211:I211">IFERROR(INDEX('Pending Putaway'!$D$2:$D$255,MATCH($A211,'Pending Putaway'!$A$2:$A$255,0)),IFERROR(INDEX('Pending Putaway'!$D$2:$D$255,MATCH(SUBSTITUTE($A211," SS","  SS"),'Pending Putaway'!$A$2:$A$255,0)),"NA"))</f>
        <v>4567</v>
      </c>
      <c r="J211" s="54" t="n">
        <f aca="false" t="array" ref="J211:J211">IFERROR(INDEX('Pending Putaway'!$K$2:$K$255,MATCH($A211,'Pending Putaway'!$A$2:$A$255,0)),IFERROR(INDEX('Pending Putaway'!$K$2:$K$255,MATCH(SUBSTITUTE($A211," SS","  SS"),'Pending Putaway'!$A$2:$A$255,0)),"NA"))</f>
        <v>3994</v>
      </c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customFormat="false" ht="15.75" hidden="false" customHeight="true" outlineLevel="0" collapsed="false">
      <c r="A212" s="54" t="s">
        <v>84</v>
      </c>
      <c r="B212" s="54" t="str">
        <f aca="false" t="array" ref="B212:B212">IFERROR(INDEX('CLM &amp; IM Mapping'!$B$2:$B$270,MATCH($A212,'CLM &amp; IM Mapping'!$A$2:$A$270,0)),"Not Mapped")</f>
        <v>Silambarasan E</v>
      </c>
      <c r="C212" s="54" t="str">
        <f aca="false" t="array" ref="C212:C212">IFERROR(INDEX('CLM &amp; IM Mapping'!$C$2:$C$270,MATCH($A212,'CLM &amp; IM Mapping'!$A$2:$A$270,0)),"Not Mapped")</f>
        <v>Arivind S</v>
      </c>
      <c r="D212" s="55" t="n">
        <f aca="false" t="array" ref="D212:D212">IFERROR(INDEX(Shrinkage!$O$2:$O$260,MATCH($A212,Shrinkage!$C$2:$C$260,0)),IFERROR(INDEX(Shrinkage!$O$2:$O$260,MATCH(SUBSTITUTE($A212," SS","  SS"),Shrinkage!$C$2:$C$260,0)),"NA"))</f>
        <v>28349</v>
      </c>
      <c r="E212" s="56" t="n">
        <f aca="false" t="array" ref="E212:E212">IFERROR(INDEX('Inventory Hygiene'!$I$2:$I$252,MATCH($A212,'Inventory Hygiene'!$A$2:$A$252,0)),IFERROR(INDEX('Inventory Hygiene'!$I$2:$I$252,MATCH(SUBSTITUTE($A212," SS","  SS"),'Inventory Hygiene'!$A$2:$A$252,0)),"NA"))</f>
        <v>0.41</v>
      </c>
      <c r="F212" s="54" t="n">
        <f aca="false" t="array" ref="F212:F212">IFERROR(INDEX('Bad Bins'!$J$2:$J$252,MATCH($A212,'Bad Bins'!$A$2:$A$252,0)),IFERROR(INDEX('Bad Bins'!$J$2:$J$252,MATCH(SUBSTITUTE($A212," SS","  SS"),'Bad Bins'!$A$2:$A$252,0)),"NA"))</f>
        <v>204</v>
      </c>
      <c r="G212" s="54" t="str">
        <f aca="false" t="array" ref="G212:G212">IFERROR(INDEX('RSTO &gt; 48hrs'!$G$2:$G$134,MATCH($A212,'RSTO &gt; 48hrs'!$A$2:$A$134,0)),IFERROR(INDEX('RSTO &gt; 48hrs'!$G$2:$G$134,MATCH(SUBSTITUTE($A212," SS","  SS"),'RSTO &gt; 48hrs'!$A$2:$A$134,0)),"NA"))</f>
        <v>NA</v>
      </c>
      <c r="H212" s="54" t="n">
        <f aca="false" t="array" ref="H212:H212">IFERROR(INDEX('Recirculation &gt; 24 hrs'!$J$2:$J$150,MATCH($A212,'Recirculation &gt; 24 hrs'!$A$2:$A$150,0)),IFERROR(INDEX('Recirculation &gt; 24 hrs'!$J$2:$J$150,MATCH(SUBSTITUTE($A212," SS","  SS"),'Recirculation &gt; 24 hrs'!$A$2:$A$150,0)),"NA"))</f>
        <v>25</v>
      </c>
      <c r="I212" s="54" t="n">
        <f aca="false" t="array" ref="I212:I212">IFERROR(INDEX('Pending Putaway'!$D$2:$D$255,MATCH($A212,'Pending Putaway'!$A$2:$A$255,0)),IFERROR(INDEX('Pending Putaway'!$D$2:$D$255,MATCH(SUBSTITUTE($A212," SS","  SS"),'Pending Putaway'!$A$2:$A$255,0)),"NA"))</f>
        <v>1165</v>
      </c>
      <c r="J212" s="54" t="n">
        <f aca="false" t="array" ref="J212:J212">IFERROR(INDEX('Pending Putaway'!$K$2:$K$255,MATCH($A212,'Pending Putaway'!$A$2:$A$255,0)),IFERROR(INDEX('Pending Putaway'!$K$2:$K$255,MATCH(SUBSTITUTE($A212," SS","  SS"),'Pending Putaway'!$A$2:$A$255,0)),"NA"))</f>
        <v>1165</v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customFormat="false" ht="15.75" hidden="false" customHeight="true" outlineLevel="0" collapsed="false">
      <c r="A213" s="54" t="s">
        <v>44</v>
      </c>
      <c r="B213" s="54" t="str">
        <f aca="false" t="array" ref="B213:B213">IFERROR(INDEX('CLM &amp; IM Mapping'!$B$2:$B$270,MATCH($A213,'CLM &amp; IM Mapping'!$A$2:$A$270,0)),"Not Mapped")</f>
        <v>Silambarasan E</v>
      </c>
      <c r="C213" s="54" t="str">
        <f aca="false" t="array" ref="C213:C213">IFERROR(INDEX('CLM &amp; IM Mapping'!$C$2:$C$270,MATCH($A213,'CLM &amp; IM Mapping'!$A$2:$A$270,0)),"Not Mapped")</f>
        <v>Arivind S</v>
      </c>
      <c r="D213" s="55" t="n">
        <f aca="false" t="array" ref="D213:D213">IFERROR(INDEX(Shrinkage!$O$2:$O$260,MATCH($A213,Shrinkage!$C$2:$C$260,0)),IFERROR(INDEX(Shrinkage!$O$2:$O$260,MATCH(SUBSTITUTE($A213," SS","  SS"),Shrinkage!$C$2:$C$260,0)),"NA"))</f>
        <v>48259</v>
      </c>
      <c r="E213" s="56" t="n">
        <f aca="false" t="array" ref="E213:E213">IFERROR(INDEX('Inventory Hygiene'!$I$2:$I$252,MATCH($A213,'Inventory Hygiene'!$A$2:$A$252,0)),IFERROR(INDEX('Inventory Hygiene'!$I$2:$I$252,MATCH(SUBSTITUTE($A213," SS","  SS"),'Inventory Hygiene'!$A$2:$A$252,0)),"NA"))</f>
        <v>0.7</v>
      </c>
      <c r="F213" s="54" t="n">
        <f aca="false" t="array" ref="F213:F213">IFERROR(INDEX('Bad Bins'!$J$2:$J$252,MATCH($A213,'Bad Bins'!$A$2:$A$252,0)),IFERROR(INDEX('Bad Bins'!$J$2:$J$252,MATCH(SUBSTITUTE($A213," SS","  SS"),'Bad Bins'!$A$2:$A$252,0)),"NA"))</f>
        <v>67</v>
      </c>
      <c r="G213" s="54" t="n">
        <f aca="false" t="array" ref="G213:G213">IFERROR(INDEX('RSTO &gt; 48hrs'!$G$2:$G$134,MATCH($A213,'RSTO &gt; 48hrs'!$A$2:$A$134,0)),IFERROR(INDEX('RSTO &gt; 48hrs'!$G$2:$G$134,MATCH(SUBSTITUTE($A213," SS","  SS"),'RSTO &gt; 48hrs'!$A$2:$A$134,0)),"NA"))</f>
        <v>407</v>
      </c>
      <c r="H213" s="54" t="n">
        <f aca="false" t="array" ref="H213:H213">IFERROR(INDEX('Recirculation &gt; 24 hrs'!$J$2:$J$150,MATCH($A213,'Recirculation &gt; 24 hrs'!$A$2:$A$150,0)),IFERROR(INDEX('Recirculation &gt; 24 hrs'!$J$2:$J$150,MATCH(SUBSTITUTE($A213," SS","  SS"),'Recirculation &gt; 24 hrs'!$A$2:$A$150,0)),"NA"))</f>
        <v>23</v>
      </c>
      <c r="I213" s="54" t="n">
        <f aca="false" t="array" ref="I213:I213">IFERROR(INDEX('Pending Putaway'!$D$2:$D$255,MATCH($A213,'Pending Putaway'!$A$2:$A$255,0)),IFERROR(INDEX('Pending Putaway'!$D$2:$D$255,MATCH(SUBSTITUTE($A213," SS","  SS"),'Pending Putaway'!$A$2:$A$255,0)),"NA"))</f>
        <v>6312</v>
      </c>
      <c r="J213" s="54" t="n">
        <f aca="false" t="array" ref="J213:J213">IFERROR(INDEX('Pending Putaway'!$K$2:$K$255,MATCH($A213,'Pending Putaway'!$A$2:$A$255,0)),IFERROR(INDEX('Pending Putaway'!$K$2:$K$255,MATCH(SUBSTITUTE($A213," SS","  SS"),'Pending Putaway'!$A$2:$A$255,0)),"NA"))</f>
        <v>6312</v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customFormat="false" ht="15.75" hidden="false" customHeight="true" outlineLevel="0" collapsed="false">
      <c r="A214" s="54" t="s">
        <v>105</v>
      </c>
      <c r="B214" s="54" t="str">
        <f aca="false" t="array" ref="B214:B214">IFERROR(INDEX('CLM &amp; IM Mapping'!$B$2:$B$270,MATCH($A214,'CLM &amp; IM Mapping'!$A$2:$A$270,0)),"Not Mapped")</f>
        <v>Vishnu V</v>
      </c>
      <c r="C214" s="54" t="str">
        <f aca="false" t="array" ref="C214:C214">IFERROR(INDEX('CLM &amp; IM Mapping'!$C$2:$C$270,MATCH($A214,'CLM &amp; IM Mapping'!$A$2:$A$270,0)),"Not Mapped")</f>
        <v>Arivind S</v>
      </c>
      <c r="D214" s="55" t="n">
        <f aca="false" t="array" ref="D214:D214">IFERROR(INDEX(Shrinkage!$O$2:$O$260,MATCH($A214,Shrinkage!$C$2:$C$260,0)),IFERROR(INDEX(Shrinkage!$O$2:$O$260,MATCH(SUBSTITUTE($A214," SS","  SS"),Shrinkage!$C$2:$C$260,0)),"NA"))</f>
        <v>18472</v>
      </c>
      <c r="E214" s="56" t="n">
        <f aca="false" t="array" ref="E214:E214">IFERROR(INDEX('Inventory Hygiene'!$I$2:$I$252,MATCH($A214,'Inventory Hygiene'!$A$2:$A$252,0)),IFERROR(INDEX('Inventory Hygiene'!$I$2:$I$252,MATCH(SUBSTITUTE($A214," SS","  SS"),'Inventory Hygiene'!$A$2:$A$252,0)),"NA"))</f>
        <v>0.59</v>
      </c>
      <c r="F214" s="54" t="n">
        <f aca="false" t="array" ref="F214:F214">IFERROR(INDEX('Bad Bins'!$J$2:$J$252,MATCH($A214,'Bad Bins'!$A$2:$A$252,0)),IFERROR(INDEX('Bad Bins'!$J$2:$J$252,MATCH(SUBSTITUTE($A214," SS","  SS"),'Bad Bins'!$A$2:$A$252,0)),"NA"))</f>
        <v>1857</v>
      </c>
      <c r="G214" s="54" t="str">
        <f aca="false" t="array" ref="G214:G214">IFERROR(INDEX('RSTO &gt; 48hrs'!$G$2:$G$134,MATCH($A214,'RSTO &gt; 48hrs'!$A$2:$A$134,0)),IFERROR(INDEX('RSTO &gt; 48hrs'!$G$2:$G$134,MATCH(SUBSTITUTE($A214," SS","  SS"),'RSTO &gt; 48hrs'!$A$2:$A$134,0)),"NA"))</f>
        <v>NA</v>
      </c>
      <c r="H214" s="54" t="str">
        <f aca="false" t="array" ref="H214:H214">IFERROR(INDEX('Recirculation &gt; 24 hrs'!$J$2:$J$150,MATCH($A214,'Recirculation &gt; 24 hrs'!$A$2:$A$150,0)),IFERROR(INDEX('Recirculation &gt; 24 hrs'!$J$2:$J$150,MATCH(SUBSTITUTE($A214," SS","  SS"),'Recirculation &gt; 24 hrs'!$A$2:$A$150,0)),"NA"))</f>
        <v>NA</v>
      </c>
      <c r="I214" s="54" t="n">
        <f aca="false" t="array" ref="I214:I214">IFERROR(INDEX('Pending Putaway'!$D$2:$D$255,MATCH($A214,'Pending Putaway'!$A$2:$A$255,0)),IFERROR(INDEX('Pending Putaway'!$D$2:$D$255,MATCH(SUBSTITUTE($A214," SS","  SS"),'Pending Putaway'!$A$2:$A$255,0)),"NA"))</f>
        <v>2926</v>
      </c>
      <c r="J214" s="54" t="n">
        <f aca="false" t="array" ref="J214:J214">IFERROR(INDEX('Pending Putaway'!$K$2:$K$255,MATCH($A214,'Pending Putaway'!$A$2:$A$255,0)),IFERROR(INDEX('Pending Putaway'!$K$2:$K$255,MATCH(SUBSTITUTE($A214," SS","  SS"),'Pending Putaway'!$A$2:$A$255,0)),"NA"))</f>
        <v>1</v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customFormat="false" ht="15.75" hidden="false" customHeight="true" outlineLevel="0" collapsed="false">
      <c r="A215" s="54" t="s">
        <v>255</v>
      </c>
      <c r="B215" s="54" t="str">
        <f aca="false" t="array" ref="B215:B215">IFERROR(INDEX('CLM &amp; IM Mapping'!$B$2:$B$270,MATCH($A215,'CLM &amp; IM Mapping'!$A$2:$A$270,0)),"Not Mapped")</f>
        <v>Vishnu V</v>
      </c>
      <c r="C215" s="54" t="str">
        <f aca="false" t="array" ref="C215:C215">IFERROR(INDEX('CLM &amp; IM Mapping'!$C$2:$C$270,MATCH($A215,'CLM &amp; IM Mapping'!$A$2:$A$270,0)),"Not Mapped")</f>
        <v>Arivind S</v>
      </c>
      <c r="D215" s="55" t="n">
        <f aca="false" t="array" ref="D215:D215">IFERROR(INDEX(Shrinkage!$O$2:$O$260,MATCH($A215,Shrinkage!$C$2:$C$260,0)),IFERROR(INDEX(Shrinkage!$O$2:$O$260,MATCH(SUBSTITUTE($A215," SS","  SS"),Shrinkage!$C$2:$C$260,0)),"NA"))</f>
        <v>-8023</v>
      </c>
      <c r="E215" s="56" t="n">
        <f aca="false" t="array" ref="E215:E215">IFERROR(INDEX('Inventory Hygiene'!$I$2:$I$252,MATCH($A215,'Inventory Hygiene'!$A$2:$A$252,0)),IFERROR(INDEX('Inventory Hygiene'!$I$2:$I$252,MATCH(SUBSTITUTE($A215," SS","  SS"),'Inventory Hygiene'!$A$2:$A$252,0)),"NA"))</f>
        <v>0.77</v>
      </c>
      <c r="F215" s="54" t="n">
        <f aca="false" t="array" ref="F215:F215">IFERROR(INDEX('Bad Bins'!$J$2:$J$252,MATCH($A215,'Bad Bins'!$A$2:$A$252,0)),IFERROR(INDEX('Bad Bins'!$J$2:$J$252,MATCH(SUBSTITUTE($A215," SS","  SS"),'Bad Bins'!$A$2:$A$252,0)),"NA"))</f>
        <v>69</v>
      </c>
      <c r="G215" s="54" t="str">
        <f aca="false" t="array" ref="G215:G215">IFERROR(INDEX('RSTO &gt; 48hrs'!$G$2:$G$134,MATCH($A215,'RSTO &gt; 48hrs'!$A$2:$A$134,0)),IFERROR(INDEX('RSTO &gt; 48hrs'!$G$2:$G$134,MATCH(SUBSTITUTE($A215," SS","  SS"),'RSTO &gt; 48hrs'!$A$2:$A$134,0)),"NA"))</f>
        <v>NA</v>
      </c>
      <c r="H215" s="54" t="str">
        <f aca="false" t="array" ref="H215:H215">IFERROR(INDEX('Recirculation &gt; 24 hrs'!$J$2:$J$150,MATCH($A215,'Recirculation &gt; 24 hrs'!$A$2:$A$150,0)),IFERROR(INDEX('Recirculation &gt; 24 hrs'!$J$2:$J$150,MATCH(SUBSTITUTE($A215," SS","  SS"),'Recirculation &gt; 24 hrs'!$A$2:$A$150,0)),"NA"))</f>
        <v>NA</v>
      </c>
      <c r="I215" s="54" t="n">
        <f aca="false" t="array" ref="I215:I215">IFERROR(INDEX('Pending Putaway'!$D$2:$D$255,MATCH($A215,'Pending Putaway'!$A$2:$A$255,0)),IFERROR(INDEX('Pending Putaway'!$D$2:$D$255,MATCH(SUBSTITUTE($A215," SS","  SS"),'Pending Putaway'!$A$2:$A$255,0)),"NA"))</f>
        <v>3599</v>
      </c>
      <c r="J215" s="54" t="n">
        <f aca="false" t="array" ref="J215:J215">IFERROR(INDEX('Pending Putaway'!$K$2:$K$255,MATCH($A215,'Pending Putaway'!$A$2:$A$255,0)),IFERROR(INDEX('Pending Putaway'!$K$2:$K$255,MATCH(SUBSTITUTE($A215," SS","  SS"),'Pending Putaway'!$A$2:$A$255,0)),"NA"))</f>
        <v>0</v>
      </c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customFormat="false" ht="15.75" hidden="false" customHeight="true" outlineLevel="0" collapsed="false">
      <c r="A216" s="54" t="s">
        <v>153</v>
      </c>
      <c r="B216" s="54" t="str">
        <f aca="false" t="array" ref="B216:B216">IFERROR(INDEX('CLM &amp; IM Mapping'!$B$2:$B$270,MATCH($A216,'CLM &amp; IM Mapping'!$A$2:$A$270,0)),"Not Mapped")</f>
        <v>Vishnu V</v>
      </c>
      <c r="C216" s="54" t="str">
        <f aca="false" t="array" ref="C216:C216">IFERROR(INDEX('CLM &amp; IM Mapping'!$C$2:$C$270,MATCH($A216,'CLM &amp; IM Mapping'!$A$2:$A$270,0)),"Not Mapped")</f>
        <v>Arivind S</v>
      </c>
      <c r="D216" s="55" t="n">
        <f aca="false" t="array" ref="D216:D216">IFERROR(INDEX(Shrinkage!$O$2:$O$260,MATCH($A216,Shrinkage!$C$2:$C$260,0)),IFERROR(INDEX(Shrinkage!$O$2:$O$260,MATCH(SUBSTITUTE($A216," SS","  SS"),Shrinkage!$C$2:$C$260,0)),"NA"))</f>
        <v>4332</v>
      </c>
      <c r="E216" s="56" t="n">
        <f aca="false" t="array" ref="E216:E216">IFERROR(INDEX('Inventory Hygiene'!$I$2:$I$252,MATCH($A216,'Inventory Hygiene'!$A$2:$A$252,0)),IFERROR(INDEX('Inventory Hygiene'!$I$2:$I$252,MATCH(SUBSTITUTE($A216," SS","  SS"),'Inventory Hygiene'!$A$2:$A$252,0)),"NA"))</f>
        <v>0.52</v>
      </c>
      <c r="F216" s="54" t="n">
        <f aca="false" t="array" ref="F216:F216">IFERROR(INDEX('Bad Bins'!$J$2:$J$252,MATCH($A216,'Bad Bins'!$A$2:$A$252,0)),IFERROR(INDEX('Bad Bins'!$J$2:$J$252,MATCH(SUBSTITUTE($A216," SS","  SS"),'Bad Bins'!$A$2:$A$252,0)),"NA"))</f>
        <v>22</v>
      </c>
      <c r="G216" s="54" t="str">
        <f aca="false" t="array" ref="G216:G216">IFERROR(INDEX('RSTO &gt; 48hrs'!$G$2:$G$134,MATCH($A216,'RSTO &gt; 48hrs'!$A$2:$A$134,0)),IFERROR(INDEX('RSTO &gt; 48hrs'!$G$2:$G$134,MATCH(SUBSTITUTE($A216," SS","  SS"),'RSTO &gt; 48hrs'!$A$2:$A$134,0)),"NA"))</f>
        <v>NA</v>
      </c>
      <c r="H216" s="54" t="n">
        <f aca="false" t="array" ref="H216:H216">IFERROR(INDEX('Recirculation &gt; 24 hrs'!$J$2:$J$150,MATCH($A216,'Recirculation &gt; 24 hrs'!$A$2:$A$150,0)),IFERROR(INDEX('Recirculation &gt; 24 hrs'!$J$2:$J$150,MATCH(SUBSTITUTE($A216," SS","  SS"),'Recirculation &gt; 24 hrs'!$A$2:$A$150,0)),"NA"))</f>
        <v>30</v>
      </c>
      <c r="I216" s="54" t="n">
        <f aca="false" t="array" ref="I216:I216">IFERROR(INDEX('Pending Putaway'!$D$2:$D$255,MATCH($A216,'Pending Putaway'!$A$2:$A$255,0)),IFERROR(INDEX('Pending Putaway'!$D$2:$D$255,MATCH(SUBSTITUTE($A216," SS","  SS"),'Pending Putaway'!$A$2:$A$255,0)),"NA"))</f>
        <v>1021</v>
      </c>
      <c r="J216" s="54" t="n">
        <f aca="false" t="array" ref="J216:J216">IFERROR(INDEX('Pending Putaway'!$K$2:$K$255,MATCH($A216,'Pending Putaway'!$A$2:$A$255,0)),IFERROR(INDEX('Pending Putaway'!$K$2:$K$255,MATCH(SUBSTITUTE($A216," SS","  SS"),'Pending Putaway'!$A$2:$A$255,0)),"NA"))</f>
        <v>863</v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customFormat="false" ht="15.75" hidden="false" customHeight="true" outlineLevel="0" collapsed="false">
      <c r="A217" s="54" t="s">
        <v>219</v>
      </c>
      <c r="B217" s="54" t="str">
        <f aca="false" t="array" ref="B217:B217">IFERROR(INDEX('CLM &amp; IM Mapping'!$B$2:$B$270,MATCH($A217,'CLM &amp; IM Mapping'!$A$2:$A$270,0)),"Not Mapped")</f>
        <v>Vishnu V</v>
      </c>
      <c r="C217" s="54" t="str">
        <f aca="false" t="array" ref="C217:C217">IFERROR(INDEX('CLM &amp; IM Mapping'!$C$2:$C$270,MATCH($A217,'CLM &amp; IM Mapping'!$A$2:$A$270,0)),"Not Mapped")</f>
        <v>Arivind S</v>
      </c>
      <c r="D217" s="55" t="n">
        <f aca="false" t="array" ref="D217:D217">IFERROR(INDEX(Shrinkage!$O$2:$O$260,MATCH($A217,Shrinkage!$C$2:$C$260,0)),IFERROR(INDEX(Shrinkage!$O$2:$O$260,MATCH(SUBSTITUTE($A217," SS","  SS"),Shrinkage!$C$2:$C$260,0)),"NA"))</f>
        <v>-3618</v>
      </c>
      <c r="E217" s="56" t="n">
        <f aca="false" t="array" ref="E217:E217">IFERROR(INDEX('Inventory Hygiene'!$I$2:$I$252,MATCH($A217,'Inventory Hygiene'!$A$2:$A$252,0)),IFERROR(INDEX('Inventory Hygiene'!$I$2:$I$252,MATCH(SUBSTITUTE($A217," SS","  SS"),'Inventory Hygiene'!$A$2:$A$252,0)),"NA"))</f>
        <v>0.82</v>
      </c>
      <c r="F217" s="54" t="n">
        <f aca="false" t="array" ref="F217:F217">IFERROR(INDEX('Bad Bins'!$J$2:$J$252,MATCH($A217,'Bad Bins'!$A$2:$A$252,0)),IFERROR(INDEX('Bad Bins'!$J$2:$J$252,MATCH(SUBSTITUTE($A217," SS","  SS"),'Bad Bins'!$A$2:$A$252,0)),"NA"))</f>
        <v>3</v>
      </c>
      <c r="G217" s="54" t="str">
        <f aca="false" t="array" ref="G217:G217">IFERROR(INDEX('RSTO &gt; 48hrs'!$G$2:$G$134,MATCH($A217,'RSTO &gt; 48hrs'!$A$2:$A$134,0)),IFERROR(INDEX('RSTO &gt; 48hrs'!$G$2:$G$134,MATCH(SUBSTITUTE($A217," SS","  SS"),'RSTO &gt; 48hrs'!$A$2:$A$134,0)),"NA"))</f>
        <v>NA</v>
      </c>
      <c r="H217" s="54" t="str">
        <f aca="false" t="array" ref="H217:H217">IFERROR(INDEX('Recirculation &gt; 24 hrs'!$J$2:$J$150,MATCH($A217,'Recirculation &gt; 24 hrs'!$A$2:$A$150,0)),IFERROR(INDEX('Recirculation &gt; 24 hrs'!$J$2:$J$150,MATCH(SUBSTITUTE($A217," SS","  SS"),'Recirculation &gt; 24 hrs'!$A$2:$A$150,0)),"NA"))</f>
        <v>NA</v>
      </c>
      <c r="I217" s="54" t="n">
        <f aca="false" t="array" ref="I217:I217">IFERROR(INDEX('Pending Putaway'!$D$2:$D$255,MATCH($A217,'Pending Putaway'!$A$2:$A$255,0)),IFERROR(INDEX('Pending Putaway'!$D$2:$D$255,MATCH(SUBSTITUTE($A217," SS","  SS"),'Pending Putaway'!$A$2:$A$255,0)),"NA"))</f>
        <v>0</v>
      </c>
      <c r="J217" s="54" t="n">
        <f aca="false" t="array" ref="J217:J217">IFERROR(INDEX('Pending Putaway'!$K$2:$K$255,MATCH($A217,'Pending Putaway'!$A$2:$A$255,0)),IFERROR(INDEX('Pending Putaway'!$K$2:$K$255,MATCH(SUBSTITUTE($A217," SS","  SS"),'Pending Putaway'!$A$2:$A$255,0)),"NA"))</f>
        <v>0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customFormat="false" ht="15.75" hidden="false" customHeight="true" outlineLevel="0" collapsed="false">
      <c r="A218" s="54" t="s">
        <v>129</v>
      </c>
      <c r="B218" s="54" t="str">
        <f aca="false" t="array" ref="B218:B218">IFERROR(INDEX('CLM &amp; IM Mapping'!$B$2:$B$270,MATCH($A218,'CLM &amp; IM Mapping'!$A$2:$A$270,0)),"Not Mapped")</f>
        <v>Vishnu V</v>
      </c>
      <c r="C218" s="54" t="str">
        <f aca="false" t="array" ref="C218:C218">IFERROR(INDEX('CLM &amp; IM Mapping'!$C$2:$C$270,MATCH($A218,'CLM &amp; IM Mapping'!$A$2:$A$270,0)),"Not Mapped")</f>
        <v>Arivind S</v>
      </c>
      <c r="D218" s="55" t="n">
        <f aca="false" t="array" ref="D218:D218">IFERROR(INDEX(Shrinkage!$O$2:$O$260,MATCH($A218,Shrinkage!$C$2:$C$260,0)),IFERROR(INDEX(Shrinkage!$O$2:$O$260,MATCH(SUBSTITUTE($A218," SS","  SS"),Shrinkage!$C$2:$C$260,0)),"NA"))</f>
        <v>8719</v>
      </c>
      <c r="E218" s="56" t="n">
        <f aca="false" t="array" ref="E218:E218">IFERROR(INDEX('Inventory Hygiene'!$I$2:$I$252,MATCH($A218,'Inventory Hygiene'!$A$2:$A$252,0)),IFERROR(INDEX('Inventory Hygiene'!$I$2:$I$252,MATCH(SUBSTITUTE($A218," SS","  SS"),'Inventory Hygiene'!$A$2:$A$252,0)),"NA"))</f>
        <v>0.34</v>
      </c>
      <c r="F218" s="54" t="n">
        <f aca="false" t="array" ref="F218:F218">IFERROR(INDEX('Bad Bins'!$J$2:$J$252,MATCH($A218,'Bad Bins'!$A$2:$A$252,0)),IFERROR(INDEX('Bad Bins'!$J$2:$J$252,MATCH(SUBSTITUTE($A218," SS","  SS"),'Bad Bins'!$A$2:$A$252,0)),"NA"))</f>
        <v>73</v>
      </c>
      <c r="G218" s="54" t="str">
        <f aca="false" t="array" ref="G218:G218">IFERROR(INDEX('RSTO &gt; 48hrs'!$G$2:$G$134,MATCH($A218,'RSTO &gt; 48hrs'!$A$2:$A$134,0)),IFERROR(INDEX('RSTO &gt; 48hrs'!$G$2:$G$134,MATCH(SUBSTITUTE($A218," SS","  SS"),'RSTO &gt; 48hrs'!$A$2:$A$134,0)),"NA"))</f>
        <v>NA</v>
      </c>
      <c r="H218" s="54" t="str">
        <f aca="false" t="array" ref="H218:H218">IFERROR(INDEX('Recirculation &gt; 24 hrs'!$J$2:$J$150,MATCH($A218,'Recirculation &gt; 24 hrs'!$A$2:$A$150,0)),IFERROR(INDEX('Recirculation &gt; 24 hrs'!$J$2:$J$150,MATCH(SUBSTITUTE($A218," SS","  SS"),'Recirculation &gt; 24 hrs'!$A$2:$A$150,0)),"NA"))</f>
        <v>NA</v>
      </c>
      <c r="I218" s="54" t="n">
        <f aca="false" t="array" ref="I218:I218">IFERROR(INDEX('Pending Putaway'!$D$2:$D$255,MATCH($A218,'Pending Putaway'!$A$2:$A$255,0)),IFERROR(INDEX('Pending Putaway'!$D$2:$D$255,MATCH(SUBSTITUTE($A218," SS","  SS"),'Pending Putaway'!$A$2:$A$255,0)),"NA"))</f>
        <v>0</v>
      </c>
      <c r="J218" s="54" t="n">
        <f aca="false" t="array" ref="J218:J218">IFERROR(INDEX('Pending Putaway'!$K$2:$K$255,MATCH($A218,'Pending Putaway'!$A$2:$A$255,0)),IFERROR(INDEX('Pending Putaway'!$K$2:$K$255,MATCH(SUBSTITUTE($A218," SS","  SS"),'Pending Putaway'!$A$2:$A$255,0)),"NA"))</f>
        <v>0</v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customFormat="false" ht="15.75" hidden="false" customHeight="true" outlineLevel="0" collapsed="false">
      <c r="A219" s="54" t="s">
        <v>236</v>
      </c>
      <c r="B219" s="54" t="str">
        <f aca="false" t="array" ref="B219:B219">IFERROR(INDEX('CLM &amp; IM Mapping'!$B$2:$B$270,MATCH($A219,'CLM &amp; IM Mapping'!$A$2:$A$270,0)),"Not Mapped")</f>
        <v>Vishnu V</v>
      </c>
      <c r="C219" s="54" t="str">
        <f aca="false" t="array" ref="C219:C219">IFERROR(INDEX('CLM &amp; IM Mapping'!$C$2:$C$270,MATCH($A219,'CLM &amp; IM Mapping'!$A$2:$A$270,0)),"Not Mapped")</f>
        <v>Arivind S</v>
      </c>
      <c r="D219" s="55" t="n">
        <f aca="false" t="array" ref="D219:D219">IFERROR(INDEX(Shrinkage!$O$2:$O$260,MATCH($A219,Shrinkage!$C$2:$C$260,0)),IFERROR(INDEX(Shrinkage!$O$2:$O$260,MATCH(SUBSTITUTE($A219," SS","  SS"),Shrinkage!$C$2:$C$260,0)),"NA"))</f>
        <v>-5488</v>
      </c>
      <c r="E219" s="56" t="n">
        <f aca="false" t="array" ref="E219:E219">IFERROR(INDEX('Inventory Hygiene'!$I$2:$I$252,MATCH($A219,'Inventory Hygiene'!$A$2:$A$252,0)),IFERROR(INDEX('Inventory Hygiene'!$I$2:$I$252,MATCH(SUBSTITUTE($A219," SS","  SS"),'Inventory Hygiene'!$A$2:$A$252,0)),"NA"))</f>
        <v>0.26</v>
      </c>
      <c r="F219" s="54" t="n">
        <f aca="false" t="array" ref="F219:F219">IFERROR(INDEX('Bad Bins'!$J$2:$J$252,MATCH($A219,'Bad Bins'!$A$2:$A$252,0)),IFERROR(INDEX('Bad Bins'!$J$2:$J$252,MATCH(SUBSTITUTE($A219," SS","  SS"),'Bad Bins'!$A$2:$A$252,0)),"NA"))</f>
        <v>0</v>
      </c>
      <c r="G219" s="54" t="str">
        <f aca="false" t="array" ref="G219:G219">IFERROR(INDEX('RSTO &gt; 48hrs'!$G$2:$G$134,MATCH($A219,'RSTO &gt; 48hrs'!$A$2:$A$134,0)),IFERROR(INDEX('RSTO &gt; 48hrs'!$G$2:$G$134,MATCH(SUBSTITUTE($A219," SS","  SS"),'RSTO &gt; 48hrs'!$A$2:$A$134,0)),"NA"))</f>
        <v>NA</v>
      </c>
      <c r="H219" s="54" t="str">
        <f aca="false" t="array" ref="H219:H219">IFERROR(INDEX('Recirculation &gt; 24 hrs'!$J$2:$J$150,MATCH($A219,'Recirculation &gt; 24 hrs'!$A$2:$A$150,0)),IFERROR(INDEX('Recirculation &gt; 24 hrs'!$J$2:$J$150,MATCH(SUBSTITUTE($A219," SS","  SS"),'Recirculation &gt; 24 hrs'!$A$2:$A$150,0)),"NA"))</f>
        <v>NA</v>
      </c>
      <c r="I219" s="54" t="n">
        <f aca="false" t="array" ref="I219:I219">IFERROR(INDEX('Pending Putaway'!$D$2:$D$255,MATCH($A219,'Pending Putaway'!$A$2:$A$255,0)),IFERROR(INDEX('Pending Putaway'!$D$2:$D$255,MATCH(SUBSTITUTE($A219," SS","  SS"),'Pending Putaway'!$A$2:$A$255,0)),"NA"))</f>
        <v>0</v>
      </c>
      <c r="J219" s="54" t="n">
        <f aca="false" t="array" ref="J219:J219">IFERROR(INDEX('Pending Putaway'!$K$2:$K$255,MATCH($A219,'Pending Putaway'!$A$2:$A$255,0)),IFERROR(INDEX('Pending Putaway'!$K$2:$K$255,MATCH(SUBSTITUTE($A219," SS","  SS"),'Pending Putaway'!$A$2:$A$255,0)),"NA"))</f>
        <v>0</v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customFormat="false" ht="15.75" hidden="false" customHeight="true" outlineLevel="0" collapsed="false">
      <c r="A220" s="54" t="s">
        <v>246</v>
      </c>
      <c r="B220" s="54" t="str">
        <f aca="false" t="array" ref="B220:B220">IFERROR(INDEX('CLM &amp; IM Mapping'!$B$2:$B$270,MATCH($A220,'CLM &amp; IM Mapping'!$A$2:$A$270,0)),"Not Mapped")</f>
        <v>Vishnu V</v>
      </c>
      <c r="C220" s="54" t="str">
        <f aca="false" t="array" ref="C220:C220">IFERROR(INDEX('CLM &amp; IM Mapping'!$C$2:$C$270,MATCH($A220,'CLM &amp; IM Mapping'!$A$2:$A$270,0)),"Not Mapped")</f>
        <v>Arivind S</v>
      </c>
      <c r="D220" s="55" t="n">
        <f aca="false" t="array" ref="D220:D220">IFERROR(INDEX(Shrinkage!$O$2:$O$260,MATCH($A220,Shrinkage!$C$2:$C$260,0)),IFERROR(INDEX(Shrinkage!$O$2:$O$260,MATCH(SUBSTITUTE($A220," SS","  SS"),Shrinkage!$C$2:$C$260,0)),"NA"))</f>
        <v>-6649</v>
      </c>
      <c r="E220" s="56" t="n">
        <f aca="false" t="array" ref="E220:E220">IFERROR(INDEX('Inventory Hygiene'!$I$2:$I$252,MATCH($A220,'Inventory Hygiene'!$A$2:$A$252,0)),IFERROR(INDEX('Inventory Hygiene'!$I$2:$I$252,MATCH(SUBSTITUTE($A220," SS","  SS"),'Inventory Hygiene'!$A$2:$A$252,0)),"NA"))</f>
        <v>0.62</v>
      </c>
      <c r="F220" s="54" t="n">
        <f aca="false" t="array" ref="F220:F220">IFERROR(INDEX('Bad Bins'!$J$2:$J$252,MATCH($A220,'Bad Bins'!$A$2:$A$252,0)),IFERROR(INDEX('Bad Bins'!$J$2:$J$252,MATCH(SUBSTITUTE($A220," SS","  SS"),'Bad Bins'!$A$2:$A$252,0)),"NA"))</f>
        <v>0</v>
      </c>
      <c r="G220" s="54" t="str">
        <f aca="false" t="array" ref="G220:G220">IFERROR(INDEX('RSTO &gt; 48hrs'!$G$2:$G$134,MATCH($A220,'RSTO &gt; 48hrs'!$A$2:$A$134,0)),IFERROR(INDEX('RSTO &gt; 48hrs'!$G$2:$G$134,MATCH(SUBSTITUTE($A220," SS","  SS"),'RSTO &gt; 48hrs'!$A$2:$A$134,0)),"NA"))</f>
        <v>NA</v>
      </c>
      <c r="H220" s="54" t="str">
        <f aca="false" t="array" ref="H220:H220">IFERROR(INDEX('Recirculation &gt; 24 hrs'!$J$2:$J$150,MATCH($A220,'Recirculation &gt; 24 hrs'!$A$2:$A$150,0)),IFERROR(INDEX('Recirculation &gt; 24 hrs'!$J$2:$J$150,MATCH(SUBSTITUTE($A220," SS","  SS"),'Recirculation &gt; 24 hrs'!$A$2:$A$150,0)),"NA"))</f>
        <v>NA</v>
      </c>
      <c r="I220" s="54" t="n">
        <f aca="false" t="array" ref="I220:I220">IFERROR(INDEX('Pending Putaway'!$D$2:$D$255,MATCH($A220,'Pending Putaway'!$A$2:$A$255,0)),IFERROR(INDEX('Pending Putaway'!$D$2:$D$255,MATCH(SUBSTITUTE($A220," SS","  SS"),'Pending Putaway'!$A$2:$A$255,0)),"NA"))</f>
        <v>0</v>
      </c>
      <c r="J220" s="54" t="n">
        <f aca="false" t="array" ref="J220:J220">IFERROR(INDEX('Pending Putaway'!$K$2:$K$255,MATCH($A220,'Pending Putaway'!$A$2:$A$255,0)),IFERROR(INDEX('Pending Putaway'!$K$2:$K$255,MATCH(SUBSTITUTE($A220," SS","  SS"),'Pending Putaway'!$A$2:$A$255,0)),"NA"))</f>
        <v>0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customFormat="false" ht="15.75" hidden="false" customHeight="true" outlineLevel="0" collapsed="false">
      <c r="A221" s="54" t="s">
        <v>222</v>
      </c>
      <c r="B221" s="54" t="str">
        <f aca="false" t="array" ref="B221:B221">IFERROR(INDEX('CLM &amp; IM Mapping'!$B$2:$B$270,MATCH($A221,'CLM &amp; IM Mapping'!$A$2:$A$270,0)),"Not Mapped")</f>
        <v>Vishnu V</v>
      </c>
      <c r="C221" s="54" t="str">
        <f aca="false" t="array" ref="C221:C221">IFERROR(INDEX('CLM &amp; IM Mapping'!$C$2:$C$270,MATCH($A221,'CLM &amp; IM Mapping'!$A$2:$A$270,0)),"Not Mapped")</f>
        <v>Arivind S</v>
      </c>
      <c r="D221" s="55" t="n">
        <f aca="false" t="array" ref="D221:D221">IFERROR(INDEX(Shrinkage!$O$2:$O$260,MATCH($A221,Shrinkage!$C$2:$C$260,0)),IFERROR(INDEX(Shrinkage!$O$2:$O$260,MATCH(SUBSTITUTE($A221," SS","  SS"),Shrinkage!$C$2:$C$260,0)),"NA"))</f>
        <v>-4105</v>
      </c>
      <c r="E221" s="56" t="n">
        <f aca="false" t="array" ref="E221:E221">IFERROR(INDEX('Inventory Hygiene'!$I$2:$I$252,MATCH($A221,'Inventory Hygiene'!$A$2:$A$252,0)),IFERROR(INDEX('Inventory Hygiene'!$I$2:$I$252,MATCH(SUBSTITUTE($A221," SS","  SS"),'Inventory Hygiene'!$A$2:$A$252,0)),"NA"))</f>
        <v>0.39</v>
      </c>
      <c r="F221" s="54" t="n">
        <f aca="false" t="array" ref="F221:F221">IFERROR(INDEX('Bad Bins'!$J$2:$J$252,MATCH($A221,'Bad Bins'!$A$2:$A$252,0)),IFERROR(INDEX('Bad Bins'!$J$2:$J$252,MATCH(SUBSTITUTE($A221," SS","  SS"),'Bad Bins'!$A$2:$A$252,0)),"NA"))</f>
        <v>3</v>
      </c>
      <c r="G221" s="54" t="str">
        <f aca="false" t="array" ref="G221:G221">IFERROR(INDEX('RSTO &gt; 48hrs'!$G$2:$G$134,MATCH($A221,'RSTO &gt; 48hrs'!$A$2:$A$134,0)),IFERROR(INDEX('RSTO &gt; 48hrs'!$G$2:$G$134,MATCH(SUBSTITUTE($A221," SS","  SS"),'RSTO &gt; 48hrs'!$A$2:$A$134,0)),"NA"))</f>
        <v>NA</v>
      </c>
      <c r="H221" s="54" t="str">
        <f aca="false" t="array" ref="H221:H221">IFERROR(INDEX('Recirculation &gt; 24 hrs'!$J$2:$J$150,MATCH($A221,'Recirculation &gt; 24 hrs'!$A$2:$A$150,0)),IFERROR(INDEX('Recirculation &gt; 24 hrs'!$J$2:$J$150,MATCH(SUBSTITUTE($A221," SS","  SS"),'Recirculation &gt; 24 hrs'!$A$2:$A$150,0)),"NA"))</f>
        <v>NA</v>
      </c>
      <c r="I221" s="54" t="n">
        <f aca="false" t="array" ref="I221:I221">IFERROR(INDEX('Pending Putaway'!$D$2:$D$255,MATCH($A221,'Pending Putaway'!$A$2:$A$255,0)),IFERROR(INDEX('Pending Putaway'!$D$2:$D$255,MATCH(SUBSTITUTE($A221," SS","  SS"),'Pending Putaway'!$A$2:$A$255,0)),"NA"))</f>
        <v>1171</v>
      </c>
      <c r="J221" s="54" t="n">
        <f aca="false" t="array" ref="J221:J221">IFERROR(INDEX('Pending Putaway'!$K$2:$K$255,MATCH($A221,'Pending Putaway'!$A$2:$A$255,0)),IFERROR(INDEX('Pending Putaway'!$K$2:$K$255,MATCH(SUBSTITUTE($A221," SS","  SS"),'Pending Putaway'!$A$2:$A$255,0)),"NA"))</f>
        <v>1171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customFormat="false" ht="15.75" hidden="false" customHeight="true" outlineLevel="0" collapsed="false">
      <c r="A222" s="54" t="s">
        <v>158</v>
      </c>
      <c r="B222" s="54" t="str">
        <f aca="false" t="array" ref="B222:B222">IFERROR(INDEX('CLM &amp; IM Mapping'!$B$2:$B$270,MATCH($A222,'CLM &amp; IM Mapping'!$A$2:$A$270,0)),"Not Mapped")</f>
        <v>Vishnu V</v>
      </c>
      <c r="C222" s="54" t="str">
        <f aca="false" t="array" ref="C222:C222">IFERROR(INDEX('CLM &amp; IM Mapping'!$C$2:$C$270,MATCH($A222,'CLM &amp; IM Mapping'!$A$2:$A$270,0)),"Not Mapped")</f>
        <v>Arivind S</v>
      </c>
      <c r="D222" s="55" t="n">
        <f aca="false" t="array" ref="D222:D222">IFERROR(INDEX(Shrinkage!$O$2:$O$260,MATCH($A222,Shrinkage!$C$2:$C$260,0)),IFERROR(INDEX(Shrinkage!$O$2:$O$260,MATCH(SUBSTITUTE($A222," SS","  SS"),Shrinkage!$C$2:$C$260,0)),"NA"))</f>
        <v>3408</v>
      </c>
      <c r="E222" s="56" t="n">
        <f aca="false" t="array" ref="E222:E222">IFERROR(INDEX('Inventory Hygiene'!$I$2:$I$252,MATCH($A222,'Inventory Hygiene'!$A$2:$A$252,0)),IFERROR(INDEX('Inventory Hygiene'!$I$2:$I$252,MATCH(SUBSTITUTE($A222," SS","  SS"),'Inventory Hygiene'!$A$2:$A$252,0)),"NA"))</f>
        <v>0.18</v>
      </c>
      <c r="F222" s="54" t="n">
        <f aca="false" t="array" ref="F222:F222">IFERROR(INDEX('Bad Bins'!$J$2:$J$252,MATCH($A222,'Bad Bins'!$A$2:$A$252,0)),IFERROR(INDEX('Bad Bins'!$J$2:$J$252,MATCH(SUBSTITUTE($A222," SS","  SS"),'Bad Bins'!$A$2:$A$252,0)),"NA"))</f>
        <v>275</v>
      </c>
      <c r="G222" s="54" t="str">
        <f aca="false" t="array" ref="G222:G222">IFERROR(INDEX('RSTO &gt; 48hrs'!$G$2:$G$134,MATCH($A222,'RSTO &gt; 48hrs'!$A$2:$A$134,0)),IFERROR(INDEX('RSTO &gt; 48hrs'!$G$2:$G$134,MATCH(SUBSTITUTE($A222," SS","  SS"),'RSTO &gt; 48hrs'!$A$2:$A$134,0)),"NA"))</f>
        <v>NA</v>
      </c>
      <c r="H222" s="54" t="str">
        <f aca="false" t="array" ref="H222:H222">IFERROR(INDEX('Recirculation &gt; 24 hrs'!$J$2:$J$150,MATCH($A222,'Recirculation &gt; 24 hrs'!$A$2:$A$150,0)),IFERROR(INDEX('Recirculation &gt; 24 hrs'!$J$2:$J$150,MATCH(SUBSTITUTE($A222," SS","  SS"),'Recirculation &gt; 24 hrs'!$A$2:$A$150,0)),"NA"))</f>
        <v>NA</v>
      </c>
      <c r="I222" s="54" t="n">
        <f aca="false" t="array" ref="I222:I222">IFERROR(INDEX('Pending Putaway'!$D$2:$D$255,MATCH($A222,'Pending Putaway'!$A$2:$A$255,0)),IFERROR(INDEX('Pending Putaway'!$D$2:$D$255,MATCH(SUBSTITUTE($A222," SS","  SS"),'Pending Putaway'!$A$2:$A$255,0)),"NA"))</f>
        <v>707</v>
      </c>
      <c r="J222" s="54" t="n">
        <f aca="false" t="array" ref="J222:J222">IFERROR(INDEX('Pending Putaway'!$K$2:$K$255,MATCH($A222,'Pending Putaway'!$A$2:$A$255,0)),IFERROR(INDEX('Pending Putaway'!$K$2:$K$255,MATCH(SUBSTITUTE($A222," SS","  SS"),'Pending Putaway'!$A$2:$A$255,0)),"NA"))</f>
        <v>0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customFormat="false" ht="15.75" hidden="false" customHeight="true" outlineLevel="0" collapsed="false">
      <c r="A223" s="54" t="s">
        <v>263</v>
      </c>
      <c r="B223" s="54" t="str">
        <f aca="false" t="array" ref="B223:B223">IFERROR(INDEX('CLM &amp; IM Mapping'!$B$2:$B$270,MATCH($A223,'CLM &amp; IM Mapping'!$A$2:$A$270,0)),"Not Mapped")</f>
        <v>Vishnu V</v>
      </c>
      <c r="C223" s="54" t="str">
        <f aca="false" t="array" ref="C223:C223">IFERROR(INDEX('CLM &amp; IM Mapping'!$C$2:$C$270,MATCH($A223,'CLM &amp; IM Mapping'!$A$2:$A$270,0)),"Not Mapped")</f>
        <v>Arivind S</v>
      </c>
      <c r="D223" s="55" t="n">
        <f aca="false" t="array" ref="D223:D223">IFERROR(INDEX(Shrinkage!$O$2:$O$260,MATCH($A223,Shrinkage!$C$2:$C$260,0)),IFERROR(INDEX(Shrinkage!$O$2:$O$260,MATCH(SUBSTITUTE($A223," SS","  SS"),Shrinkage!$C$2:$C$260,0)),"NA"))</f>
        <v>-10230</v>
      </c>
      <c r="E223" s="56" t="n">
        <f aca="false" t="array" ref="E223:E223">IFERROR(INDEX('Inventory Hygiene'!$I$2:$I$252,MATCH($A223,'Inventory Hygiene'!$A$2:$A$252,0)),IFERROR(INDEX('Inventory Hygiene'!$I$2:$I$252,MATCH(SUBSTITUTE($A223," SS","  SS"),'Inventory Hygiene'!$A$2:$A$252,0)),"NA"))</f>
        <v>0.48</v>
      </c>
      <c r="F223" s="54" t="n">
        <f aca="false" t="array" ref="F223:F223">IFERROR(INDEX('Bad Bins'!$J$2:$J$252,MATCH($A223,'Bad Bins'!$A$2:$A$252,0)),IFERROR(INDEX('Bad Bins'!$J$2:$J$252,MATCH(SUBSTITUTE($A223," SS","  SS"),'Bad Bins'!$A$2:$A$252,0)),"NA"))</f>
        <v>177</v>
      </c>
      <c r="G223" s="54" t="str">
        <f aca="false" t="array" ref="G223:G223">IFERROR(INDEX('RSTO &gt; 48hrs'!$G$2:$G$134,MATCH($A223,'RSTO &gt; 48hrs'!$A$2:$A$134,0)),IFERROR(INDEX('RSTO &gt; 48hrs'!$G$2:$G$134,MATCH(SUBSTITUTE($A223," SS","  SS"),'RSTO &gt; 48hrs'!$A$2:$A$134,0)),"NA"))</f>
        <v>NA</v>
      </c>
      <c r="H223" s="54" t="str">
        <f aca="false" t="array" ref="H223:H223">IFERROR(INDEX('Recirculation &gt; 24 hrs'!$J$2:$J$150,MATCH($A223,'Recirculation &gt; 24 hrs'!$A$2:$A$150,0)),IFERROR(INDEX('Recirculation &gt; 24 hrs'!$J$2:$J$150,MATCH(SUBSTITUTE($A223," SS","  SS"),'Recirculation &gt; 24 hrs'!$A$2:$A$150,0)),"NA"))</f>
        <v>NA</v>
      </c>
      <c r="I223" s="54" t="n">
        <f aca="false" t="array" ref="I223:I223">IFERROR(INDEX('Pending Putaway'!$D$2:$D$255,MATCH($A223,'Pending Putaway'!$A$2:$A$255,0)),IFERROR(INDEX('Pending Putaway'!$D$2:$D$255,MATCH(SUBSTITUTE($A223," SS","  SS"),'Pending Putaway'!$A$2:$A$255,0)),"NA"))</f>
        <v>2</v>
      </c>
      <c r="J223" s="54" t="n">
        <f aca="false" t="array" ref="J223:J223">IFERROR(INDEX('Pending Putaway'!$K$2:$K$255,MATCH($A223,'Pending Putaway'!$A$2:$A$255,0)),IFERROR(INDEX('Pending Putaway'!$K$2:$K$255,MATCH(SUBSTITUTE($A223," SS","  SS"),'Pending Putaway'!$A$2:$A$255,0)),"NA"))</f>
        <v>2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customFormat="false" ht="15.75" hidden="false" customHeight="true" outlineLevel="0" collapsed="false">
      <c r="A224" s="54" t="s">
        <v>231</v>
      </c>
      <c r="B224" s="54" t="str">
        <f aca="false" t="array" ref="B224:B224">IFERROR(INDEX('CLM &amp; IM Mapping'!$B$2:$B$270,MATCH($A224,'CLM &amp; IM Mapping'!$A$2:$A$270,0)),"Not Mapped")</f>
        <v>Vishnu V</v>
      </c>
      <c r="C224" s="54" t="str">
        <f aca="false" t="array" ref="C224:C224">IFERROR(INDEX('CLM &amp; IM Mapping'!$C$2:$C$270,MATCH($A224,'CLM &amp; IM Mapping'!$A$2:$A$270,0)),"Not Mapped")</f>
        <v>Arivind S</v>
      </c>
      <c r="D224" s="55" t="n">
        <f aca="false" t="array" ref="D224:D224">IFERROR(INDEX(Shrinkage!$O$2:$O$260,MATCH($A224,Shrinkage!$C$2:$C$260,0)),IFERROR(INDEX(Shrinkage!$O$2:$O$260,MATCH(SUBSTITUTE($A224," SS","  SS"),Shrinkage!$C$2:$C$260,0)),"NA"))</f>
        <v>-5046</v>
      </c>
      <c r="E224" s="56" t="n">
        <f aca="false" t="array" ref="E224:E224">IFERROR(INDEX('Inventory Hygiene'!$I$2:$I$252,MATCH($A224,'Inventory Hygiene'!$A$2:$A$252,0)),IFERROR(INDEX('Inventory Hygiene'!$I$2:$I$252,MATCH(SUBSTITUTE($A224," SS","  SS"),'Inventory Hygiene'!$A$2:$A$252,0)),"NA"))</f>
        <v>0.77</v>
      </c>
      <c r="F224" s="54" t="n">
        <f aca="false" t="array" ref="F224:F224">IFERROR(INDEX('Bad Bins'!$J$2:$J$252,MATCH($A224,'Bad Bins'!$A$2:$A$252,0)),IFERROR(INDEX('Bad Bins'!$J$2:$J$252,MATCH(SUBSTITUTE($A224," SS","  SS"),'Bad Bins'!$A$2:$A$252,0)),"NA"))</f>
        <v>0</v>
      </c>
      <c r="G224" s="54" t="str">
        <f aca="false" t="array" ref="G224:G224">IFERROR(INDEX('RSTO &gt; 48hrs'!$G$2:$G$134,MATCH($A224,'RSTO &gt; 48hrs'!$A$2:$A$134,0)),IFERROR(INDEX('RSTO &gt; 48hrs'!$G$2:$G$134,MATCH(SUBSTITUTE($A224," SS","  SS"),'RSTO &gt; 48hrs'!$A$2:$A$134,0)),"NA"))</f>
        <v>NA</v>
      </c>
      <c r="H224" s="54" t="str">
        <f aca="false" t="array" ref="H224:H224">IFERROR(INDEX('Recirculation &gt; 24 hrs'!$J$2:$J$150,MATCH($A224,'Recirculation &gt; 24 hrs'!$A$2:$A$150,0)),IFERROR(INDEX('Recirculation &gt; 24 hrs'!$J$2:$J$150,MATCH(SUBSTITUTE($A224," SS","  SS"),'Recirculation &gt; 24 hrs'!$A$2:$A$150,0)),"NA"))</f>
        <v>NA</v>
      </c>
      <c r="I224" s="54" t="n">
        <f aca="false" t="array" ref="I224:I224">IFERROR(INDEX('Pending Putaway'!$D$2:$D$255,MATCH($A224,'Pending Putaway'!$A$2:$A$255,0)),IFERROR(INDEX('Pending Putaway'!$D$2:$D$255,MATCH(SUBSTITUTE($A224," SS","  SS"),'Pending Putaway'!$A$2:$A$255,0)),"NA"))</f>
        <v>0</v>
      </c>
      <c r="J224" s="54" t="n">
        <f aca="false" t="array" ref="J224:J224">IFERROR(INDEX('Pending Putaway'!$K$2:$K$255,MATCH($A224,'Pending Putaway'!$A$2:$A$255,0)),IFERROR(INDEX('Pending Putaway'!$K$2:$K$255,MATCH(SUBSTITUTE($A224," SS","  SS"),'Pending Putaway'!$A$2:$A$255,0)),"NA"))</f>
        <v>0</v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customFormat="false" ht="15.75" hidden="false" customHeight="true" outlineLevel="0" collapsed="false">
      <c r="A225" s="54" t="s">
        <v>119</v>
      </c>
      <c r="B225" s="54" t="str">
        <f aca="false" t="array" ref="B225:B225">IFERROR(INDEX('CLM &amp; IM Mapping'!$B$2:$B$270,MATCH($A225,'CLM &amp; IM Mapping'!$A$2:$A$270,0)),"Not Mapped")</f>
        <v>Vishnu V</v>
      </c>
      <c r="C225" s="54" t="str">
        <f aca="false" t="array" ref="C225:C225">IFERROR(INDEX('CLM &amp; IM Mapping'!$C$2:$C$270,MATCH($A225,'CLM &amp; IM Mapping'!$A$2:$A$270,0)),"Not Mapped")</f>
        <v>Arivind S</v>
      </c>
      <c r="D225" s="55" t="n">
        <f aca="false" t="array" ref="D225:D225">IFERROR(INDEX(Shrinkage!$O$2:$O$260,MATCH($A225,Shrinkage!$C$2:$C$260,0)),IFERROR(INDEX(Shrinkage!$O$2:$O$260,MATCH(SUBSTITUTE($A225," SS","  SS"),Shrinkage!$C$2:$C$260,0)),"NA"))</f>
        <v>11337</v>
      </c>
      <c r="E225" s="56" t="n">
        <f aca="false" t="array" ref="E225:E225">IFERROR(INDEX('Inventory Hygiene'!$I$2:$I$252,MATCH($A225,'Inventory Hygiene'!$A$2:$A$252,0)),IFERROR(INDEX('Inventory Hygiene'!$I$2:$I$252,MATCH(SUBSTITUTE($A225," SS","  SS"),'Inventory Hygiene'!$A$2:$A$252,0)),"NA"))</f>
        <v>0.26</v>
      </c>
      <c r="F225" s="54" t="n">
        <f aca="false" t="array" ref="F225:F225">IFERROR(INDEX('Bad Bins'!$J$2:$J$252,MATCH($A225,'Bad Bins'!$A$2:$A$252,0)),IFERROR(INDEX('Bad Bins'!$J$2:$J$252,MATCH(SUBSTITUTE($A225," SS","  SS"),'Bad Bins'!$A$2:$A$252,0)),"NA"))</f>
        <v>129</v>
      </c>
      <c r="G225" s="54" t="str">
        <f aca="false" t="array" ref="G225:G225">IFERROR(INDEX('RSTO &gt; 48hrs'!$G$2:$G$134,MATCH($A225,'RSTO &gt; 48hrs'!$A$2:$A$134,0)),IFERROR(INDEX('RSTO &gt; 48hrs'!$G$2:$G$134,MATCH(SUBSTITUTE($A225," SS","  SS"),'RSTO &gt; 48hrs'!$A$2:$A$134,0)),"NA"))</f>
        <v>NA</v>
      </c>
      <c r="H225" s="54" t="str">
        <f aca="false" t="array" ref="H225:H225">IFERROR(INDEX('Recirculation &gt; 24 hrs'!$J$2:$J$150,MATCH($A225,'Recirculation &gt; 24 hrs'!$A$2:$A$150,0)),IFERROR(INDEX('Recirculation &gt; 24 hrs'!$J$2:$J$150,MATCH(SUBSTITUTE($A225," SS","  SS"),'Recirculation &gt; 24 hrs'!$A$2:$A$150,0)),"NA"))</f>
        <v>NA</v>
      </c>
      <c r="I225" s="54" t="n">
        <f aca="false" t="array" ref="I225:I225">IFERROR(INDEX('Pending Putaway'!$D$2:$D$255,MATCH($A225,'Pending Putaway'!$A$2:$A$255,0)),IFERROR(INDEX('Pending Putaway'!$D$2:$D$255,MATCH(SUBSTITUTE($A225," SS","  SS"),'Pending Putaway'!$A$2:$A$255,0)),"NA"))</f>
        <v>849</v>
      </c>
      <c r="J225" s="54" t="n">
        <f aca="false" t="array" ref="J225:J225">IFERROR(INDEX('Pending Putaway'!$K$2:$K$255,MATCH($A225,'Pending Putaway'!$A$2:$A$255,0)),IFERROR(INDEX('Pending Putaway'!$K$2:$K$255,MATCH(SUBSTITUTE($A225," SS","  SS"),'Pending Putaway'!$A$2:$A$255,0)),"NA"))</f>
        <v>0</v>
      </c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customFormat="false" ht="15.75" hidden="false" customHeight="true" outlineLevel="0" collapsed="false">
      <c r="A226" s="54" t="s">
        <v>257</v>
      </c>
      <c r="B226" s="54" t="str">
        <f aca="false" t="array" ref="B226:B226">IFERROR(INDEX('CLM &amp; IM Mapping'!$B$2:$B$270,MATCH($A226,'CLM &amp; IM Mapping'!$A$2:$A$270,0)),"Not Mapped")</f>
        <v>Vishnu V</v>
      </c>
      <c r="C226" s="54" t="str">
        <f aca="false" t="array" ref="C226:C226">IFERROR(INDEX('CLM &amp; IM Mapping'!$C$2:$C$270,MATCH($A226,'CLM &amp; IM Mapping'!$A$2:$A$270,0)),"Not Mapped")</f>
        <v>Arivind S</v>
      </c>
      <c r="D226" s="55" t="n">
        <f aca="false" t="array" ref="D226:D226">IFERROR(INDEX(Shrinkage!$O$2:$O$260,MATCH($A226,Shrinkage!$C$2:$C$260,0)),IFERROR(INDEX(Shrinkage!$O$2:$O$260,MATCH(SUBSTITUTE($A226," SS","  SS"),Shrinkage!$C$2:$C$260,0)),"NA"))</f>
        <v>-8558</v>
      </c>
      <c r="E226" s="56" t="n">
        <f aca="false" t="array" ref="E226:E226">IFERROR(INDEX('Inventory Hygiene'!$I$2:$I$252,MATCH($A226,'Inventory Hygiene'!$A$2:$A$252,0)),IFERROR(INDEX('Inventory Hygiene'!$I$2:$I$252,MATCH(SUBSTITUTE($A226," SS","  SS"),'Inventory Hygiene'!$A$2:$A$252,0)),"NA"))</f>
        <v>0.59</v>
      </c>
      <c r="F226" s="54" t="n">
        <f aca="false" t="array" ref="F226:F226">IFERROR(INDEX('Bad Bins'!$J$2:$J$252,MATCH($A226,'Bad Bins'!$A$2:$A$252,0)),IFERROR(INDEX('Bad Bins'!$J$2:$J$252,MATCH(SUBSTITUTE($A226," SS","  SS"),'Bad Bins'!$A$2:$A$252,0)),"NA"))</f>
        <v>315</v>
      </c>
      <c r="G226" s="54" t="str">
        <f aca="false" t="array" ref="G226:G226">IFERROR(INDEX('RSTO &gt; 48hrs'!$G$2:$G$134,MATCH($A226,'RSTO &gt; 48hrs'!$A$2:$A$134,0)),IFERROR(INDEX('RSTO &gt; 48hrs'!$G$2:$G$134,MATCH(SUBSTITUTE($A226," SS","  SS"),'RSTO &gt; 48hrs'!$A$2:$A$134,0)),"NA"))</f>
        <v>NA</v>
      </c>
      <c r="H226" s="54" t="str">
        <f aca="false" t="array" ref="H226:H226">IFERROR(INDEX('Recirculation &gt; 24 hrs'!$J$2:$J$150,MATCH($A226,'Recirculation &gt; 24 hrs'!$A$2:$A$150,0)),IFERROR(INDEX('Recirculation &gt; 24 hrs'!$J$2:$J$150,MATCH(SUBSTITUTE($A226," SS","  SS"),'Recirculation &gt; 24 hrs'!$A$2:$A$150,0)),"NA"))</f>
        <v>NA</v>
      </c>
      <c r="I226" s="54" t="n">
        <f aca="false" t="array" ref="I226:I226">IFERROR(INDEX('Pending Putaway'!$D$2:$D$255,MATCH($A226,'Pending Putaway'!$A$2:$A$255,0)),IFERROR(INDEX('Pending Putaway'!$D$2:$D$255,MATCH(SUBSTITUTE($A226," SS","  SS"),'Pending Putaway'!$A$2:$A$255,0)),"NA"))</f>
        <v>1212</v>
      </c>
      <c r="J226" s="54" t="n">
        <f aca="false" t="array" ref="J226:J226">IFERROR(INDEX('Pending Putaway'!$K$2:$K$255,MATCH($A226,'Pending Putaway'!$A$2:$A$255,0)),IFERROR(INDEX('Pending Putaway'!$K$2:$K$255,MATCH(SUBSTITUTE($A226," SS","  SS"),'Pending Putaway'!$A$2:$A$255,0)),"NA"))</f>
        <v>1212</v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customFormat="false" ht="15.75" hidden="false" customHeight="true" outlineLevel="0" collapsed="false">
      <c r="A227" s="54" t="s">
        <v>216</v>
      </c>
      <c r="B227" s="54" t="str">
        <f aca="false" t="array" ref="B227:B227">IFERROR(INDEX('CLM &amp; IM Mapping'!$B$2:$B$270,MATCH($A227,'CLM &amp; IM Mapping'!$A$2:$A$270,0)),"Not Mapped")</f>
        <v>Vishnu V</v>
      </c>
      <c r="C227" s="54" t="str">
        <f aca="false" t="array" ref="C227:C227">IFERROR(INDEX('CLM &amp; IM Mapping'!$C$2:$C$270,MATCH($A227,'CLM &amp; IM Mapping'!$A$2:$A$270,0)),"Not Mapped")</f>
        <v>Arivind S</v>
      </c>
      <c r="D227" s="55" t="n">
        <f aca="false" t="array" ref="D227:D227">IFERROR(INDEX(Shrinkage!$O$2:$O$260,MATCH($A227,Shrinkage!$C$2:$C$260,0)),IFERROR(INDEX(Shrinkage!$O$2:$O$260,MATCH(SUBSTITUTE($A227," SS","  SS"),Shrinkage!$C$2:$C$260,0)),"NA"))</f>
        <v>-3019</v>
      </c>
      <c r="E227" s="56" t="n">
        <f aca="false" t="array" ref="E227:E227">IFERROR(INDEX('Inventory Hygiene'!$I$2:$I$252,MATCH($A227,'Inventory Hygiene'!$A$2:$A$252,0)),IFERROR(INDEX('Inventory Hygiene'!$I$2:$I$252,MATCH(SUBSTITUTE($A227," SS","  SS"),'Inventory Hygiene'!$A$2:$A$252,0)),"NA"))</f>
        <v>0.69</v>
      </c>
      <c r="F227" s="54" t="n">
        <f aca="false" t="array" ref="F227:F227">IFERROR(INDEX('Bad Bins'!$J$2:$J$252,MATCH($A227,'Bad Bins'!$A$2:$A$252,0)),IFERROR(INDEX('Bad Bins'!$J$2:$J$252,MATCH(SUBSTITUTE($A227," SS","  SS"),'Bad Bins'!$A$2:$A$252,0)),"NA"))</f>
        <v>327</v>
      </c>
      <c r="G227" s="54" t="str">
        <f aca="false" t="array" ref="G227:G227">IFERROR(INDEX('RSTO &gt; 48hrs'!$G$2:$G$134,MATCH($A227,'RSTO &gt; 48hrs'!$A$2:$A$134,0)),IFERROR(INDEX('RSTO &gt; 48hrs'!$G$2:$G$134,MATCH(SUBSTITUTE($A227," SS","  SS"),'RSTO &gt; 48hrs'!$A$2:$A$134,0)),"NA"))</f>
        <v>NA</v>
      </c>
      <c r="H227" s="54" t="str">
        <f aca="false" t="array" ref="H227:H227">IFERROR(INDEX('Recirculation &gt; 24 hrs'!$J$2:$J$150,MATCH($A227,'Recirculation &gt; 24 hrs'!$A$2:$A$150,0)),IFERROR(INDEX('Recirculation &gt; 24 hrs'!$J$2:$J$150,MATCH(SUBSTITUTE($A227," SS","  SS"),'Recirculation &gt; 24 hrs'!$A$2:$A$150,0)),"NA"))</f>
        <v>NA</v>
      </c>
      <c r="I227" s="54" t="n">
        <f aca="false" t="array" ref="I227:I227">IFERROR(INDEX('Pending Putaway'!$D$2:$D$255,MATCH($A227,'Pending Putaway'!$A$2:$A$255,0)),IFERROR(INDEX('Pending Putaway'!$D$2:$D$255,MATCH(SUBSTITUTE($A227," SS","  SS"),'Pending Putaway'!$A$2:$A$255,0)),"NA"))</f>
        <v>1554</v>
      </c>
      <c r="J227" s="54" t="n">
        <f aca="false" t="array" ref="J227:J227">IFERROR(INDEX('Pending Putaway'!$K$2:$K$255,MATCH($A227,'Pending Putaway'!$A$2:$A$255,0)),IFERROR(INDEX('Pending Putaway'!$K$2:$K$255,MATCH(SUBSTITUTE($A227," SS","  SS"),'Pending Putaway'!$A$2:$A$255,0)),"NA"))</f>
        <v>1554</v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customFormat="false" ht="15.75" hidden="false" customHeight="true" outlineLevel="0" collapsed="false">
      <c r="A228" s="54" t="s">
        <v>106</v>
      </c>
      <c r="B228" s="54" t="str">
        <f aca="false" t="array" ref="B228:B228">IFERROR(INDEX('CLM &amp; IM Mapping'!$B$2:$B$270,MATCH($A228,'CLM &amp; IM Mapping'!$A$2:$A$270,0)),"Not Mapped")</f>
        <v>Vishnu V</v>
      </c>
      <c r="C228" s="54" t="str">
        <f aca="false" t="array" ref="C228:C228">IFERROR(INDEX('CLM &amp; IM Mapping'!$C$2:$C$270,MATCH($A228,'CLM &amp; IM Mapping'!$A$2:$A$270,0)),"Not Mapped")</f>
        <v>Arivind S</v>
      </c>
      <c r="D228" s="55" t="n">
        <f aca="false" t="array" ref="D228:D228">IFERROR(INDEX(Shrinkage!$O$2:$O$260,MATCH($A228,Shrinkage!$C$2:$C$260,0)),IFERROR(INDEX(Shrinkage!$O$2:$O$260,MATCH(SUBSTITUTE($A228," SS","  SS"),Shrinkage!$C$2:$C$260,0)),"NA"))</f>
        <v>17382</v>
      </c>
      <c r="E228" s="56" t="n">
        <f aca="false" t="array" ref="E228:E228">IFERROR(INDEX('Inventory Hygiene'!$I$2:$I$252,MATCH($A228,'Inventory Hygiene'!$A$2:$A$252,0)),IFERROR(INDEX('Inventory Hygiene'!$I$2:$I$252,MATCH(SUBSTITUTE($A228," SS","  SS"),'Inventory Hygiene'!$A$2:$A$252,0)),"NA"))</f>
        <v>0.12</v>
      </c>
      <c r="F228" s="54" t="n">
        <f aca="false" t="array" ref="F228:F228">IFERROR(INDEX('Bad Bins'!$J$2:$J$252,MATCH($A228,'Bad Bins'!$A$2:$A$252,0)),IFERROR(INDEX('Bad Bins'!$J$2:$J$252,MATCH(SUBSTITUTE($A228," SS","  SS"),'Bad Bins'!$A$2:$A$252,0)),"NA"))</f>
        <v>37</v>
      </c>
      <c r="G228" s="54" t="str">
        <f aca="false" t="array" ref="G228:G228">IFERROR(INDEX('RSTO &gt; 48hrs'!$G$2:$G$134,MATCH($A228,'RSTO &gt; 48hrs'!$A$2:$A$134,0)),IFERROR(INDEX('RSTO &gt; 48hrs'!$G$2:$G$134,MATCH(SUBSTITUTE($A228," SS","  SS"),'RSTO &gt; 48hrs'!$A$2:$A$134,0)),"NA"))</f>
        <v>NA</v>
      </c>
      <c r="H228" s="54" t="n">
        <f aca="false" t="array" ref="H228:H228">IFERROR(INDEX('Recirculation &gt; 24 hrs'!$J$2:$J$150,MATCH($A228,'Recirculation &gt; 24 hrs'!$A$2:$A$150,0)),IFERROR(INDEX('Recirculation &gt; 24 hrs'!$J$2:$J$150,MATCH(SUBSTITUTE($A228," SS","  SS"),'Recirculation &gt; 24 hrs'!$A$2:$A$150,0)),"NA"))</f>
        <v>300</v>
      </c>
      <c r="I228" s="54" t="n">
        <f aca="false" t="array" ref="I228:I228">IFERROR(INDEX('Pending Putaway'!$D$2:$D$255,MATCH($A228,'Pending Putaway'!$A$2:$A$255,0)),IFERROR(INDEX('Pending Putaway'!$D$2:$D$255,MATCH(SUBSTITUTE($A228," SS","  SS"),'Pending Putaway'!$A$2:$A$255,0)),"NA"))</f>
        <v>0</v>
      </c>
      <c r="J228" s="54" t="n">
        <f aca="false" t="array" ref="J228:J228">IFERROR(INDEX('Pending Putaway'!$K$2:$K$255,MATCH($A228,'Pending Putaway'!$A$2:$A$255,0)),IFERROR(INDEX('Pending Putaway'!$K$2:$K$255,MATCH(SUBSTITUTE($A228," SS","  SS"),'Pending Putaway'!$A$2:$A$255,0)),"NA"))</f>
        <v>0</v>
      </c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customFormat="false" ht="15.75" hidden="false" customHeight="true" outlineLevel="0" collapsed="false">
      <c r="A229" s="54" t="s">
        <v>173</v>
      </c>
      <c r="B229" s="54" t="str">
        <f aca="false" t="array" ref="B229:B229">IFERROR(INDEX('CLM &amp; IM Mapping'!$B$2:$B$270,MATCH($A229,'CLM &amp; IM Mapping'!$A$2:$A$270,0)),"Not Mapped")</f>
        <v>Vishnu V</v>
      </c>
      <c r="C229" s="54" t="str">
        <f aca="false" t="array" ref="C229:C229">IFERROR(INDEX('CLM &amp; IM Mapping'!$C$2:$C$270,MATCH($A229,'CLM &amp; IM Mapping'!$A$2:$A$270,0)),"Not Mapped")</f>
        <v>Arivind S</v>
      </c>
      <c r="D229" s="55" t="n">
        <f aca="false" t="array" ref="D229:D229">IFERROR(INDEX(Shrinkage!$O$2:$O$260,MATCH($A229,Shrinkage!$C$2:$C$260,0)),IFERROR(INDEX(Shrinkage!$O$2:$O$260,MATCH(SUBSTITUTE($A229," SS","  SS"),Shrinkage!$C$2:$C$260,0)),"NA"))</f>
        <v>1049</v>
      </c>
      <c r="E229" s="56" t="n">
        <f aca="false" t="array" ref="E229:E229">IFERROR(INDEX('Inventory Hygiene'!$I$2:$I$252,MATCH($A229,'Inventory Hygiene'!$A$2:$A$252,0)),IFERROR(INDEX('Inventory Hygiene'!$I$2:$I$252,MATCH(SUBSTITUTE($A229," SS","  SS"),'Inventory Hygiene'!$A$2:$A$252,0)),"NA"))</f>
        <v>0.56</v>
      </c>
      <c r="F229" s="54" t="n">
        <f aca="false" t="array" ref="F229:F229">IFERROR(INDEX('Bad Bins'!$J$2:$J$252,MATCH($A229,'Bad Bins'!$A$2:$A$252,0)),IFERROR(INDEX('Bad Bins'!$J$2:$J$252,MATCH(SUBSTITUTE($A229," SS","  SS"),'Bad Bins'!$A$2:$A$252,0)),"NA"))</f>
        <v>108</v>
      </c>
      <c r="G229" s="54" t="str">
        <f aca="false" t="array" ref="G229:G229">IFERROR(INDEX('RSTO &gt; 48hrs'!$G$2:$G$134,MATCH($A229,'RSTO &gt; 48hrs'!$A$2:$A$134,0)),IFERROR(INDEX('RSTO &gt; 48hrs'!$G$2:$G$134,MATCH(SUBSTITUTE($A229," SS","  SS"),'RSTO &gt; 48hrs'!$A$2:$A$134,0)),"NA"))</f>
        <v>NA</v>
      </c>
      <c r="H229" s="54" t="n">
        <f aca="false" t="array" ref="H229:H229">IFERROR(INDEX('Recirculation &gt; 24 hrs'!$J$2:$J$150,MATCH($A229,'Recirculation &gt; 24 hrs'!$A$2:$A$150,0)),IFERROR(INDEX('Recirculation &gt; 24 hrs'!$J$2:$J$150,MATCH(SUBSTITUTE($A229," SS","  SS"),'Recirculation &gt; 24 hrs'!$A$2:$A$150,0)),"NA"))</f>
        <v>1</v>
      </c>
      <c r="I229" s="54" t="n">
        <f aca="false" t="array" ref="I229:I229">IFERROR(INDEX('Pending Putaway'!$D$2:$D$255,MATCH($A229,'Pending Putaway'!$A$2:$A$255,0)),IFERROR(INDEX('Pending Putaway'!$D$2:$D$255,MATCH(SUBSTITUTE($A229," SS","  SS"),'Pending Putaway'!$A$2:$A$255,0)),"NA"))</f>
        <v>3</v>
      </c>
      <c r="J229" s="54" t="n">
        <f aca="false" t="array" ref="J229:J229">IFERROR(INDEX('Pending Putaway'!$K$2:$K$255,MATCH($A229,'Pending Putaway'!$A$2:$A$255,0)),IFERROR(INDEX('Pending Putaway'!$K$2:$K$255,MATCH(SUBSTITUTE($A229," SS","  SS"),'Pending Putaway'!$A$2:$A$255,0)),"NA"))</f>
        <v>3</v>
      </c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customFormat="false" ht="15.75" hidden="false" customHeight="true" outlineLevel="0" collapsed="false">
      <c r="A230" s="54" t="s">
        <v>256</v>
      </c>
      <c r="B230" s="54" t="str">
        <f aca="false" t="array" ref="B230:B230">IFERROR(INDEX('CLM &amp; IM Mapping'!$B$2:$B$270,MATCH($A230,'CLM &amp; IM Mapping'!$A$2:$A$270,0)),"Not Mapped")</f>
        <v>Suhas N</v>
      </c>
      <c r="C230" s="54" t="str">
        <f aca="false" t="array" ref="C230:C230">IFERROR(INDEX('CLM &amp; IM Mapping'!$C$2:$C$270,MATCH($A230,'CLM &amp; IM Mapping'!$A$2:$A$270,0)),"Not Mapped")</f>
        <v>Aravind S</v>
      </c>
      <c r="D230" s="55" t="n">
        <f aca="false" t="array" ref="D230:D230">IFERROR(INDEX(Shrinkage!$O$2:$O$260,MATCH($A230,Shrinkage!$C$2:$C$260,0)),IFERROR(INDEX(Shrinkage!$O$2:$O$260,MATCH(SUBSTITUTE($A230," SS","  SS"),Shrinkage!$C$2:$C$260,0)),"NA"))</f>
        <v>-8110</v>
      </c>
      <c r="E230" s="56" t="n">
        <f aca="false" t="array" ref="E230:E230">IFERROR(INDEX('Inventory Hygiene'!$I$2:$I$252,MATCH($A230,'Inventory Hygiene'!$A$2:$A$252,0)),IFERROR(INDEX('Inventory Hygiene'!$I$2:$I$252,MATCH(SUBSTITUTE($A230," SS","  SS"),'Inventory Hygiene'!$A$2:$A$252,0)),"NA"))</f>
        <v>0.7</v>
      </c>
      <c r="F230" s="54" t="n">
        <f aca="false" t="array" ref="F230:F230">IFERROR(INDEX('Bad Bins'!$J$2:$J$252,MATCH($A230,'Bad Bins'!$A$2:$A$252,0)),IFERROR(INDEX('Bad Bins'!$J$2:$J$252,MATCH(SUBSTITUTE($A230," SS","  SS"),'Bad Bins'!$A$2:$A$252,0)),"NA"))</f>
        <v>79</v>
      </c>
      <c r="G230" s="54" t="n">
        <f aca="false" t="array" ref="G230:G230">IFERROR(INDEX('RSTO &gt; 48hrs'!$G$2:$G$134,MATCH($A230,'RSTO &gt; 48hrs'!$A$2:$A$134,0)),IFERROR(INDEX('RSTO &gt; 48hrs'!$G$2:$G$134,MATCH(SUBSTITUTE($A230," SS","  SS"),'RSTO &gt; 48hrs'!$A$2:$A$134,0)),"NA"))</f>
        <v>47</v>
      </c>
      <c r="H230" s="54" t="str">
        <f aca="false" t="array" ref="H230:H230">IFERROR(INDEX('Recirculation &gt; 24 hrs'!$J$2:$J$150,MATCH($A230,'Recirculation &gt; 24 hrs'!$A$2:$A$150,0)),IFERROR(INDEX('Recirculation &gt; 24 hrs'!$J$2:$J$150,MATCH(SUBSTITUTE($A230," SS","  SS"),'Recirculation &gt; 24 hrs'!$A$2:$A$150,0)),"NA"))</f>
        <v>NA</v>
      </c>
      <c r="I230" s="54" t="n">
        <f aca="false" t="array" ref="I230:I230">IFERROR(INDEX('Pending Putaway'!$D$2:$D$255,MATCH($A230,'Pending Putaway'!$A$2:$A$255,0)),IFERROR(INDEX('Pending Putaway'!$D$2:$D$255,MATCH(SUBSTITUTE($A230," SS","  SS"),'Pending Putaway'!$A$2:$A$255,0)),"NA"))</f>
        <v>3438</v>
      </c>
      <c r="J230" s="54" t="n">
        <f aca="false" t="array" ref="J230:J230">IFERROR(INDEX('Pending Putaway'!$K$2:$K$255,MATCH($A230,'Pending Putaway'!$A$2:$A$255,0)),IFERROR(INDEX('Pending Putaway'!$K$2:$K$255,MATCH(SUBSTITUTE($A230," SS","  SS"),'Pending Putaway'!$A$2:$A$255,0)),"NA"))</f>
        <v>3</v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customFormat="false" ht="15.75" hidden="false" customHeight="true" outlineLevel="0" collapsed="false">
      <c r="A231" s="54" t="s">
        <v>170</v>
      </c>
      <c r="B231" s="54" t="str">
        <f aca="false" t="array" ref="B231:B231">IFERROR(INDEX('CLM &amp; IM Mapping'!$B$2:$B$270,MATCH($A231,'CLM &amp; IM Mapping'!$A$2:$A$270,0)),"Not Mapped")</f>
        <v>John Britto</v>
      </c>
      <c r="C231" s="54" t="str">
        <f aca="false" t="array" ref="C231:C231">IFERROR(INDEX('CLM &amp; IM Mapping'!$C$2:$C$270,MATCH($A231,'CLM &amp; IM Mapping'!$A$2:$A$270,0)),"Not Mapped")</f>
        <v>Aravind S</v>
      </c>
      <c r="D231" s="55" t="n">
        <f aca="false" t="array" ref="D231:D231">IFERROR(INDEX(Shrinkage!$O$2:$O$260,MATCH($A231,Shrinkage!$C$2:$C$260,0)),IFERROR(INDEX(Shrinkage!$O$2:$O$260,MATCH(SUBSTITUTE($A231," SS","  SS"),Shrinkage!$C$2:$C$260,0)),"NA"))</f>
        <v>1702</v>
      </c>
      <c r="E231" s="56" t="n">
        <f aca="false" t="array" ref="E231:E231">IFERROR(INDEX('Inventory Hygiene'!$I$2:$I$252,MATCH($A231,'Inventory Hygiene'!$A$2:$A$252,0)),IFERROR(INDEX('Inventory Hygiene'!$I$2:$I$252,MATCH(SUBSTITUTE($A231," SS","  SS"),'Inventory Hygiene'!$A$2:$A$252,0)),"NA"))</f>
        <v>0.1</v>
      </c>
      <c r="F231" s="54" t="n">
        <f aca="false" t="array" ref="F231:F231">IFERROR(INDEX('Bad Bins'!$J$2:$J$252,MATCH($A231,'Bad Bins'!$A$2:$A$252,0)),IFERROR(INDEX('Bad Bins'!$J$2:$J$252,MATCH(SUBSTITUTE($A231," SS","  SS"),'Bad Bins'!$A$2:$A$252,0)),"NA"))</f>
        <v>24</v>
      </c>
      <c r="G231" s="54" t="str">
        <f aca="false" t="array" ref="G231:G231">IFERROR(INDEX('RSTO &gt; 48hrs'!$G$2:$G$134,MATCH($A231,'RSTO &gt; 48hrs'!$A$2:$A$134,0)),IFERROR(INDEX('RSTO &gt; 48hrs'!$G$2:$G$134,MATCH(SUBSTITUTE($A231," SS","  SS"),'RSTO &gt; 48hrs'!$A$2:$A$134,0)),"NA"))</f>
        <v>NA</v>
      </c>
      <c r="H231" s="54" t="n">
        <f aca="false" t="array" ref="H231:H231">IFERROR(INDEX('Recirculation &gt; 24 hrs'!$J$2:$J$150,MATCH($A231,'Recirculation &gt; 24 hrs'!$A$2:$A$150,0)),IFERROR(INDEX('Recirculation &gt; 24 hrs'!$J$2:$J$150,MATCH(SUBSTITUTE($A231," SS","  SS"),'Recirculation &gt; 24 hrs'!$A$2:$A$150,0)),"NA"))</f>
        <v>1</v>
      </c>
      <c r="I231" s="54" t="n">
        <f aca="false" t="array" ref="I231:I231">IFERROR(INDEX('Pending Putaway'!$D$2:$D$255,MATCH($A231,'Pending Putaway'!$A$2:$A$255,0)),IFERROR(INDEX('Pending Putaway'!$D$2:$D$255,MATCH(SUBSTITUTE($A231," SS","  SS"),'Pending Putaway'!$A$2:$A$255,0)),"NA"))</f>
        <v>0</v>
      </c>
      <c r="J231" s="54" t="n">
        <f aca="false" t="array" ref="J231:J231">IFERROR(INDEX('Pending Putaway'!$K$2:$K$255,MATCH($A231,'Pending Putaway'!$A$2:$A$255,0)),IFERROR(INDEX('Pending Putaway'!$K$2:$K$255,MATCH(SUBSTITUTE($A231," SS","  SS"),'Pending Putaway'!$A$2:$A$255,0)),"NA"))</f>
        <v>0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customFormat="false" ht="15.75" hidden="false" customHeight="true" outlineLevel="0" collapsed="false">
      <c r="A232" s="54" t="s">
        <v>229</v>
      </c>
      <c r="B232" s="54" t="str">
        <f aca="false" t="array" ref="B232:B232">IFERROR(INDEX('CLM &amp; IM Mapping'!$B$2:$B$270,MATCH($A232,'CLM &amp; IM Mapping'!$A$2:$A$270,0)),"Not Mapped")</f>
        <v>John Britto</v>
      </c>
      <c r="C232" s="54" t="str">
        <f aca="false" t="array" ref="C232:C232">IFERROR(INDEX('CLM &amp; IM Mapping'!$C$2:$C$270,MATCH($A232,'CLM &amp; IM Mapping'!$A$2:$A$270,0)),"Not Mapped")</f>
        <v>Aravind S</v>
      </c>
      <c r="D232" s="55" t="n">
        <f aca="false" t="array" ref="D232:D232">IFERROR(INDEX(Shrinkage!$O$2:$O$260,MATCH($A232,Shrinkage!$C$2:$C$260,0)),IFERROR(INDEX(Shrinkage!$O$2:$O$260,MATCH(SUBSTITUTE($A232," SS","  SS"),Shrinkage!$C$2:$C$260,0)),"NA"))</f>
        <v>-4958</v>
      </c>
      <c r="E232" s="56" t="n">
        <f aca="false" t="array" ref="E232:E232">IFERROR(INDEX('Inventory Hygiene'!$I$2:$I$252,MATCH($A232,'Inventory Hygiene'!$A$2:$A$252,0)),IFERROR(INDEX('Inventory Hygiene'!$I$2:$I$252,MATCH(SUBSTITUTE($A232," SS","  SS"),'Inventory Hygiene'!$A$2:$A$252,0)),"NA"))</f>
        <v>0.27</v>
      </c>
      <c r="F232" s="54" t="n">
        <f aca="false" t="array" ref="F232:F232">IFERROR(INDEX('Bad Bins'!$J$2:$J$252,MATCH($A232,'Bad Bins'!$A$2:$A$252,0)),IFERROR(INDEX('Bad Bins'!$J$2:$J$252,MATCH(SUBSTITUTE($A232," SS","  SS"),'Bad Bins'!$A$2:$A$252,0)),"NA"))</f>
        <v>308</v>
      </c>
      <c r="G232" s="54" t="str">
        <f aca="false" t="array" ref="G232:G232">IFERROR(INDEX('RSTO &gt; 48hrs'!$G$2:$G$134,MATCH($A232,'RSTO &gt; 48hrs'!$A$2:$A$134,0)),IFERROR(INDEX('RSTO &gt; 48hrs'!$G$2:$G$134,MATCH(SUBSTITUTE($A232," SS","  SS"),'RSTO &gt; 48hrs'!$A$2:$A$134,0)),"NA"))</f>
        <v>NA</v>
      </c>
      <c r="H232" s="54" t="n">
        <f aca="false" t="array" ref="H232:H232">IFERROR(INDEX('Recirculation &gt; 24 hrs'!$J$2:$J$150,MATCH($A232,'Recirculation &gt; 24 hrs'!$A$2:$A$150,0)),IFERROR(INDEX('Recirculation &gt; 24 hrs'!$J$2:$J$150,MATCH(SUBSTITUTE($A232," SS","  SS"),'Recirculation &gt; 24 hrs'!$A$2:$A$150,0)),"NA"))</f>
        <v>8</v>
      </c>
      <c r="I232" s="54" t="n">
        <f aca="false" t="array" ref="I232:I232">IFERROR(INDEX('Pending Putaway'!$D$2:$D$255,MATCH($A232,'Pending Putaway'!$A$2:$A$255,0)),IFERROR(INDEX('Pending Putaway'!$D$2:$D$255,MATCH(SUBSTITUTE($A232," SS","  SS"),'Pending Putaway'!$A$2:$A$255,0)),"NA"))</f>
        <v>0</v>
      </c>
      <c r="J232" s="54" t="n">
        <f aca="false" t="array" ref="J232:J232">IFERROR(INDEX('Pending Putaway'!$K$2:$K$255,MATCH($A232,'Pending Putaway'!$A$2:$A$255,0)),IFERROR(INDEX('Pending Putaway'!$K$2:$K$255,MATCH(SUBSTITUTE($A232," SS","  SS"),'Pending Putaway'!$A$2:$A$255,0)),"NA"))</f>
        <v>0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customFormat="false" ht="15.75" hidden="false" customHeight="true" outlineLevel="0" collapsed="false">
      <c r="A233" s="54" t="s">
        <v>250</v>
      </c>
      <c r="B233" s="54" t="str">
        <f aca="false" t="array" ref="B233:B233">IFERROR(INDEX('CLM &amp; IM Mapping'!$B$2:$B$270,MATCH($A233,'CLM &amp; IM Mapping'!$A$2:$A$270,0)),"Not Mapped")</f>
        <v>John Britto</v>
      </c>
      <c r="C233" s="54" t="str">
        <f aca="false" t="array" ref="C233:C233">IFERROR(INDEX('CLM &amp; IM Mapping'!$C$2:$C$270,MATCH($A233,'CLM &amp; IM Mapping'!$A$2:$A$270,0)),"Not Mapped")</f>
        <v>Aravind S</v>
      </c>
      <c r="D233" s="55" t="n">
        <f aca="false" t="array" ref="D233:D233">IFERROR(INDEX(Shrinkage!$O$2:$O$260,MATCH($A233,Shrinkage!$C$2:$C$260,0)),IFERROR(INDEX(Shrinkage!$O$2:$O$260,MATCH(SUBSTITUTE($A233," SS","  SS"),Shrinkage!$C$2:$C$260,0)),"NA"))</f>
        <v>-7220</v>
      </c>
      <c r="E233" s="56" t="n">
        <f aca="false" t="array" ref="E233:E233">IFERROR(INDEX('Inventory Hygiene'!$I$2:$I$252,MATCH($A233,'Inventory Hygiene'!$A$2:$A$252,0)),IFERROR(INDEX('Inventory Hygiene'!$I$2:$I$252,MATCH(SUBSTITUTE($A233," SS","  SS"),'Inventory Hygiene'!$A$2:$A$252,0)),"NA"))</f>
        <v>0.18</v>
      </c>
      <c r="F233" s="54" t="n">
        <f aca="false" t="array" ref="F233:F233">IFERROR(INDEX('Bad Bins'!$J$2:$J$252,MATCH($A233,'Bad Bins'!$A$2:$A$252,0)),IFERROR(INDEX('Bad Bins'!$J$2:$J$252,MATCH(SUBSTITUTE($A233," SS","  SS"),'Bad Bins'!$A$2:$A$252,0)),"NA"))</f>
        <v>24</v>
      </c>
      <c r="G233" s="54" t="str">
        <f aca="false" t="array" ref="G233:G233">IFERROR(INDEX('RSTO &gt; 48hrs'!$G$2:$G$134,MATCH($A233,'RSTO &gt; 48hrs'!$A$2:$A$134,0)),IFERROR(INDEX('RSTO &gt; 48hrs'!$G$2:$G$134,MATCH(SUBSTITUTE($A233," SS","  SS"),'RSTO &gt; 48hrs'!$A$2:$A$134,0)),"NA"))</f>
        <v>NA</v>
      </c>
      <c r="H233" s="54" t="str">
        <f aca="false" t="array" ref="H233:H233">IFERROR(INDEX('Recirculation &gt; 24 hrs'!$J$2:$J$150,MATCH($A233,'Recirculation &gt; 24 hrs'!$A$2:$A$150,0)),IFERROR(INDEX('Recirculation &gt; 24 hrs'!$J$2:$J$150,MATCH(SUBSTITUTE($A233," SS","  SS"),'Recirculation &gt; 24 hrs'!$A$2:$A$150,0)),"NA"))</f>
        <v>NA</v>
      </c>
      <c r="I233" s="54" t="n">
        <f aca="false" t="array" ref="I233:I233">IFERROR(INDEX('Pending Putaway'!$D$2:$D$255,MATCH($A233,'Pending Putaway'!$A$2:$A$255,0)),IFERROR(INDEX('Pending Putaway'!$D$2:$D$255,MATCH(SUBSTITUTE($A233," SS","  SS"),'Pending Putaway'!$A$2:$A$255,0)),"NA"))</f>
        <v>0</v>
      </c>
      <c r="J233" s="54" t="n">
        <f aca="false" t="array" ref="J233:J233">IFERROR(INDEX('Pending Putaway'!$K$2:$K$255,MATCH($A233,'Pending Putaway'!$A$2:$A$255,0)),IFERROR(INDEX('Pending Putaway'!$K$2:$K$255,MATCH(SUBSTITUTE($A233," SS","  SS"),'Pending Putaway'!$A$2:$A$255,0)),"NA"))</f>
        <v>0</v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customFormat="false" ht="15.75" hidden="false" customHeight="true" outlineLevel="0" collapsed="false">
      <c r="A234" s="54" t="s">
        <v>261</v>
      </c>
      <c r="B234" s="54" t="str">
        <f aca="false" t="array" ref="B234:B234">IFERROR(INDEX('CLM &amp; IM Mapping'!$B$2:$B$270,MATCH($A234,'CLM &amp; IM Mapping'!$A$2:$A$270,0)),"Not Mapped")</f>
        <v>John Britto</v>
      </c>
      <c r="C234" s="54" t="str">
        <f aca="false" t="array" ref="C234:C234">IFERROR(INDEX('CLM &amp; IM Mapping'!$C$2:$C$270,MATCH($A234,'CLM &amp; IM Mapping'!$A$2:$A$270,0)),"Not Mapped")</f>
        <v>Aravind S</v>
      </c>
      <c r="D234" s="55" t="n">
        <f aca="false" t="array" ref="D234:D234">IFERROR(INDEX(Shrinkage!$O$2:$O$260,MATCH($A234,Shrinkage!$C$2:$C$260,0)),IFERROR(INDEX(Shrinkage!$O$2:$O$260,MATCH(SUBSTITUTE($A234," SS","  SS"),Shrinkage!$C$2:$C$260,0)),"NA"))</f>
        <v>-9253</v>
      </c>
      <c r="E234" s="56" t="n">
        <f aca="false" t="array" ref="E234:E234">IFERROR(INDEX('Inventory Hygiene'!$I$2:$I$252,MATCH($A234,'Inventory Hygiene'!$A$2:$A$252,0)),IFERROR(INDEX('Inventory Hygiene'!$I$2:$I$252,MATCH(SUBSTITUTE($A234," SS","  SS"),'Inventory Hygiene'!$A$2:$A$252,0)),"NA"))</f>
        <v>0.8</v>
      </c>
      <c r="F234" s="54" t="n">
        <f aca="false" t="array" ref="F234:F234">IFERROR(INDEX('Bad Bins'!$J$2:$J$252,MATCH($A234,'Bad Bins'!$A$2:$A$252,0)),IFERROR(INDEX('Bad Bins'!$J$2:$J$252,MATCH(SUBSTITUTE($A234," SS","  SS"),'Bad Bins'!$A$2:$A$252,0)),"NA"))</f>
        <v>57</v>
      </c>
      <c r="G234" s="54" t="str">
        <f aca="false" t="array" ref="G234:G234">IFERROR(INDEX('RSTO &gt; 48hrs'!$G$2:$G$134,MATCH($A234,'RSTO &gt; 48hrs'!$A$2:$A$134,0)),IFERROR(INDEX('RSTO &gt; 48hrs'!$G$2:$G$134,MATCH(SUBSTITUTE($A234," SS","  SS"),'RSTO &gt; 48hrs'!$A$2:$A$134,0)),"NA"))</f>
        <v>NA</v>
      </c>
      <c r="H234" s="54" t="str">
        <f aca="false" t="array" ref="H234:H234">IFERROR(INDEX('Recirculation &gt; 24 hrs'!$J$2:$J$150,MATCH($A234,'Recirculation &gt; 24 hrs'!$A$2:$A$150,0)),IFERROR(INDEX('Recirculation &gt; 24 hrs'!$J$2:$J$150,MATCH(SUBSTITUTE($A234," SS","  SS"),'Recirculation &gt; 24 hrs'!$A$2:$A$150,0)),"NA"))</f>
        <v>NA</v>
      </c>
      <c r="I234" s="54" t="n">
        <f aca="false" t="array" ref="I234:I234">IFERROR(INDEX('Pending Putaway'!$D$2:$D$255,MATCH($A234,'Pending Putaway'!$A$2:$A$255,0)),IFERROR(INDEX('Pending Putaway'!$D$2:$D$255,MATCH(SUBSTITUTE($A234," SS","  SS"),'Pending Putaway'!$A$2:$A$255,0)),"NA"))</f>
        <v>0</v>
      </c>
      <c r="J234" s="54" t="n">
        <f aca="false" t="array" ref="J234:J234">IFERROR(INDEX('Pending Putaway'!$K$2:$K$255,MATCH($A234,'Pending Putaway'!$A$2:$A$255,0)),IFERROR(INDEX('Pending Putaway'!$K$2:$K$255,MATCH(SUBSTITUTE($A234," SS","  SS"),'Pending Putaway'!$A$2:$A$255,0)),"NA"))</f>
        <v>0</v>
      </c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customFormat="false" ht="15.75" hidden="false" customHeight="true" outlineLevel="0" collapsed="false">
      <c r="A235" s="54" t="s">
        <v>146</v>
      </c>
      <c r="B235" s="54" t="str">
        <f aca="false" t="array" ref="B235:B235">IFERROR(INDEX('CLM &amp; IM Mapping'!$B$2:$B$270,MATCH($A235,'CLM &amp; IM Mapping'!$A$2:$A$270,0)),"Not Mapped")</f>
        <v>John Britto</v>
      </c>
      <c r="C235" s="54" t="str">
        <f aca="false" t="array" ref="C235:C235">IFERROR(INDEX('CLM &amp; IM Mapping'!$C$2:$C$270,MATCH($A235,'CLM &amp; IM Mapping'!$A$2:$A$270,0)),"Not Mapped")</f>
        <v>Aravind S</v>
      </c>
      <c r="D235" s="55" t="n">
        <f aca="false" t="array" ref="D235:D235">IFERROR(INDEX(Shrinkage!$O$2:$O$260,MATCH($A235,Shrinkage!$C$2:$C$260,0)),IFERROR(INDEX(Shrinkage!$O$2:$O$260,MATCH(SUBSTITUTE($A235," SS","  SS"),Shrinkage!$C$2:$C$260,0)),"NA"))</f>
        <v>5501</v>
      </c>
      <c r="E235" s="56" t="n">
        <f aca="false" t="array" ref="E235:E235">IFERROR(INDEX('Inventory Hygiene'!$I$2:$I$252,MATCH($A235,'Inventory Hygiene'!$A$2:$A$252,0)),IFERROR(INDEX('Inventory Hygiene'!$I$2:$I$252,MATCH(SUBSTITUTE($A235," SS","  SS"),'Inventory Hygiene'!$A$2:$A$252,0)),"NA"))</f>
        <v>0.39</v>
      </c>
      <c r="F235" s="54" t="n">
        <f aca="false" t="array" ref="F235:F235">IFERROR(INDEX('Bad Bins'!$J$2:$J$252,MATCH($A235,'Bad Bins'!$A$2:$A$252,0)),IFERROR(INDEX('Bad Bins'!$J$2:$J$252,MATCH(SUBSTITUTE($A235," SS","  SS"),'Bad Bins'!$A$2:$A$252,0)),"NA"))</f>
        <v>367</v>
      </c>
      <c r="G235" s="54" t="str">
        <f aca="false" t="array" ref="G235:G235">IFERROR(INDEX('RSTO &gt; 48hrs'!$G$2:$G$134,MATCH($A235,'RSTO &gt; 48hrs'!$A$2:$A$134,0)),IFERROR(INDEX('RSTO &gt; 48hrs'!$G$2:$G$134,MATCH(SUBSTITUTE($A235," SS","  SS"),'RSTO &gt; 48hrs'!$A$2:$A$134,0)),"NA"))</f>
        <v>NA</v>
      </c>
      <c r="H235" s="54" t="str">
        <f aca="false" t="array" ref="H235:H235">IFERROR(INDEX('Recirculation &gt; 24 hrs'!$J$2:$J$150,MATCH($A235,'Recirculation &gt; 24 hrs'!$A$2:$A$150,0)),IFERROR(INDEX('Recirculation &gt; 24 hrs'!$J$2:$J$150,MATCH(SUBSTITUTE($A235," SS","  SS"),'Recirculation &gt; 24 hrs'!$A$2:$A$150,0)),"NA"))</f>
        <v>NA</v>
      </c>
      <c r="I235" s="54" t="n">
        <f aca="false" t="array" ref="I235:I235">IFERROR(INDEX('Pending Putaway'!$D$2:$D$255,MATCH($A235,'Pending Putaway'!$A$2:$A$255,0)),IFERROR(INDEX('Pending Putaway'!$D$2:$D$255,MATCH(SUBSTITUTE($A235," SS","  SS"),'Pending Putaway'!$A$2:$A$255,0)),"NA"))</f>
        <v>2299</v>
      </c>
      <c r="J235" s="54" t="n">
        <f aca="false" t="array" ref="J235:J235">IFERROR(INDEX('Pending Putaway'!$K$2:$K$255,MATCH($A235,'Pending Putaway'!$A$2:$A$255,0)),IFERROR(INDEX('Pending Putaway'!$K$2:$K$255,MATCH(SUBSTITUTE($A235," SS","  SS"),'Pending Putaway'!$A$2:$A$255,0)),"NA"))</f>
        <v>1028</v>
      </c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customFormat="false" ht="15.75" hidden="false" customHeight="true" outlineLevel="0" collapsed="false">
      <c r="A236" s="54" t="s">
        <v>291</v>
      </c>
      <c r="B236" s="54" t="str">
        <f aca="false" t="array" ref="B236:B236">IFERROR(INDEX('CLM &amp; IM Mapping'!$B$2:$B$270,MATCH($A236,'CLM &amp; IM Mapping'!$A$2:$A$270,0)),"Not Mapped")</f>
        <v>John Britto</v>
      </c>
      <c r="C236" s="54" t="str">
        <f aca="false" t="array" ref="C236:C236">IFERROR(INDEX('CLM &amp; IM Mapping'!$C$2:$C$270,MATCH($A236,'CLM &amp; IM Mapping'!$A$2:$A$270,0)),"Not Mapped")</f>
        <v>Aravind S</v>
      </c>
      <c r="D236" s="55" t="n">
        <f aca="false" t="array" ref="D236:D236">IFERROR(INDEX(Shrinkage!$O$2:$O$260,MATCH($A236,Shrinkage!$C$2:$C$260,0)),IFERROR(INDEX(Shrinkage!$O$2:$O$260,MATCH(SUBSTITUTE($A236," SS","  SS"),Shrinkage!$C$2:$C$260,0)),"NA"))</f>
        <v>-28487</v>
      </c>
      <c r="E236" s="56" t="n">
        <f aca="false" t="array" ref="E236:E236">IFERROR(INDEX('Inventory Hygiene'!$I$2:$I$252,MATCH($A236,'Inventory Hygiene'!$A$2:$A$252,0)),IFERROR(INDEX('Inventory Hygiene'!$I$2:$I$252,MATCH(SUBSTITUTE($A236," SS","  SS"),'Inventory Hygiene'!$A$2:$A$252,0)),"NA"))</f>
        <v>0.79</v>
      </c>
      <c r="F236" s="54" t="n">
        <f aca="false" t="array" ref="F236:F236">IFERROR(INDEX('Bad Bins'!$J$2:$J$252,MATCH($A236,'Bad Bins'!$A$2:$A$252,0)),IFERROR(INDEX('Bad Bins'!$J$2:$J$252,MATCH(SUBSTITUTE($A236," SS","  SS"),'Bad Bins'!$A$2:$A$252,0)),"NA"))</f>
        <v>168</v>
      </c>
      <c r="G236" s="54" t="str">
        <f aca="false" t="array" ref="G236:G236">IFERROR(INDEX('RSTO &gt; 48hrs'!$G$2:$G$134,MATCH($A236,'RSTO &gt; 48hrs'!$A$2:$A$134,0)),IFERROR(INDEX('RSTO &gt; 48hrs'!$G$2:$G$134,MATCH(SUBSTITUTE($A236," SS","  SS"),'RSTO &gt; 48hrs'!$A$2:$A$134,0)),"NA"))</f>
        <v>NA</v>
      </c>
      <c r="H236" s="54" t="str">
        <f aca="false" t="array" ref="H236:H236">IFERROR(INDEX('Recirculation &gt; 24 hrs'!$J$2:$J$150,MATCH($A236,'Recirculation &gt; 24 hrs'!$A$2:$A$150,0)),IFERROR(INDEX('Recirculation &gt; 24 hrs'!$J$2:$J$150,MATCH(SUBSTITUTE($A236," SS","  SS"),'Recirculation &gt; 24 hrs'!$A$2:$A$150,0)),"NA"))</f>
        <v>NA</v>
      </c>
      <c r="I236" s="54" t="n">
        <f aca="false" t="array" ref="I236:I236">IFERROR(INDEX('Pending Putaway'!$D$2:$D$255,MATCH($A236,'Pending Putaway'!$A$2:$A$255,0)),IFERROR(INDEX('Pending Putaway'!$D$2:$D$255,MATCH(SUBSTITUTE($A236," SS","  SS"),'Pending Putaway'!$A$2:$A$255,0)),"NA"))</f>
        <v>285</v>
      </c>
      <c r="J236" s="54" t="n">
        <f aca="false" t="array" ref="J236:J236">IFERROR(INDEX('Pending Putaway'!$K$2:$K$255,MATCH($A236,'Pending Putaway'!$A$2:$A$255,0)),IFERROR(INDEX('Pending Putaway'!$K$2:$K$255,MATCH(SUBSTITUTE($A236," SS","  SS"),'Pending Putaway'!$A$2:$A$255,0)),"NA"))</f>
        <v>285</v>
      </c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customFormat="false" ht="15.75" hidden="false" customHeight="true" outlineLevel="0" collapsed="false">
      <c r="A237" s="54" t="s">
        <v>155</v>
      </c>
      <c r="B237" s="54" t="str">
        <f aca="false" t="array" ref="B237:B237">IFERROR(INDEX('CLM &amp; IM Mapping'!$B$2:$B$270,MATCH($A237,'CLM &amp; IM Mapping'!$A$2:$A$270,0)),"Not Mapped")</f>
        <v>John Britto</v>
      </c>
      <c r="C237" s="54" t="str">
        <f aca="false" t="array" ref="C237:C237">IFERROR(INDEX('CLM &amp; IM Mapping'!$C$2:$C$270,MATCH($A237,'CLM &amp; IM Mapping'!$A$2:$A$270,0)),"Not Mapped")</f>
        <v>Aravind S</v>
      </c>
      <c r="D237" s="55" t="n">
        <f aca="false" t="array" ref="D237:D237">IFERROR(INDEX(Shrinkage!$O$2:$O$260,MATCH($A237,Shrinkage!$C$2:$C$260,0)),IFERROR(INDEX(Shrinkage!$O$2:$O$260,MATCH(SUBSTITUTE($A237," SS","  SS"),Shrinkage!$C$2:$C$260,0)),"NA"))</f>
        <v>4151</v>
      </c>
      <c r="E237" s="56" t="n">
        <f aca="false" t="array" ref="E237:E237">IFERROR(INDEX('Inventory Hygiene'!$I$2:$I$252,MATCH($A237,'Inventory Hygiene'!$A$2:$A$252,0)),IFERROR(INDEX('Inventory Hygiene'!$I$2:$I$252,MATCH(SUBSTITUTE($A237," SS","  SS"),'Inventory Hygiene'!$A$2:$A$252,0)),"NA"))</f>
        <v>0.1</v>
      </c>
      <c r="F237" s="54" t="n">
        <f aca="false" t="array" ref="F237:F237">IFERROR(INDEX('Bad Bins'!$J$2:$J$252,MATCH($A237,'Bad Bins'!$A$2:$A$252,0)),IFERROR(INDEX('Bad Bins'!$J$2:$J$252,MATCH(SUBSTITUTE($A237," SS","  SS"),'Bad Bins'!$A$2:$A$252,0)),"NA"))</f>
        <v>84</v>
      </c>
      <c r="G237" s="54" t="str">
        <f aca="false" t="array" ref="G237:G237">IFERROR(INDEX('RSTO &gt; 48hrs'!$G$2:$G$134,MATCH($A237,'RSTO &gt; 48hrs'!$A$2:$A$134,0)),IFERROR(INDEX('RSTO &gt; 48hrs'!$G$2:$G$134,MATCH(SUBSTITUTE($A237," SS","  SS"),'RSTO &gt; 48hrs'!$A$2:$A$134,0)),"NA"))</f>
        <v>NA</v>
      </c>
      <c r="H237" s="54" t="str">
        <f aca="false" t="array" ref="H237:H237">IFERROR(INDEX('Recirculation &gt; 24 hrs'!$J$2:$J$150,MATCH($A237,'Recirculation &gt; 24 hrs'!$A$2:$A$150,0)),IFERROR(INDEX('Recirculation &gt; 24 hrs'!$J$2:$J$150,MATCH(SUBSTITUTE($A237," SS","  SS"),'Recirculation &gt; 24 hrs'!$A$2:$A$150,0)),"NA"))</f>
        <v>NA</v>
      </c>
      <c r="I237" s="54" t="n">
        <f aca="false" t="array" ref="I237:I237">IFERROR(INDEX('Pending Putaway'!$D$2:$D$255,MATCH($A237,'Pending Putaway'!$A$2:$A$255,0)),IFERROR(INDEX('Pending Putaway'!$D$2:$D$255,MATCH(SUBSTITUTE($A237," SS","  SS"),'Pending Putaway'!$A$2:$A$255,0)),"NA"))</f>
        <v>0</v>
      </c>
      <c r="J237" s="54" t="n">
        <f aca="false" t="array" ref="J237:J237">IFERROR(INDEX('Pending Putaway'!$K$2:$K$255,MATCH($A237,'Pending Putaway'!$A$2:$A$255,0)),IFERROR(INDEX('Pending Putaway'!$K$2:$K$255,MATCH(SUBSTITUTE($A237," SS","  SS"),'Pending Putaway'!$A$2:$A$255,0)),"NA"))</f>
        <v>0</v>
      </c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customFormat="false" ht="15.75" hidden="false" customHeight="true" outlineLevel="0" collapsed="false">
      <c r="A238" s="54" t="s">
        <v>200</v>
      </c>
      <c r="B238" s="54" t="str">
        <f aca="false" t="array" ref="B238:B238">IFERROR(INDEX('CLM &amp; IM Mapping'!$B$2:$B$270,MATCH($A238,'CLM &amp; IM Mapping'!$A$2:$A$270,0)),"Not Mapped")</f>
        <v>John Britto</v>
      </c>
      <c r="C238" s="54" t="str">
        <f aca="false" t="array" ref="C238:C238">IFERROR(INDEX('CLM &amp; IM Mapping'!$C$2:$C$270,MATCH($A238,'CLM &amp; IM Mapping'!$A$2:$A$270,0)),"Not Mapped")</f>
        <v>Aravind S</v>
      </c>
      <c r="D238" s="55" t="n">
        <f aca="false" t="array" ref="D238:D238">IFERROR(INDEX(Shrinkage!$O$2:$O$260,MATCH($A238,Shrinkage!$C$2:$C$260,0)),IFERROR(INDEX(Shrinkage!$O$2:$O$260,MATCH(SUBSTITUTE($A238," SS","  SS"),Shrinkage!$C$2:$C$260,0)),"NA"))</f>
        <v>-1287</v>
      </c>
      <c r="E238" s="56" t="n">
        <f aca="false" t="array" ref="E238:E238">IFERROR(INDEX('Inventory Hygiene'!$I$2:$I$252,MATCH($A238,'Inventory Hygiene'!$A$2:$A$252,0)),IFERROR(INDEX('Inventory Hygiene'!$I$2:$I$252,MATCH(SUBSTITUTE($A238," SS","  SS"),'Inventory Hygiene'!$A$2:$A$252,0)),"NA"))</f>
        <v>0.07</v>
      </c>
      <c r="F238" s="54" t="n">
        <f aca="false" t="array" ref="F238:F238">IFERROR(INDEX('Bad Bins'!$J$2:$J$252,MATCH($A238,'Bad Bins'!$A$2:$A$252,0)),IFERROR(INDEX('Bad Bins'!$J$2:$J$252,MATCH(SUBSTITUTE($A238," SS","  SS"),'Bad Bins'!$A$2:$A$252,0)),"NA"))</f>
        <v>23</v>
      </c>
      <c r="G238" s="54" t="str">
        <f aca="false" t="array" ref="G238:G238">IFERROR(INDEX('RSTO &gt; 48hrs'!$G$2:$G$134,MATCH($A238,'RSTO &gt; 48hrs'!$A$2:$A$134,0)),IFERROR(INDEX('RSTO &gt; 48hrs'!$G$2:$G$134,MATCH(SUBSTITUTE($A238," SS","  SS"),'RSTO &gt; 48hrs'!$A$2:$A$134,0)),"NA"))</f>
        <v>NA</v>
      </c>
      <c r="H238" s="54" t="str">
        <f aca="false" t="array" ref="H238:H238">IFERROR(INDEX('Recirculation &gt; 24 hrs'!$J$2:$J$150,MATCH($A238,'Recirculation &gt; 24 hrs'!$A$2:$A$150,0)),IFERROR(INDEX('Recirculation &gt; 24 hrs'!$J$2:$J$150,MATCH(SUBSTITUTE($A238," SS","  SS"),'Recirculation &gt; 24 hrs'!$A$2:$A$150,0)),"NA"))</f>
        <v>NA</v>
      </c>
      <c r="I238" s="54" t="n">
        <f aca="false" t="array" ref="I238:I238">IFERROR(INDEX('Pending Putaway'!$D$2:$D$255,MATCH($A238,'Pending Putaway'!$A$2:$A$255,0)),IFERROR(INDEX('Pending Putaway'!$D$2:$D$255,MATCH(SUBSTITUTE($A238," SS","  SS"),'Pending Putaway'!$A$2:$A$255,0)),"NA"))</f>
        <v>0</v>
      </c>
      <c r="J238" s="54" t="n">
        <f aca="false" t="array" ref="J238:J238">IFERROR(INDEX('Pending Putaway'!$K$2:$K$255,MATCH($A238,'Pending Putaway'!$A$2:$A$255,0)),IFERROR(INDEX('Pending Putaway'!$K$2:$K$255,MATCH(SUBSTITUTE($A238," SS","  SS"),'Pending Putaway'!$A$2:$A$255,0)),"NA"))</f>
        <v>0</v>
      </c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customFormat="false" ht="15.75" hidden="false" customHeight="true" outlineLevel="0" collapsed="false">
      <c r="A239" s="54" t="s">
        <v>207</v>
      </c>
      <c r="B239" s="54" t="str">
        <f aca="false" t="array" ref="B239:B239">IFERROR(INDEX('CLM &amp; IM Mapping'!$B$2:$B$270,MATCH($A239,'CLM &amp; IM Mapping'!$A$2:$A$270,0)),"Not Mapped")</f>
        <v>John Britto</v>
      </c>
      <c r="C239" s="54" t="str">
        <f aca="false" t="array" ref="C239:C239">IFERROR(INDEX('CLM &amp; IM Mapping'!$C$2:$C$270,MATCH($A239,'CLM &amp; IM Mapping'!$A$2:$A$270,0)),"Not Mapped")</f>
        <v>Aravind S</v>
      </c>
      <c r="D239" s="55" t="n">
        <f aca="false" t="array" ref="D239:D239">IFERROR(INDEX(Shrinkage!$O$2:$O$260,MATCH($A239,Shrinkage!$C$2:$C$260,0)),IFERROR(INDEX(Shrinkage!$O$2:$O$260,MATCH(SUBSTITUTE($A239," SS","  SS"),Shrinkage!$C$2:$C$260,0)),"NA"))</f>
        <v>-2040</v>
      </c>
      <c r="E239" s="56" t="n">
        <f aca="false" t="array" ref="E239:E239">IFERROR(INDEX('Inventory Hygiene'!$I$2:$I$252,MATCH($A239,'Inventory Hygiene'!$A$2:$A$252,0)),IFERROR(INDEX('Inventory Hygiene'!$I$2:$I$252,MATCH(SUBSTITUTE($A239," SS","  SS"),'Inventory Hygiene'!$A$2:$A$252,0)),"NA"))</f>
        <v>0.21</v>
      </c>
      <c r="F239" s="54" t="n">
        <f aca="false" t="array" ref="F239:F239">IFERROR(INDEX('Bad Bins'!$J$2:$J$252,MATCH($A239,'Bad Bins'!$A$2:$A$252,0)),IFERROR(INDEX('Bad Bins'!$J$2:$J$252,MATCH(SUBSTITUTE($A239," SS","  SS"),'Bad Bins'!$A$2:$A$252,0)),"NA"))</f>
        <v>0</v>
      </c>
      <c r="G239" s="54" t="str">
        <f aca="false" t="array" ref="G239:G239">IFERROR(INDEX('RSTO &gt; 48hrs'!$G$2:$G$134,MATCH($A239,'RSTO &gt; 48hrs'!$A$2:$A$134,0)),IFERROR(INDEX('RSTO &gt; 48hrs'!$G$2:$G$134,MATCH(SUBSTITUTE($A239," SS","  SS"),'RSTO &gt; 48hrs'!$A$2:$A$134,0)),"NA"))</f>
        <v>NA</v>
      </c>
      <c r="H239" s="54" t="str">
        <f aca="false" t="array" ref="H239:H239">IFERROR(INDEX('Recirculation &gt; 24 hrs'!$J$2:$J$150,MATCH($A239,'Recirculation &gt; 24 hrs'!$A$2:$A$150,0)),IFERROR(INDEX('Recirculation &gt; 24 hrs'!$J$2:$J$150,MATCH(SUBSTITUTE($A239," SS","  SS"),'Recirculation &gt; 24 hrs'!$A$2:$A$150,0)),"NA"))</f>
        <v>NA</v>
      </c>
      <c r="I239" s="54" t="n">
        <f aca="false" t="array" ref="I239:I239">IFERROR(INDEX('Pending Putaway'!$D$2:$D$255,MATCH($A239,'Pending Putaway'!$A$2:$A$255,0)),IFERROR(INDEX('Pending Putaway'!$D$2:$D$255,MATCH(SUBSTITUTE($A239," SS","  SS"),'Pending Putaway'!$A$2:$A$255,0)),"NA"))</f>
        <v>206</v>
      </c>
      <c r="J239" s="54" t="n">
        <f aca="false" t="array" ref="J239:J239">IFERROR(INDEX('Pending Putaway'!$K$2:$K$255,MATCH($A239,'Pending Putaway'!$A$2:$A$255,0)),IFERROR(INDEX('Pending Putaway'!$K$2:$K$255,MATCH(SUBSTITUTE($A239," SS","  SS"),'Pending Putaway'!$A$2:$A$255,0)),"NA"))</f>
        <v>206</v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customFormat="false" ht="15.75" hidden="false" customHeight="true" outlineLevel="0" collapsed="false">
      <c r="A240" s="54" t="s">
        <v>159</v>
      </c>
      <c r="B240" s="54" t="str">
        <f aca="false" t="array" ref="B240:B240">IFERROR(INDEX('CLM &amp; IM Mapping'!$B$2:$B$270,MATCH($A240,'CLM &amp; IM Mapping'!$A$2:$A$270,0)),"Not Mapped")</f>
        <v>Santhosha M</v>
      </c>
      <c r="C240" s="54" t="str">
        <f aca="false" t="array" ref="C240:C240">IFERROR(INDEX('CLM &amp; IM Mapping'!$C$2:$C$270,MATCH($A240,'CLM &amp; IM Mapping'!$A$2:$A$270,0)),"Not Mapped")</f>
        <v>Aravind S</v>
      </c>
      <c r="D240" s="55" t="n">
        <f aca="false" t="array" ref="D240:D240">IFERROR(INDEX(Shrinkage!$O$2:$O$260,MATCH($A240,Shrinkage!$C$2:$C$260,0)),IFERROR(INDEX(Shrinkage!$O$2:$O$260,MATCH(SUBSTITUTE($A240," SS","  SS"),Shrinkage!$C$2:$C$260,0)),"NA"))</f>
        <v>3391</v>
      </c>
      <c r="E240" s="56" t="n">
        <f aca="false" t="array" ref="E240:E240">IFERROR(INDEX('Inventory Hygiene'!$I$2:$I$252,MATCH($A240,'Inventory Hygiene'!$A$2:$A$252,0)),IFERROR(INDEX('Inventory Hygiene'!$I$2:$I$252,MATCH(SUBSTITUTE($A240," SS","  SS"),'Inventory Hygiene'!$A$2:$A$252,0)),"NA"))</f>
        <v>0.83</v>
      </c>
      <c r="F240" s="54" t="n">
        <f aca="false" t="array" ref="F240:F240">IFERROR(INDEX('Bad Bins'!$J$2:$J$252,MATCH($A240,'Bad Bins'!$A$2:$A$252,0)),IFERROR(INDEX('Bad Bins'!$J$2:$J$252,MATCH(SUBSTITUTE($A240," SS","  SS"),'Bad Bins'!$A$2:$A$252,0)),"NA"))</f>
        <v>10</v>
      </c>
      <c r="G240" s="54" t="n">
        <f aca="false" t="array" ref="G240:G240">IFERROR(INDEX('RSTO &gt; 48hrs'!$G$2:$G$134,MATCH($A240,'RSTO &gt; 48hrs'!$A$2:$A$134,0)),IFERROR(INDEX('RSTO &gt; 48hrs'!$G$2:$G$134,MATCH(SUBSTITUTE($A240," SS","  SS"),'RSTO &gt; 48hrs'!$A$2:$A$134,0)),"NA"))</f>
        <v>11</v>
      </c>
      <c r="H240" s="54" t="n">
        <f aca="false" t="array" ref="H240:H240">IFERROR(INDEX('Recirculation &gt; 24 hrs'!$J$2:$J$150,MATCH($A240,'Recirculation &gt; 24 hrs'!$A$2:$A$150,0)),IFERROR(INDEX('Recirculation &gt; 24 hrs'!$J$2:$J$150,MATCH(SUBSTITUTE($A240," SS","  SS"),'Recirculation &gt; 24 hrs'!$A$2:$A$150,0)),"NA"))</f>
        <v>1</v>
      </c>
      <c r="I240" s="54" t="n">
        <f aca="false" t="array" ref="I240:I240">IFERROR(INDEX('Pending Putaway'!$D$2:$D$255,MATCH($A240,'Pending Putaway'!$A$2:$A$255,0)),IFERROR(INDEX('Pending Putaway'!$D$2:$D$255,MATCH(SUBSTITUTE($A240," SS","  SS"),'Pending Putaway'!$A$2:$A$255,0)),"NA"))</f>
        <v>3096</v>
      </c>
      <c r="J240" s="54" t="n">
        <f aca="false" t="array" ref="J240:J240">IFERROR(INDEX('Pending Putaway'!$K$2:$K$255,MATCH($A240,'Pending Putaway'!$A$2:$A$255,0)),IFERROR(INDEX('Pending Putaway'!$K$2:$K$255,MATCH(SUBSTITUTE($A240," SS","  SS"),'Pending Putaway'!$A$2:$A$255,0)),"NA"))</f>
        <v>0</v>
      </c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customFormat="false" ht="15.75" hidden="false" customHeight="true" outlineLevel="0" collapsed="false">
      <c r="A241" s="54" t="s">
        <v>179</v>
      </c>
      <c r="B241" s="54" t="str">
        <f aca="false" t="array" ref="B241:B241">IFERROR(INDEX('CLM &amp; IM Mapping'!$B$2:$B$270,MATCH($A241,'CLM &amp; IM Mapping'!$A$2:$A$270,0)),"Not Mapped")</f>
        <v>Santhosha M</v>
      </c>
      <c r="C241" s="54" t="str">
        <f aca="false" t="array" ref="C241:C241">IFERROR(INDEX('CLM &amp; IM Mapping'!$C$2:$C$270,MATCH($A241,'CLM &amp; IM Mapping'!$A$2:$A$270,0)),"Not Mapped")</f>
        <v>Aravind S</v>
      </c>
      <c r="D241" s="55" t="n">
        <f aca="false" t="array" ref="D241:D241">IFERROR(INDEX(Shrinkage!$O$2:$O$260,MATCH($A241,Shrinkage!$C$2:$C$260,0)),IFERROR(INDEX(Shrinkage!$O$2:$O$260,MATCH(SUBSTITUTE($A241," SS","  SS"),Shrinkage!$C$2:$C$260,0)),"NA"))</f>
        <v>184</v>
      </c>
      <c r="E241" s="56" t="n">
        <f aca="false" t="array" ref="E241:E241">IFERROR(INDEX('Inventory Hygiene'!$I$2:$I$252,MATCH($A241,'Inventory Hygiene'!$A$2:$A$252,0)),IFERROR(INDEX('Inventory Hygiene'!$I$2:$I$252,MATCH(SUBSTITUTE($A241," SS","  SS"),'Inventory Hygiene'!$A$2:$A$252,0)),"NA"))</f>
        <v>0.6</v>
      </c>
      <c r="F241" s="54" t="n">
        <f aca="false" t="array" ref="F241:F241">IFERROR(INDEX('Bad Bins'!$J$2:$J$252,MATCH($A241,'Bad Bins'!$A$2:$A$252,0)),IFERROR(INDEX('Bad Bins'!$J$2:$J$252,MATCH(SUBSTITUTE($A241," SS","  SS"),'Bad Bins'!$A$2:$A$252,0)),"NA"))</f>
        <v>74</v>
      </c>
      <c r="G241" s="54" t="n">
        <f aca="false" t="array" ref="G241:G241">IFERROR(INDEX('RSTO &gt; 48hrs'!$G$2:$G$134,MATCH($A241,'RSTO &gt; 48hrs'!$A$2:$A$134,0)),IFERROR(INDEX('RSTO &gt; 48hrs'!$G$2:$G$134,MATCH(SUBSTITUTE($A241," SS","  SS"),'RSTO &gt; 48hrs'!$A$2:$A$134,0)),"NA"))</f>
        <v>1</v>
      </c>
      <c r="H241" s="54" t="n">
        <f aca="false" t="array" ref="H241:H241">IFERROR(INDEX('Recirculation &gt; 24 hrs'!$J$2:$J$150,MATCH($A241,'Recirculation &gt; 24 hrs'!$A$2:$A$150,0)),IFERROR(INDEX('Recirculation &gt; 24 hrs'!$J$2:$J$150,MATCH(SUBSTITUTE($A241," SS","  SS"),'Recirculation &gt; 24 hrs'!$A$2:$A$150,0)),"NA"))</f>
        <v>4</v>
      </c>
      <c r="I241" s="54" t="n">
        <f aca="false" t="array" ref="I241:I241">IFERROR(INDEX('Pending Putaway'!$D$2:$D$255,MATCH($A241,'Pending Putaway'!$A$2:$A$255,0)),IFERROR(INDEX('Pending Putaway'!$D$2:$D$255,MATCH(SUBSTITUTE($A241," SS","  SS"),'Pending Putaway'!$A$2:$A$255,0)),"NA"))</f>
        <v>13</v>
      </c>
      <c r="J241" s="54" t="n">
        <f aca="false" t="array" ref="J241:J241">IFERROR(INDEX('Pending Putaway'!$K$2:$K$255,MATCH($A241,'Pending Putaway'!$A$2:$A$255,0)),IFERROR(INDEX('Pending Putaway'!$K$2:$K$255,MATCH(SUBSTITUTE($A241," SS","  SS"),'Pending Putaway'!$A$2:$A$255,0)),"NA"))</f>
        <v>0</v>
      </c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customFormat="false" ht="15.75" hidden="false" customHeight="true" outlineLevel="0" collapsed="false">
      <c r="A242" s="54" t="s">
        <v>224</v>
      </c>
      <c r="B242" s="54" t="str">
        <f aca="false" t="array" ref="B242:B242">IFERROR(INDEX('CLM &amp; IM Mapping'!$B$2:$B$270,MATCH($A242,'CLM &amp; IM Mapping'!$A$2:$A$270,0)),"Not Mapped")</f>
        <v>Santhosha M</v>
      </c>
      <c r="C242" s="54" t="str">
        <f aca="false" t="array" ref="C242:C242">IFERROR(INDEX('CLM &amp; IM Mapping'!$C$2:$C$270,MATCH($A242,'CLM &amp; IM Mapping'!$A$2:$A$270,0)),"Not Mapped")</f>
        <v>Aravind S</v>
      </c>
      <c r="D242" s="55" t="n">
        <f aca="false" t="array" ref="D242:D242">IFERROR(INDEX(Shrinkage!$O$2:$O$260,MATCH($A242,Shrinkage!$C$2:$C$260,0)),IFERROR(INDEX(Shrinkage!$O$2:$O$260,MATCH(SUBSTITUTE($A242," SS","  SS"),Shrinkage!$C$2:$C$260,0)),"NA"))</f>
        <v>-4415</v>
      </c>
      <c r="E242" s="56" t="n">
        <f aca="false" t="array" ref="E242:E242">IFERROR(INDEX('Inventory Hygiene'!$I$2:$I$252,MATCH($A242,'Inventory Hygiene'!$A$2:$A$252,0)),IFERROR(INDEX('Inventory Hygiene'!$I$2:$I$252,MATCH(SUBSTITUTE($A242," SS","  SS"),'Inventory Hygiene'!$A$2:$A$252,0)),"NA"))</f>
        <v>1</v>
      </c>
      <c r="F242" s="54" t="n">
        <f aca="false" t="array" ref="F242:F242">IFERROR(INDEX('Bad Bins'!$J$2:$J$252,MATCH($A242,'Bad Bins'!$A$2:$A$252,0)),IFERROR(INDEX('Bad Bins'!$J$2:$J$252,MATCH(SUBSTITUTE($A242," SS","  SS"),'Bad Bins'!$A$2:$A$252,0)),"NA"))</f>
        <v>7</v>
      </c>
      <c r="G242" s="54" t="n">
        <f aca="false" t="array" ref="G242:G242">IFERROR(INDEX('RSTO &gt; 48hrs'!$G$2:$G$134,MATCH($A242,'RSTO &gt; 48hrs'!$A$2:$A$134,0)),IFERROR(INDEX('RSTO &gt; 48hrs'!$G$2:$G$134,MATCH(SUBSTITUTE($A242," SS","  SS"),'RSTO &gt; 48hrs'!$A$2:$A$134,0)),"NA"))</f>
        <v>16</v>
      </c>
      <c r="H242" s="54" t="str">
        <f aca="false" t="array" ref="H242:H242">IFERROR(INDEX('Recirculation &gt; 24 hrs'!$J$2:$J$150,MATCH($A242,'Recirculation &gt; 24 hrs'!$A$2:$A$150,0)),IFERROR(INDEX('Recirculation &gt; 24 hrs'!$J$2:$J$150,MATCH(SUBSTITUTE($A242," SS","  SS"),'Recirculation &gt; 24 hrs'!$A$2:$A$150,0)),"NA"))</f>
        <v>NA</v>
      </c>
      <c r="I242" s="54" t="n">
        <f aca="false" t="array" ref="I242:I242">IFERROR(INDEX('Pending Putaway'!$D$2:$D$255,MATCH($A242,'Pending Putaway'!$A$2:$A$255,0)),IFERROR(INDEX('Pending Putaway'!$D$2:$D$255,MATCH(SUBSTITUTE($A242," SS","  SS"),'Pending Putaway'!$A$2:$A$255,0)),"NA"))</f>
        <v>429</v>
      </c>
      <c r="J242" s="54" t="n">
        <f aca="false" t="array" ref="J242:J242">IFERROR(INDEX('Pending Putaway'!$K$2:$K$255,MATCH($A242,'Pending Putaway'!$A$2:$A$255,0)),IFERROR(INDEX('Pending Putaway'!$K$2:$K$255,MATCH(SUBSTITUTE($A242," SS","  SS"),'Pending Putaway'!$A$2:$A$255,0)),"NA"))</f>
        <v>0</v>
      </c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customFormat="false" ht="15.75" hidden="false" customHeight="true" outlineLevel="0" collapsed="false">
      <c r="A243" s="54" t="s">
        <v>227</v>
      </c>
      <c r="B243" s="54" t="str">
        <f aca="false" t="array" ref="B243:B243">IFERROR(INDEX('CLM &amp; IM Mapping'!$B$2:$B$270,MATCH($A243,'CLM &amp; IM Mapping'!$A$2:$A$270,0)),"Not Mapped")</f>
        <v>Santhosha M</v>
      </c>
      <c r="C243" s="54" t="str">
        <f aca="false" t="array" ref="C243:C243">IFERROR(INDEX('CLM &amp; IM Mapping'!$C$2:$C$270,MATCH($A243,'CLM &amp; IM Mapping'!$A$2:$A$270,0)),"Not Mapped")</f>
        <v>Aravind S</v>
      </c>
      <c r="D243" s="55" t="n">
        <f aca="false" t="array" ref="D243:D243">IFERROR(INDEX(Shrinkage!$O$2:$O$260,MATCH($A243,Shrinkage!$C$2:$C$260,0)),IFERROR(INDEX(Shrinkage!$O$2:$O$260,MATCH(SUBSTITUTE($A243," SS","  SS"),Shrinkage!$C$2:$C$260,0)),"NA"))</f>
        <v>-4930</v>
      </c>
      <c r="E243" s="56" t="n">
        <f aca="false" t="array" ref="E243:E243">IFERROR(INDEX('Inventory Hygiene'!$I$2:$I$252,MATCH($A243,'Inventory Hygiene'!$A$2:$A$252,0)),IFERROR(INDEX('Inventory Hygiene'!$I$2:$I$252,MATCH(SUBSTITUTE($A243," SS","  SS"),'Inventory Hygiene'!$A$2:$A$252,0)),"NA"))</f>
        <v>0.97</v>
      </c>
      <c r="F243" s="54" t="n">
        <f aca="false" t="array" ref="F243:F243">IFERROR(INDEX('Bad Bins'!$J$2:$J$252,MATCH($A243,'Bad Bins'!$A$2:$A$252,0)),IFERROR(INDEX('Bad Bins'!$J$2:$J$252,MATCH(SUBSTITUTE($A243," SS","  SS"),'Bad Bins'!$A$2:$A$252,0)),"NA"))</f>
        <v>53</v>
      </c>
      <c r="G243" s="54" t="n">
        <f aca="false" t="array" ref="G243:G243">IFERROR(INDEX('RSTO &gt; 48hrs'!$G$2:$G$134,MATCH($A243,'RSTO &gt; 48hrs'!$A$2:$A$134,0)),IFERROR(INDEX('RSTO &gt; 48hrs'!$G$2:$G$134,MATCH(SUBSTITUTE($A243," SS","  SS"),'RSTO &gt; 48hrs'!$A$2:$A$134,0)),"NA"))</f>
        <v>7</v>
      </c>
      <c r="H243" s="54" t="str">
        <f aca="false" t="array" ref="H243:H243">IFERROR(INDEX('Recirculation &gt; 24 hrs'!$J$2:$J$150,MATCH($A243,'Recirculation &gt; 24 hrs'!$A$2:$A$150,0)),IFERROR(INDEX('Recirculation &gt; 24 hrs'!$J$2:$J$150,MATCH(SUBSTITUTE($A243," SS","  SS"),'Recirculation &gt; 24 hrs'!$A$2:$A$150,0)),"NA"))</f>
        <v>NA</v>
      </c>
      <c r="I243" s="54" t="n">
        <f aca="false" t="array" ref="I243:I243">IFERROR(INDEX('Pending Putaway'!$D$2:$D$255,MATCH($A243,'Pending Putaway'!$A$2:$A$255,0)),IFERROR(INDEX('Pending Putaway'!$D$2:$D$255,MATCH(SUBSTITUTE($A243," SS","  SS"),'Pending Putaway'!$A$2:$A$255,0)),"NA"))</f>
        <v>1499</v>
      </c>
      <c r="J243" s="54" t="n">
        <f aca="false" t="array" ref="J243:J243">IFERROR(INDEX('Pending Putaway'!$K$2:$K$255,MATCH($A243,'Pending Putaway'!$A$2:$A$255,0)),IFERROR(INDEX('Pending Putaway'!$K$2:$K$255,MATCH(SUBSTITUTE($A243," SS","  SS"),'Pending Putaway'!$A$2:$A$255,0)),"NA"))</f>
        <v>0</v>
      </c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customFormat="false" ht="15.75" hidden="false" customHeight="true" outlineLevel="0" collapsed="false">
      <c r="A244" s="54" t="s">
        <v>273</v>
      </c>
      <c r="B244" s="54" t="str">
        <f aca="false" t="array" ref="B244:B244">IFERROR(INDEX('CLM &amp; IM Mapping'!$B$2:$B$270,MATCH($A244,'CLM &amp; IM Mapping'!$A$2:$A$270,0)),"Not Mapped")</f>
        <v>Santhosha M</v>
      </c>
      <c r="C244" s="54" t="str">
        <f aca="false" t="array" ref="C244:C244">IFERROR(INDEX('CLM &amp; IM Mapping'!$C$2:$C$270,MATCH($A244,'CLM &amp; IM Mapping'!$A$2:$A$270,0)),"Not Mapped")</f>
        <v>Aravind S</v>
      </c>
      <c r="D244" s="55" t="n">
        <f aca="false" t="array" ref="D244:D244">IFERROR(INDEX(Shrinkage!$O$2:$O$260,MATCH($A244,Shrinkage!$C$2:$C$260,0)),IFERROR(INDEX(Shrinkage!$O$2:$O$260,MATCH(SUBSTITUTE($A244," SS","  SS"),Shrinkage!$C$2:$C$260,0)),"NA"))</f>
        <v>-11844</v>
      </c>
      <c r="E244" s="56" t="n">
        <f aca="false" t="array" ref="E244:E244">IFERROR(INDEX('Inventory Hygiene'!$I$2:$I$252,MATCH($A244,'Inventory Hygiene'!$A$2:$A$252,0)),IFERROR(INDEX('Inventory Hygiene'!$I$2:$I$252,MATCH(SUBSTITUTE($A244," SS","  SS"),'Inventory Hygiene'!$A$2:$A$252,0)),"NA"))</f>
        <v>1</v>
      </c>
      <c r="F244" s="54" t="n">
        <f aca="false" t="array" ref="F244:F244">IFERROR(INDEX('Bad Bins'!$J$2:$J$252,MATCH($A244,'Bad Bins'!$A$2:$A$252,0)),IFERROR(INDEX('Bad Bins'!$J$2:$J$252,MATCH(SUBSTITUTE($A244," SS","  SS"),'Bad Bins'!$A$2:$A$252,0)),"NA"))</f>
        <v>139</v>
      </c>
      <c r="G244" s="54" t="str">
        <f aca="false" t="array" ref="G244:G244">IFERROR(INDEX('RSTO &gt; 48hrs'!$G$2:$G$134,MATCH($A244,'RSTO &gt; 48hrs'!$A$2:$A$134,0)),IFERROR(INDEX('RSTO &gt; 48hrs'!$G$2:$G$134,MATCH(SUBSTITUTE($A244," SS","  SS"),'RSTO &gt; 48hrs'!$A$2:$A$134,0)),"NA"))</f>
        <v>NA</v>
      </c>
      <c r="H244" s="54" t="str">
        <f aca="false" t="array" ref="H244:H244">IFERROR(INDEX('Recirculation &gt; 24 hrs'!$J$2:$J$150,MATCH($A244,'Recirculation &gt; 24 hrs'!$A$2:$A$150,0)),IFERROR(INDEX('Recirculation &gt; 24 hrs'!$J$2:$J$150,MATCH(SUBSTITUTE($A244," SS","  SS"),'Recirculation &gt; 24 hrs'!$A$2:$A$150,0)),"NA"))</f>
        <v>NA</v>
      </c>
      <c r="I244" s="54" t="n">
        <f aca="false" t="array" ref="I244:I244">IFERROR(INDEX('Pending Putaway'!$D$2:$D$255,MATCH($A244,'Pending Putaway'!$A$2:$A$255,0)),IFERROR(INDEX('Pending Putaway'!$D$2:$D$255,MATCH(SUBSTITUTE($A244," SS","  SS"),'Pending Putaway'!$A$2:$A$255,0)),"NA"))</f>
        <v>0</v>
      </c>
      <c r="J244" s="54" t="n">
        <f aca="false" t="array" ref="J244:J244">IFERROR(INDEX('Pending Putaway'!$K$2:$K$255,MATCH($A244,'Pending Putaway'!$A$2:$A$255,0)),IFERROR(INDEX('Pending Putaway'!$K$2:$K$255,MATCH(SUBSTITUTE($A244," SS","  SS"),'Pending Putaway'!$A$2:$A$255,0)),"NA"))</f>
        <v>0</v>
      </c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customFormat="false" ht="15.75" hidden="false" customHeight="true" outlineLevel="0" collapsed="false">
      <c r="A245" s="54" t="s">
        <v>131</v>
      </c>
      <c r="B245" s="54" t="str">
        <f aca="false" t="array" ref="B245:B245">IFERROR(INDEX('CLM &amp; IM Mapping'!$B$2:$B$270,MATCH($A245,'CLM &amp; IM Mapping'!$A$2:$A$270,0)),"Not Mapped")</f>
        <v>Santhosha M</v>
      </c>
      <c r="C245" s="54" t="str">
        <f aca="false" t="array" ref="C245:C245">IFERROR(INDEX('CLM &amp; IM Mapping'!$C$2:$C$270,MATCH($A245,'CLM &amp; IM Mapping'!$A$2:$A$270,0)),"Not Mapped")</f>
        <v>Aravind S</v>
      </c>
      <c r="D245" s="55" t="n">
        <f aca="false" t="array" ref="D245:D245">IFERROR(INDEX(Shrinkage!$O$2:$O$260,MATCH($A245,Shrinkage!$C$2:$C$260,0)),IFERROR(INDEX(Shrinkage!$O$2:$O$260,MATCH(SUBSTITUTE($A245," SS","  SS"),Shrinkage!$C$2:$C$260,0)),"NA"))</f>
        <v>8653</v>
      </c>
      <c r="E245" s="56" t="n">
        <f aca="false" t="array" ref="E245:E245">IFERROR(INDEX('Inventory Hygiene'!$I$2:$I$252,MATCH($A245,'Inventory Hygiene'!$A$2:$A$252,0)),IFERROR(INDEX('Inventory Hygiene'!$I$2:$I$252,MATCH(SUBSTITUTE($A245," SS","  SS"),'Inventory Hygiene'!$A$2:$A$252,0)),"NA"))</f>
        <v>0.96</v>
      </c>
      <c r="F245" s="54" t="n">
        <f aca="false" t="array" ref="F245:F245">IFERROR(INDEX('Bad Bins'!$J$2:$J$252,MATCH($A245,'Bad Bins'!$A$2:$A$252,0)),IFERROR(INDEX('Bad Bins'!$J$2:$J$252,MATCH(SUBSTITUTE($A245," SS","  SS"),'Bad Bins'!$A$2:$A$252,0)),"NA"))</f>
        <v>1</v>
      </c>
      <c r="G245" s="54" t="str">
        <f aca="false" t="array" ref="G245:G245">IFERROR(INDEX('RSTO &gt; 48hrs'!$G$2:$G$134,MATCH($A245,'RSTO &gt; 48hrs'!$A$2:$A$134,0)),IFERROR(INDEX('RSTO &gt; 48hrs'!$G$2:$G$134,MATCH(SUBSTITUTE($A245," SS","  SS"),'RSTO &gt; 48hrs'!$A$2:$A$134,0)),"NA"))</f>
        <v>NA</v>
      </c>
      <c r="H245" s="54" t="n">
        <f aca="false" t="array" ref="H245:H245">IFERROR(INDEX('Recirculation &gt; 24 hrs'!$J$2:$J$150,MATCH($A245,'Recirculation &gt; 24 hrs'!$A$2:$A$150,0)),IFERROR(INDEX('Recirculation &gt; 24 hrs'!$J$2:$J$150,MATCH(SUBSTITUTE($A245," SS","  SS"),'Recirculation &gt; 24 hrs'!$A$2:$A$150,0)),"NA"))</f>
        <v>7</v>
      </c>
      <c r="I245" s="54" t="n">
        <f aca="false" t="array" ref="I245:I245">IFERROR(INDEX('Pending Putaway'!$D$2:$D$255,MATCH($A245,'Pending Putaway'!$A$2:$A$255,0)),IFERROR(INDEX('Pending Putaway'!$D$2:$D$255,MATCH(SUBSTITUTE($A245," SS","  SS"),'Pending Putaway'!$A$2:$A$255,0)),"NA"))</f>
        <v>4762</v>
      </c>
      <c r="J245" s="54" t="n">
        <f aca="false" t="array" ref="J245:J245">IFERROR(INDEX('Pending Putaway'!$K$2:$K$255,MATCH($A245,'Pending Putaway'!$A$2:$A$255,0)),IFERROR(INDEX('Pending Putaway'!$K$2:$K$255,MATCH(SUBSTITUTE($A245," SS","  SS"),'Pending Putaway'!$A$2:$A$255,0)),"NA"))</f>
        <v>0</v>
      </c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customFormat="false" ht="15.75" hidden="false" customHeight="true" outlineLevel="0" collapsed="false">
      <c r="A246" s="54" t="s">
        <v>178</v>
      </c>
      <c r="B246" s="54" t="str">
        <f aca="false" t="array" ref="B246:B246">IFERROR(INDEX('CLM &amp; IM Mapping'!$B$2:$B$270,MATCH($A246,'CLM &amp; IM Mapping'!$A$2:$A$270,0)),"Not Mapped")</f>
        <v>Santhosha M</v>
      </c>
      <c r="C246" s="54" t="str">
        <f aca="false" t="array" ref="C246:C246">IFERROR(INDEX('CLM &amp; IM Mapping'!$C$2:$C$270,MATCH($A246,'CLM &amp; IM Mapping'!$A$2:$A$270,0)),"Not Mapped")</f>
        <v>Aravind S</v>
      </c>
      <c r="D246" s="55" t="n">
        <f aca="false" t="array" ref="D246:D246">IFERROR(INDEX(Shrinkage!$O$2:$O$260,MATCH($A246,Shrinkage!$C$2:$C$260,0)),IFERROR(INDEX(Shrinkage!$O$2:$O$260,MATCH(SUBSTITUTE($A246," SS","  SS"),Shrinkage!$C$2:$C$260,0)),"NA"))</f>
        <v>400</v>
      </c>
      <c r="E246" s="56" t="n">
        <f aca="false" t="array" ref="E246:E246">IFERROR(INDEX('Inventory Hygiene'!$I$2:$I$252,MATCH($A246,'Inventory Hygiene'!$A$2:$A$252,0)),IFERROR(INDEX('Inventory Hygiene'!$I$2:$I$252,MATCH(SUBSTITUTE($A246," SS","  SS"),'Inventory Hygiene'!$A$2:$A$252,0)),"NA"))</f>
        <v>0.74</v>
      </c>
      <c r="F246" s="54" t="n">
        <f aca="false" t="array" ref="F246:F246">IFERROR(INDEX('Bad Bins'!$J$2:$J$252,MATCH($A246,'Bad Bins'!$A$2:$A$252,0)),IFERROR(INDEX('Bad Bins'!$J$2:$J$252,MATCH(SUBSTITUTE($A246," SS","  SS"),'Bad Bins'!$A$2:$A$252,0)),"NA"))</f>
        <v>64</v>
      </c>
      <c r="G246" s="54" t="str">
        <f aca="false" t="array" ref="G246:G246">IFERROR(INDEX('RSTO &gt; 48hrs'!$G$2:$G$134,MATCH($A246,'RSTO &gt; 48hrs'!$A$2:$A$134,0)),IFERROR(INDEX('RSTO &gt; 48hrs'!$G$2:$G$134,MATCH(SUBSTITUTE($A246," SS","  SS"),'RSTO &gt; 48hrs'!$A$2:$A$134,0)),"NA"))</f>
        <v>NA</v>
      </c>
      <c r="H246" s="54" t="n">
        <f aca="false" t="array" ref="H246:H246">IFERROR(INDEX('Recirculation &gt; 24 hrs'!$J$2:$J$150,MATCH($A246,'Recirculation &gt; 24 hrs'!$A$2:$A$150,0)),IFERROR(INDEX('Recirculation &gt; 24 hrs'!$J$2:$J$150,MATCH(SUBSTITUTE($A246," SS","  SS"),'Recirculation &gt; 24 hrs'!$A$2:$A$150,0)),"NA"))</f>
        <v>2</v>
      </c>
      <c r="I246" s="54" t="n">
        <f aca="false" t="array" ref="I246:I246">IFERROR(INDEX('Pending Putaway'!$D$2:$D$255,MATCH($A246,'Pending Putaway'!$A$2:$A$255,0)),IFERROR(INDEX('Pending Putaway'!$D$2:$D$255,MATCH(SUBSTITUTE($A246," SS","  SS"),'Pending Putaway'!$A$2:$A$255,0)),"NA"))</f>
        <v>3805</v>
      </c>
      <c r="J246" s="54" t="n">
        <f aca="false" t="array" ref="J246:J246">IFERROR(INDEX('Pending Putaway'!$K$2:$K$255,MATCH($A246,'Pending Putaway'!$A$2:$A$255,0)),IFERROR(INDEX('Pending Putaway'!$K$2:$K$255,MATCH(SUBSTITUTE($A246," SS","  SS"),'Pending Putaway'!$A$2:$A$255,0)),"NA"))</f>
        <v>0</v>
      </c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customFormat="false" ht="15.75" hidden="false" customHeight="true" outlineLevel="0" collapsed="false">
      <c r="A247" s="54" t="s">
        <v>244</v>
      </c>
      <c r="B247" s="54" t="str">
        <f aca="false" t="array" ref="B247:B247">IFERROR(INDEX('CLM &amp; IM Mapping'!$B$2:$B$270,MATCH($A247,'CLM &amp; IM Mapping'!$A$2:$A$270,0)),"Not Mapped")</f>
        <v>Santhosha M</v>
      </c>
      <c r="C247" s="54" t="str">
        <f aca="false" t="array" ref="C247:C247">IFERROR(INDEX('CLM &amp; IM Mapping'!$C$2:$C$270,MATCH($A247,'CLM &amp; IM Mapping'!$A$2:$A$270,0)),"Not Mapped")</f>
        <v>Aravind S</v>
      </c>
      <c r="D247" s="55" t="n">
        <f aca="false" t="array" ref="D247:D247">IFERROR(INDEX(Shrinkage!$O$2:$O$260,MATCH($A247,Shrinkage!$C$2:$C$260,0)),IFERROR(INDEX(Shrinkage!$O$2:$O$260,MATCH(SUBSTITUTE($A247," SS","  SS"),Shrinkage!$C$2:$C$260,0)),"NA"))</f>
        <v>-6416</v>
      </c>
      <c r="E247" s="56" t="n">
        <f aca="false" t="array" ref="E247:E247">IFERROR(INDEX('Inventory Hygiene'!$I$2:$I$252,MATCH($A247,'Inventory Hygiene'!$A$2:$A$252,0)),IFERROR(INDEX('Inventory Hygiene'!$I$2:$I$252,MATCH(SUBSTITUTE($A247," SS","  SS"),'Inventory Hygiene'!$A$2:$A$252,0)),"NA"))</f>
        <v>0.98</v>
      </c>
      <c r="F247" s="54" t="n">
        <f aca="false" t="array" ref="F247:F247">IFERROR(INDEX('Bad Bins'!$J$2:$J$252,MATCH($A247,'Bad Bins'!$A$2:$A$252,0)),IFERROR(INDEX('Bad Bins'!$J$2:$J$252,MATCH(SUBSTITUTE($A247," SS","  SS"),'Bad Bins'!$A$2:$A$252,0)),"NA"))</f>
        <v>20</v>
      </c>
      <c r="G247" s="54" t="str">
        <f aca="false" t="array" ref="G247:G247">IFERROR(INDEX('RSTO &gt; 48hrs'!$G$2:$G$134,MATCH($A247,'RSTO &gt; 48hrs'!$A$2:$A$134,0)),IFERROR(INDEX('RSTO &gt; 48hrs'!$G$2:$G$134,MATCH(SUBSTITUTE($A247," SS","  SS"),'RSTO &gt; 48hrs'!$A$2:$A$134,0)),"NA"))</f>
        <v>NA</v>
      </c>
      <c r="H247" s="54" t="n">
        <f aca="false" t="array" ref="H247:H247">IFERROR(INDEX('Recirculation &gt; 24 hrs'!$J$2:$J$150,MATCH($A247,'Recirculation &gt; 24 hrs'!$A$2:$A$150,0)),IFERROR(INDEX('Recirculation &gt; 24 hrs'!$J$2:$J$150,MATCH(SUBSTITUTE($A247," SS","  SS"),'Recirculation &gt; 24 hrs'!$A$2:$A$150,0)),"NA"))</f>
        <v>496</v>
      </c>
      <c r="I247" s="54" t="n">
        <f aca="false" t="array" ref="I247:I247">IFERROR(INDEX('Pending Putaway'!$D$2:$D$255,MATCH($A247,'Pending Putaway'!$A$2:$A$255,0)),IFERROR(INDEX('Pending Putaway'!$D$2:$D$255,MATCH(SUBSTITUTE($A247," SS","  SS"),'Pending Putaway'!$A$2:$A$255,0)),"NA"))</f>
        <v>0</v>
      </c>
      <c r="J247" s="54" t="n">
        <f aca="false" t="array" ref="J247:J247">IFERROR(INDEX('Pending Putaway'!$K$2:$K$255,MATCH($A247,'Pending Putaway'!$A$2:$A$255,0)),IFERROR(INDEX('Pending Putaway'!$K$2:$K$255,MATCH(SUBSTITUTE($A247," SS","  SS"),'Pending Putaway'!$A$2:$A$255,0)),"NA"))</f>
        <v>0</v>
      </c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customFormat="false" ht="15.75" hidden="false" customHeight="true" outlineLevel="0" collapsed="false">
      <c r="A248" s="54" t="s">
        <v>280</v>
      </c>
      <c r="B248" s="54" t="str">
        <f aca="false" t="array" ref="B248:B248">IFERROR(INDEX('CLM &amp; IM Mapping'!$B$2:$B$270,MATCH($A248,'CLM &amp; IM Mapping'!$A$2:$A$270,0)),"Not Mapped")</f>
        <v>Santhosha M</v>
      </c>
      <c r="C248" s="54" t="str">
        <f aca="false" t="array" ref="C248:C248">IFERROR(INDEX('CLM &amp; IM Mapping'!$C$2:$C$270,MATCH($A248,'CLM &amp; IM Mapping'!$A$2:$A$270,0)),"Not Mapped")</f>
        <v>Aravind S</v>
      </c>
      <c r="D248" s="55" t="n">
        <f aca="false" t="array" ref="D248:D248">IFERROR(INDEX(Shrinkage!$O$2:$O$260,MATCH($A248,Shrinkage!$C$2:$C$260,0)),IFERROR(INDEX(Shrinkage!$O$2:$O$260,MATCH(SUBSTITUTE($A248," SS","  SS"),Shrinkage!$C$2:$C$260,0)),"NA"))</f>
        <v>-15536</v>
      </c>
      <c r="E248" s="56" t="n">
        <f aca="false" t="array" ref="E248:E248">IFERROR(INDEX('Inventory Hygiene'!$I$2:$I$252,MATCH($A248,'Inventory Hygiene'!$A$2:$A$252,0)),IFERROR(INDEX('Inventory Hygiene'!$I$2:$I$252,MATCH(SUBSTITUTE($A248," SS","  SS"),'Inventory Hygiene'!$A$2:$A$252,0)),"NA"))</f>
        <v>1</v>
      </c>
      <c r="F248" s="54" t="n">
        <f aca="false" t="array" ref="F248:F248">IFERROR(INDEX('Bad Bins'!$J$2:$J$252,MATCH($A248,'Bad Bins'!$A$2:$A$252,0)),IFERROR(INDEX('Bad Bins'!$J$2:$J$252,MATCH(SUBSTITUTE($A248," SS","  SS"),'Bad Bins'!$A$2:$A$252,0)),"NA"))</f>
        <v>26</v>
      </c>
      <c r="G248" s="54" t="str">
        <f aca="false" t="array" ref="G248:G248">IFERROR(INDEX('RSTO &gt; 48hrs'!$G$2:$G$134,MATCH($A248,'RSTO &gt; 48hrs'!$A$2:$A$134,0)),IFERROR(INDEX('RSTO &gt; 48hrs'!$G$2:$G$134,MATCH(SUBSTITUTE($A248," SS","  SS"),'RSTO &gt; 48hrs'!$A$2:$A$134,0)),"NA"))</f>
        <v>NA</v>
      </c>
      <c r="H248" s="54" t="str">
        <f aca="false" t="array" ref="H248:H248">IFERROR(INDEX('Recirculation &gt; 24 hrs'!$J$2:$J$150,MATCH($A248,'Recirculation &gt; 24 hrs'!$A$2:$A$150,0)),IFERROR(INDEX('Recirculation &gt; 24 hrs'!$J$2:$J$150,MATCH(SUBSTITUTE($A248," SS","  SS"),'Recirculation &gt; 24 hrs'!$A$2:$A$150,0)),"NA"))</f>
        <v>NA</v>
      </c>
      <c r="I248" s="54" t="n">
        <f aca="false" t="array" ref="I248:I248">IFERROR(INDEX('Pending Putaway'!$D$2:$D$255,MATCH($A248,'Pending Putaway'!$A$2:$A$255,0)),IFERROR(INDEX('Pending Putaway'!$D$2:$D$255,MATCH(SUBSTITUTE($A248," SS","  SS"),'Pending Putaway'!$A$2:$A$255,0)),"NA"))</f>
        <v>0</v>
      </c>
      <c r="J248" s="54" t="n">
        <f aca="false" t="array" ref="J248:J248">IFERROR(INDEX('Pending Putaway'!$K$2:$K$255,MATCH($A248,'Pending Putaway'!$A$2:$A$255,0)),IFERROR(INDEX('Pending Putaway'!$K$2:$K$255,MATCH(SUBSTITUTE($A248," SS","  SS"),'Pending Putaway'!$A$2:$A$255,0)),"NA"))</f>
        <v>0</v>
      </c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customFormat="false" ht="15.75" hidden="false" customHeight="true" outlineLevel="0" collapsed="false">
      <c r="A249" s="54" t="s">
        <v>113</v>
      </c>
      <c r="B249" s="54" t="str">
        <f aca="false" t="array" ref="B249:B249">IFERROR(INDEX('CLM &amp; IM Mapping'!$B$2:$B$270,MATCH($A249,'CLM &amp; IM Mapping'!$A$2:$A$270,0)),"Not Mapped")</f>
        <v>Suhas N</v>
      </c>
      <c r="C249" s="54" t="str">
        <f aca="false" t="array" ref="C249:C249">IFERROR(INDEX('CLM &amp; IM Mapping'!$C$2:$C$270,MATCH($A249,'CLM &amp; IM Mapping'!$A$2:$A$270,0)),"Not Mapped")</f>
        <v>Aravind S</v>
      </c>
      <c r="D249" s="55" t="n">
        <f aca="false" t="array" ref="D249:D249">IFERROR(INDEX(Shrinkage!$O$2:$O$260,MATCH($A249,Shrinkage!$C$2:$C$260,0)),IFERROR(INDEX(Shrinkage!$O$2:$O$260,MATCH(SUBSTITUTE($A249," SS","  SS"),Shrinkage!$C$2:$C$260,0)),"NA"))</f>
        <v>14693</v>
      </c>
      <c r="E249" s="56" t="n">
        <f aca="false" t="array" ref="E249:E249">IFERROR(INDEX('Inventory Hygiene'!$I$2:$I$252,MATCH($A249,'Inventory Hygiene'!$A$2:$A$252,0)),IFERROR(INDEX('Inventory Hygiene'!$I$2:$I$252,MATCH(SUBSTITUTE($A249," SS","  SS"),'Inventory Hygiene'!$A$2:$A$252,0)),"NA"))</f>
        <v>0.37</v>
      </c>
      <c r="F249" s="54" t="n">
        <f aca="false" t="array" ref="F249:F249">IFERROR(INDEX('Bad Bins'!$J$2:$J$252,MATCH($A249,'Bad Bins'!$A$2:$A$252,0)),IFERROR(INDEX('Bad Bins'!$J$2:$J$252,MATCH(SUBSTITUTE($A249," SS","  SS"),'Bad Bins'!$A$2:$A$252,0)),"NA"))</f>
        <v>54</v>
      </c>
      <c r="G249" s="54" t="n">
        <f aca="false" t="array" ref="G249:G249">IFERROR(INDEX('RSTO &gt; 48hrs'!$G$2:$G$134,MATCH($A249,'RSTO &gt; 48hrs'!$A$2:$A$134,0)),IFERROR(INDEX('RSTO &gt; 48hrs'!$G$2:$G$134,MATCH(SUBSTITUTE($A249," SS","  SS"),'RSTO &gt; 48hrs'!$A$2:$A$134,0)),"NA"))</f>
        <v>97</v>
      </c>
      <c r="H249" s="54" t="n">
        <f aca="false" t="array" ref="H249:H249">IFERROR(INDEX('Recirculation &gt; 24 hrs'!$J$2:$J$150,MATCH($A249,'Recirculation &gt; 24 hrs'!$A$2:$A$150,0)),IFERROR(INDEX('Recirculation &gt; 24 hrs'!$J$2:$J$150,MATCH(SUBSTITUTE($A249," SS","  SS"),'Recirculation &gt; 24 hrs'!$A$2:$A$150,0)),"NA"))</f>
        <v>3</v>
      </c>
      <c r="I249" s="54" t="n">
        <f aca="false" t="array" ref="I249:I249">IFERROR(INDEX('Pending Putaway'!$D$2:$D$255,MATCH($A249,'Pending Putaway'!$A$2:$A$255,0)),IFERROR(INDEX('Pending Putaway'!$D$2:$D$255,MATCH(SUBSTITUTE($A249," SS","  SS"),'Pending Putaway'!$A$2:$A$255,0)),"NA"))</f>
        <v>3</v>
      </c>
      <c r="J249" s="54" t="n">
        <f aca="false" t="array" ref="J249:J249">IFERROR(INDEX('Pending Putaway'!$K$2:$K$255,MATCH($A249,'Pending Putaway'!$A$2:$A$255,0)),IFERROR(INDEX('Pending Putaway'!$K$2:$K$255,MATCH(SUBSTITUTE($A249," SS","  SS"),'Pending Putaway'!$A$2:$A$255,0)),"NA"))</f>
        <v>0</v>
      </c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customFormat="false" ht="15.75" hidden="false" customHeight="true" outlineLevel="0" collapsed="false">
      <c r="A250" s="54" t="s">
        <v>362</v>
      </c>
      <c r="B250" s="54" t="str">
        <f aca="false" t="array" ref="B250:B250">IFERROR(INDEX('CLM &amp; IM Mapping'!$B$2:$B$270,MATCH($A250,'CLM &amp; IM Mapping'!$A$2:$A$270,0)),"Not Mapped")</f>
        <v>Suhas N</v>
      </c>
      <c r="C250" s="54" t="str">
        <f aca="false" t="array" ref="C250:C250">IFERROR(INDEX('CLM &amp; IM Mapping'!$C$2:$C$270,MATCH($A250,'CLM &amp; IM Mapping'!$A$2:$A$270,0)),"Not Mapped")</f>
        <v>Aravind S</v>
      </c>
      <c r="D250" s="55" t="n">
        <f aca="false" t="array" ref="D250:D250">IFERROR(INDEX(Shrinkage!$O$2:$O$260,MATCH($A250,Shrinkage!$C$2:$C$260,0)),IFERROR(INDEX(Shrinkage!$O$2:$O$260,MATCH(SUBSTITUTE($A250," SS","  SS"),Shrinkage!$C$2:$C$260,0)),"NA"))</f>
        <v>13576</v>
      </c>
      <c r="E250" s="56" t="n">
        <f aca="false" t="array" ref="E250:E250">IFERROR(INDEX('Inventory Hygiene'!$I$2:$I$252,MATCH($A250,'Inventory Hygiene'!$A$2:$A$252,0)),IFERROR(INDEX('Inventory Hygiene'!$I$2:$I$252,MATCH(SUBSTITUTE($A250," SS","  SS"),'Inventory Hygiene'!$A$2:$A$252,0)),"NA"))</f>
        <v>0.56</v>
      </c>
      <c r="F250" s="54" t="n">
        <f aca="false" t="array" ref="F250:F250">IFERROR(INDEX('Bad Bins'!$J$2:$J$252,MATCH($A250,'Bad Bins'!$A$2:$A$252,0)),IFERROR(INDEX('Bad Bins'!$J$2:$J$252,MATCH(SUBSTITUTE($A250," SS","  SS"),'Bad Bins'!$A$2:$A$252,0)),"NA"))</f>
        <v>57</v>
      </c>
      <c r="G250" s="54" t="str">
        <f aca="false" t="array" ref="G250:G250">IFERROR(INDEX('RSTO &gt; 48hrs'!$G$2:$G$134,MATCH($A250,'RSTO &gt; 48hrs'!$A$2:$A$134,0)),IFERROR(INDEX('RSTO &gt; 48hrs'!$G$2:$G$134,MATCH(SUBSTITUTE($A250," SS","  SS"),'RSTO &gt; 48hrs'!$A$2:$A$134,0)),"NA"))</f>
        <v>NA</v>
      </c>
      <c r="H250" s="54" t="n">
        <f aca="false" t="array" ref="H250:H250">IFERROR(INDEX('Recirculation &gt; 24 hrs'!$J$2:$J$150,MATCH($A250,'Recirculation &gt; 24 hrs'!$A$2:$A$150,0)),IFERROR(INDEX('Recirculation &gt; 24 hrs'!$J$2:$J$150,MATCH(SUBSTITUTE($A250," SS","  SS"),'Recirculation &gt; 24 hrs'!$A$2:$A$150,0)),"NA"))</f>
        <v>10</v>
      </c>
      <c r="I250" s="54" t="n">
        <f aca="false" t="array" ref="I250:I250">IFERROR(INDEX('Pending Putaway'!$D$2:$D$255,MATCH($A250,'Pending Putaway'!$A$2:$A$255,0)),IFERROR(INDEX('Pending Putaway'!$D$2:$D$255,MATCH(SUBSTITUTE($A250," SS","  SS"),'Pending Putaway'!$A$2:$A$255,0)),"NA"))</f>
        <v>2175</v>
      </c>
      <c r="J250" s="54" t="n">
        <f aca="false" t="array" ref="J250:J250">IFERROR(INDEX('Pending Putaway'!$K$2:$K$255,MATCH($A250,'Pending Putaway'!$A$2:$A$255,0)),IFERROR(INDEX('Pending Putaway'!$K$2:$K$255,MATCH(SUBSTITUTE($A250," SS","  SS"),'Pending Putaway'!$A$2:$A$255,0)),"NA"))</f>
        <v>2175</v>
      </c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customFormat="false" ht="15.75" hidden="false" customHeight="true" outlineLevel="0" collapsed="false">
      <c r="A251" s="54" t="s">
        <v>297</v>
      </c>
      <c r="B251" s="54" t="str">
        <f aca="false" t="array" ref="B251:B251">IFERROR(INDEX('CLM &amp; IM Mapping'!$B$2:$B$270,MATCH($A251,'CLM &amp; IM Mapping'!$A$2:$A$270,0)),"Not Mapped")</f>
        <v>Suhas N</v>
      </c>
      <c r="C251" s="54" t="str">
        <f aca="false" t="array" ref="C251:C251">IFERROR(INDEX('CLM &amp; IM Mapping'!$C$2:$C$270,MATCH($A251,'CLM &amp; IM Mapping'!$A$2:$A$270,0)),"Not Mapped")</f>
        <v>Aravind S</v>
      </c>
      <c r="D251" s="55" t="n">
        <f aca="false" t="array" ref="D251:D251">IFERROR(INDEX(Shrinkage!$O$2:$O$260,MATCH($A251,Shrinkage!$C$2:$C$260,0)),IFERROR(INDEX(Shrinkage!$O$2:$O$260,MATCH(SUBSTITUTE($A251," SS","  SS"),Shrinkage!$C$2:$C$260,0)),"NA"))</f>
        <v>-42812</v>
      </c>
      <c r="E251" s="56" t="n">
        <f aca="false" t="array" ref="E251:E251">IFERROR(INDEX('Inventory Hygiene'!$I$2:$I$252,MATCH($A251,'Inventory Hygiene'!$A$2:$A$252,0)),IFERROR(INDEX('Inventory Hygiene'!$I$2:$I$252,MATCH(SUBSTITUTE($A251," SS","  SS"),'Inventory Hygiene'!$A$2:$A$252,0)),"NA"))</f>
        <v>0.88</v>
      </c>
      <c r="F251" s="54" t="n">
        <f aca="false" t="array" ref="F251:F251">IFERROR(INDEX('Bad Bins'!$J$2:$J$252,MATCH($A251,'Bad Bins'!$A$2:$A$252,0)),IFERROR(INDEX('Bad Bins'!$J$2:$J$252,MATCH(SUBSTITUTE($A251," SS","  SS"),'Bad Bins'!$A$2:$A$252,0)),"NA"))</f>
        <v>38</v>
      </c>
      <c r="G251" s="54" t="n">
        <f aca="false" t="array" ref="G251:G251">IFERROR(INDEX('RSTO &gt; 48hrs'!$G$2:$G$134,MATCH($A251,'RSTO &gt; 48hrs'!$A$2:$A$134,0)),IFERROR(INDEX('RSTO &gt; 48hrs'!$G$2:$G$134,MATCH(SUBSTITUTE($A251," SS","  SS"),'RSTO &gt; 48hrs'!$A$2:$A$134,0)),"NA"))</f>
        <v>4</v>
      </c>
      <c r="H251" s="54" t="n">
        <f aca="false" t="array" ref="H251:H251">IFERROR(INDEX('Recirculation &gt; 24 hrs'!$J$2:$J$150,MATCH($A251,'Recirculation &gt; 24 hrs'!$A$2:$A$150,0)),IFERROR(INDEX('Recirculation &gt; 24 hrs'!$J$2:$J$150,MATCH(SUBSTITUTE($A251," SS","  SS"),'Recirculation &gt; 24 hrs'!$A$2:$A$150,0)),"NA"))</f>
        <v>1117</v>
      </c>
      <c r="I251" s="54" t="n">
        <f aca="false" t="array" ref="I251:I251">IFERROR(INDEX('Pending Putaway'!$D$2:$D$255,MATCH($A251,'Pending Putaway'!$A$2:$A$255,0)),IFERROR(INDEX('Pending Putaway'!$D$2:$D$255,MATCH(SUBSTITUTE($A251," SS","  SS"),'Pending Putaway'!$A$2:$A$255,0)),"NA"))</f>
        <v>0</v>
      </c>
      <c r="J251" s="54" t="n">
        <f aca="false" t="array" ref="J251:J251">IFERROR(INDEX('Pending Putaway'!$K$2:$K$255,MATCH($A251,'Pending Putaway'!$A$2:$A$255,0)),IFERROR(INDEX('Pending Putaway'!$K$2:$K$255,MATCH(SUBSTITUTE($A251," SS","  SS"),'Pending Putaway'!$A$2:$A$255,0)),"NA"))</f>
        <v>0</v>
      </c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customFormat="false" ht="15.75" hidden="false" customHeight="true" outlineLevel="0" collapsed="false">
      <c r="A252" s="54" t="s">
        <v>254</v>
      </c>
      <c r="B252" s="54" t="str">
        <f aca="false" t="array" ref="B252:B252">IFERROR(INDEX('CLM &amp; IM Mapping'!$B$2:$B$270,MATCH($A252,'CLM &amp; IM Mapping'!$A$2:$A$270,0)),"Not Mapped")</f>
        <v>Suhas N</v>
      </c>
      <c r="C252" s="54" t="str">
        <f aca="false" t="array" ref="C252:C252">IFERROR(INDEX('CLM &amp; IM Mapping'!$C$2:$C$270,MATCH($A252,'CLM &amp; IM Mapping'!$A$2:$A$270,0)),"Not Mapped")</f>
        <v>Aravind S</v>
      </c>
      <c r="D252" s="55" t="n">
        <f aca="false" t="array" ref="D252:D252">IFERROR(INDEX(Shrinkage!$O$2:$O$260,MATCH($A252,Shrinkage!$C$2:$C$260,0)),IFERROR(INDEX(Shrinkage!$O$2:$O$260,MATCH(SUBSTITUTE($A252," SS","  SS"),Shrinkage!$C$2:$C$260,0)),"NA"))</f>
        <v>-7805</v>
      </c>
      <c r="E252" s="56" t="n">
        <f aca="false" t="array" ref="E252:E252">IFERROR(INDEX('Inventory Hygiene'!$I$2:$I$252,MATCH($A252,'Inventory Hygiene'!$A$2:$A$252,0)),IFERROR(INDEX('Inventory Hygiene'!$I$2:$I$252,MATCH(SUBSTITUTE($A252," SS","  SS"),'Inventory Hygiene'!$A$2:$A$252,0)),"NA"))</f>
        <v>0.62</v>
      </c>
      <c r="F252" s="54" t="n">
        <f aca="false" t="array" ref="F252:F252">IFERROR(INDEX('Bad Bins'!$J$2:$J$252,MATCH($A252,'Bad Bins'!$A$2:$A$252,0)),IFERROR(INDEX('Bad Bins'!$J$2:$J$252,MATCH(SUBSTITUTE($A252," SS","  SS"),'Bad Bins'!$A$2:$A$252,0)),"NA"))</f>
        <v>445</v>
      </c>
      <c r="G252" s="54" t="n">
        <f aca="false" t="array" ref="G252:G252">IFERROR(INDEX('RSTO &gt; 48hrs'!$G$2:$G$134,MATCH($A252,'RSTO &gt; 48hrs'!$A$2:$A$134,0)),IFERROR(INDEX('RSTO &gt; 48hrs'!$G$2:$G$134,MATCH(SUBSTITUTE($A252," SS","  SS"),'RSTO &gt; 48hrs'!$A$2:$A$134,0)),"NA"))</f>
        <v>10</v>
      </c>
      <c r="H252" s="54" t="n">
        <f aca="false" t="array" ref="H252:H252">IFERROR(INDEX('Recirculation &gt; 24 hrs'!$J$2:$J$150,MATCH($A252,'Recirculation &gt; 24 hrs'!$A$2:$A$150,0)),IFERROR(INDEX('Recirculation &gt; 24 hrs'!$J$2:$J$150,MATCH(SUBSTITUTE($A252," SS","  SS"),'Recirculation &gt; 24 hrs'!$A$2:$A$150,0)),"NA"))</f>
        <v>17</v>
      </c>
      <c r="I252" s="54" t="n">
        <f aca="false" t="array" ref="I252:I252">IFERROR(INDEX('Pending Putaway'!$D$2:$D$255,MATCH($A252,'Pending Putaway'!$A$2:$A$255,0)),IFERROR(INDEX('Pending Putaway'!$D$2:$D$255,MATCH(SUBSTITUTE($A252," SS","  SS"),'Pending Putaway'!$A$2:$A$255,0)),"NA"))</f>
        <v>1581</v>
      </c>
      <c r="J252" s="54" t="n">
        <f aca="false" t="array" ref="J252:J252">IFERROR(INDEX('Pending Putaway'!$K$2:$K$255,MATCH($A252,'Pending Putaway'!$A$2:$A$255,0)),IFERROR(INDEX('Pending Putaway'!$K$2:$K$255,MATCH(SUBSTITUTE($A252," SS","  SS"),'Pending Putaway'!$A$2:$A$255,0)),"NA"))</f>
        <v>0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customFormat="false" ht="15.75" hidden="false" customHeight="true" outlineLevel="0" collapsed="false">
      <c r="A253" s="54" t="s">
        <v>111</v>
      </c>
      <c r="B253" s="54" t="str">
        <f aca="false" t="array" ref="B253:B253">IFERROR(INDEX('CLM &amp; IM Mapping'!$B$2:$B$270,MATCH($A253,'CLM &amp; IM Mapping'!$A$2:$A$270,0)),"Not Mapped")</f>
        <v>Suhas N</v>
      </c>
      <c r="C253" s="54" t="str">
        <f aca="false" t="array" ref="C253:C253">IFERROR(INDEX('CLM &amp; IM Mapping'!$C$2:$C$270,MATCH($A253,'CLM &amp; IM Mapping'!$A$2:$A$270,0)),"Not Mapped")</f>
        <v>Aravind S</v>
      </c>
      <c r="D253" s="55" t="n">
        <f aca="false" t="array" ref="D253:D253">IFERROR(INDEX(Shrinkage!$O$2:$O$260,MATCH($A253,Shrinkage!$C$2:$C$260,0)),IFERROR(INDEX(Shrinkage!$O$2:$O$260,MATCH(SUBSTITUTE($A253," SS","  SS"),Shrinkage!$C$2:$C$260,0)),"NA"))</f>
        <v>15527</v>
      </c>
      <c r="E253" s="56" t="n">
        <f aca="false" t="array" ref="E253:E253">IFERROR(INDEX('Inventory Hygiene'!$I$2:$I$252,MATCH($A253,'Inventory Hygiene'!$A$2:$A$252,0)),IFERROR(INDEX('Inventory Hygiene'!$I$2:$I$252,MATCH(SUBSTITUTE($A253," SS","  SS"),'Inventory Hygiene'!$A$2:$A$252,0)),"NA"))</f>
        <v>0.25</v>
      </c>
      <c r="F253" s="54" t="n">
        <f aca="false" t="array" ref="F253:F253">IFERROR(INDEX('Bad Bins'!$J$2:$J$252,MATCH($A253,'Bad Bins'!$A$2:$A$252,0)),IFERROR(INDEX('Bad Bins'!$J$2:$J$252,MATCH(SUBSTITUTE($A253," SS","  SS"),'Bad Bins'!$A$2:$A$252,0)),"NA"))</f>
        <v>50</v>
      </c>
      <c r="G253" s="54" t="str">
        <f aca="false" t="array" ref="G253:G253">IFERROR(INDEX('RSTO &gt; 48hrs'!$G$2:$G$134,MATCH($A253,'RSTO &gt; 48hrs'!$A$2:$A$134,0)),IFERROR(INDEX('RSTO &gt; 48hrs'!$G$2:$G$134,MATCH(SUBSTITUTE($A253," SS","  SS"),'RSTO &gt; 48hrs'!$A$2:$A$134,0)),"NA"))</f>
        <v>NA</v>
      </c>
      <c r="H253" s="54" t="n">
        <f aca="false" t="array" ref="H253:H253">IFERROR(INDEX('Recirculation &gt; 24 hrs'!$J$2:$J$150,MATCH($A253,'Recirculation &gt; 24 hrs'!$A$2:$A$150,0)),IFERROR(INDEX('Recirculation &gt; 24 hrs'!$J$2:$J$150,MATCH(SUBSTITUTE($A253," SS","  SS"),'Recirculation &gt; 24 hrs'!$A$2:$A$150,0)),"NA"))</f>
        <v>20</v>
      </c>
      <c r="I253" s="54" t="n">
        <f aca="false" t="array" ref="I253:I253">IFERROR(INDEX('Pending Putaway'!$D$2:$D$255,MATCH($A253,'Pending Putaway'!$A$2:$A$255,0)),IFERROR(INDEX('Pending Putaway'!$D$2:$D$255,MATCH(SUBSTITUTE($A253," SS","  SS"),'Pending Putaway'!$A$2:$A$255,0)),"NA"))</f>
        <v>7</v>
      </c>
      <c r="J253" s="54" t="n">
        <f aca="false" t="array" ref="J253:J253">IFERROR(INDEX('Pending Putaway'!$K$2:$K$255,MATCH($A253,'Pending Putaway'!$A$2:$A$255,0)),IFERROR(INDEX('Pending Putaway'!$K$2:$K$255,MATCH(SUBSTITUTE($A253," SS","  SS"),'Pending Putaway'!$A$2:$A$255,0)),"NA"))</f>
        <v>7</v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customFormat="false" ht="15.75" hidden="false" customHeight="true" outlineLevel="0" collapsed="false">
      <c r="A254" s="54" t="s">
        <v>160</v>
      </c>
      <c r="B254" s="54" t="str">
        <f aca="false" t="array" ref="B254:B254">IFERROR(INDEX('CLM &amp; IM Mapping'!$B$2:$B$270,MATCH($A254,'CLM &amp; IM Mapping'!$A$2:$A$270,0)),"Not Mapped")</f>
        <v>Suhas N</v>
      </c>
      <c r="C254" s="54" t="str">
        <f aca="false" t="array" ref="C254:C254">IFERROR(INDEX('CLM &amp; IM Mapping'!$C$2:$C$270,MATCH($A254,'CLM &amp; IM Mapping'!$A$2:$A$270,0)),"Not Mapped")</f>
        <v>Aravind S</v>
      </c>
      <c r="D254" s="55" t="n">
        <f aca="false" t="array" ref="D254:D254">IFERROR(INDEX(Shrinkage!$O$2:$O$260,MATCH($A254,Shrinkage!$C$2:$C$260,0)),IFERROR(INDEX(Shrinkage!$O$2:$O$260,MATCH(SUBSTITUTE($A254," SS","  SS"),Shrinkage!$C$2:$C$260,0)),"NA"))</f>
        <v>3130</v>
      </c>
      <c r="E254" s="56" t="n">
        <f aca="false" t="array" ref="E254:E254">IFERROR(INDEX('Inventory Hygiene'!$I$2:$I$252,MATCH($A254,'Inventory Hygiene'!$A$2:$A$252,0)),IFERROR(INDEX('Inventory Hygiene'!$I$2:$I$252,MATCH(SUBSTITUTE($A254," SS","  SS"),'Inventory Hygiene'!$A$2:$A$252,0)),"NA"))</f>
        <v>0.6</v>
      </c>
      <c r="F254" s="54" t="n">
        <f aca="false" t="array" ref="F254:F254">IFERROR(INDEX('Bad Bins'!$J$2:$J$252,MATCH($A254,'Bad Bins'!$A$2:$A$252,0)),IFERROR(INDEX('Bad Bins'!$J$2:$J$252,MATCH(SUBSTITUTE($A254," SS","  SS"),'Bad Bins'!$A$2:$A$252,0)),"NA"))</f>
        <v>86</v>
      </c>
      <c r="G254" s="54" t="n">
        <f aca="false" t="array" ref="G254:G254">IFERROR(INDEX('RSTO &gt; 48hrs'!$G$2:$G$134,MATCH($A254,'RSTO &gt; 48hrs'!$A$2:$A$134,0)),IFERROR(INDEX('RSTO &gt; 48hrs'!$G$2:$G$134,MATCH(SUBSTITUTE($A254," SS","  SS"),'RSTO &gt; 48hrs'!$A$2:$A$134,0)),"NA"))</f>
        <v>64</v>
      </c>
      <c r="H254" s="54" t="n">
        <f aca="false" t="array" ref="H254:H254">IFERROR(INDEX('Recirculation &gt; 24 hrs'!$J$2:$J$150,MATCH($A254,'Recirculation &gt; 24 hrs'!$A$2:$A$150,0)),IFERROR(INDEX('Recirculation &gt; 24 hrs'!$J$2:$J$150,MATCH(SUBSTITUTE($A254," SS","  SS"),'Recirculation &gt; 24 hrs'!$A$2:$A$150,0)),"NA"))</f>
        <v>17</v>
      </c>
      <c r="I254" s="54" t="n">
        <f aca="false" t="array" ref="I254:I254">IFERROR(INDEX('Pending Putaway'!$D$2:$D$255,MATCH($A254,'Pending Putaway'!$A$2:$A$255,0)),IFERROR(INDEX('Pending Putaway'!$D$2:$D$255,MATCH(SUBSTITUTE($A254," SS","  SS"),'Pending Putaway'!$A$2:$A$255,0)),"NA"))</f>
        <v>634</v>
      </c>
      <c r="J254" s="54" t="n">
        <f aca="false" t="array" ref="J254:J254">IFERROR(INDEX('Pending Putaway'!$K$2:$K$255,MATCH($A254,'Pending Putaway'!$A$2:$A$255,0)),IFERROR(INDEX('Pending Putaway'!$K$2:$K$255,MATCH(SUBSTITUTE($A254," SS","  SS"),'Pending Putaway'!$A$2:$A$255,0)),"NA"))</f>
        <v>0</v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customFormat="false" ht="15.75" hidden="false" customHeight="true" outlineLevel="0" collapsed="false">
      <c r="A255" s="54" t="s">
        <v>140</v>
      </c>
      <c r="B255" s="54" t="str">
        <f aca="false" t="array" ref="B255:B255">IFERROR(INDEX('CLM &amp; IM Mapping'!$B$2:$B$270,MATCH($A255,'CLM &amp; IM Mapping'!$A$2:$A$270,0)),"Not Mapped")</f>
        <v>Suhas N</v>
      </c>
      <c r="C255" s="54" t="str">
        <f aca="false" t="array" ref="C255:C255">IFERROR(INDEX('CLM &amp; IM Mapping'!$C$2:$C$270,MATCH($A255,'CLM &amp; IM Mapping'!$A$2:$A$270,0)),"Not Mapped")</f>
        <v>Aravind S</v>
      </c>
      <c r="D255" s="55" t="n">
        <f aca="false" t="array" ref="D255:D255">IFERROR(INDEX(Shrinkage!$O$2:$O$260,MATCH($A255,Shrinkage!$C$2:$C$260,0)),IFERROR(INDEX(Shrinkage!$O$2:$O$260,MATCH(SUBSTITUTE($A255," SS","  SS"),Shrinkage!$C$2:$C$260,0)),"NA"))</f>
        <v>6668</v>
      </c>
      <c r="E255" s="56" t="n">
        <f aca="false" t="array" ref="E255:E255">IFERROR(INDEX('Inventory Hygiene'!$I$2:$I$252,MATCH($A255,'Inventory Hygiene'!$A$2:$A$252,0)),IFERROR(INDEX('Inventory Hygiene'!$I$2:$I$252,MATCH(SUBSTITUTE($A255," SS","  SS"),'Inventory Hygiene'!$A$2:$A$252,0)),"NA"))</f>
        <v>0.42</v>
      </c>
      <c r="F255" s="54" t="n">
        <f aca="false" t="array" ref="F255:F255">IFERROR(INDEX('Bad Bins'!$J$2:$J$252,MATCH($A255,'Bad Bins'!$A$2:$A$252,0)),IFERROR(INDEX('Bad Bins'!$J$2:$J$252,MATCH(SUBSTITUTE($A255," SS","  SS"),'Bad Bins'!$A$2:$A$252,0)),"NA"))</f>
        <v>95</v>
      </c>
      <c r="G255" s="54" t="str">
        <f aca="false" t="array" ref="G255:G255">IFERROR(INDEX('RSTO &gt; 48hrs'!$G$2:$G$134,MATCH($A255,'RSTO &gt; 48hrs'!$A$2:$A$134,0)),IFERROR(INDEX('RSTO &gt; 48hrs'!$G$2:$G$134,MATCH(SUBSTITUTE($A255," SS","  SS"),'RSTO &gt; 48hrs'!$A$2:$A$134,0)),"NA"))</f>
        <v>NA</v>
      </c>
      <c r="H255" s="54" t="n">
        <f aca="false" t="array" ref="H255:H255">IFERROR(INDEX('Recirculation &gt; 24 hrs'!$J$2:$J$150,MATCH($A255,'Recirculation &gt; 24 hrs'!$A$2:$A$150,0)),IFERROR(INDEX('Recirculation &gt; 24 hrs'!$J$2:$J$150,MATCH(SUBSTITUTE($A255," SS","  SS"),'Recirculation &gt; 24 hrs'!$A$2:$A$150,0)),"NA"))</f>
        <v>4</v>
      </c>
      <c r="I255" s="54" t="n">
        <f aca="false" t="array" ref="I255:I255">IFERROR(INDEX('Pending Putaway'!$D$2:$D$255,MATCH($A255,'Pending Putaway'!$A$2:$A$255,0)),IFERROR(INDEX('Pending Putaway'!$D$2:$D$255,MATCH(SUBSTITUTE($A255," SS","  SS"),'Pending Putaway'!$A$2:$A$255,0)),"NA"))</f>
        <v>2048</v>
      </c>
      <c r="J255" s="54" t="n">
        <f aca="false" t="array" ref="J255:J255">IFERROR(INDEX('Pending Putaway'!$K$2:$K$255,MATCH($A255,'Pending Putaway'!$A$2:$A$255,0)),IFERROR(INDEX('Pending Putaway'!$K$2:$K$255,MATCH(SUBSTITUTE($A255," SS","  SS"),'Pending Putaway'!$A$2:$A$255,0)),"NA"))</f>
        <v>0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customFormat="false" ht="15.75" hidden="false" customHeight="true" outlineLevel="0" collapsed="false">
      <c r="A256" s="54" t="s">
        <v>54</v>
      </c>
      <c r="B256" s="54" t="str">
        <f aca="false" t="array" ref="B256:B256">IFERROR(INDEX('CLM &amp; IM Mapping'!$B$2:$B$270,MATCH($A256,'CLM &amp; IM Mapping'!$A$2:$A$270,0)),"Not Mapped")</f>
        <v>Suhas N</v>
      </c>
      <c r="C256" s="54" t="str">
        <f aca="false" t="array" ref="C256:C256">IFERROR(INDEX('CLM &amp; IM Mapping'!$C$2:$C$270,MATCH($A256,'CLM &amp; IM Mapping'!$A$2:$A$270,0)),"Not Mapped")</f>
        <v>Aravind S</v>
      </c>
      <c r="D256" s="55" t="n">
        <f aca="false" t="array" ref="D256:D256">IFERROR(INDEX(Shrinkage!$O$2:$O$260,MATCH($A256,Shrinkage!$C$2:$C$260,0)),IFERROR(INDEX(Shrinkage!$O$2:$O$260,MATCH(SUBSTITUTE($A256," SS","  SS"),Shrinkage!$C$2:$C$260,0)),"NA"))</f>
        <v>42540</v>
      </c>
      <c r="E256" s="56" t="n">
        <f aca="false" t="array" ref="E256:E256">IFERROR(INDEX('Inventory Hygiene'!$I$2:$I$252,MATCH($A256,'Inventory Hygiene'!$A$2:$A$252,0)),IFERROR(INDEX('Inventory Hygiene'!$I$2:$I$252,MATCH(SUBSTITUTE($A256," SS","  SS"),'Inventory Hygiene'!$A$2:$A$252,0)),"NA"))</f>
        <v>0.45</v>
      </c>
      <c r="F256" s="54" t="n">
        <f aca="false" t="array" ref="F256:F256">IFERROR(INDEX('Bad Bins'!$J$2:$J$252,MATCH($A256,'Bad Bins'!$A$2:$A$252,0)),IFERROR(INDEX('Bad Bins'!$J$2:$J$252,MATCH(SUBSTITUTE($A256," SS","  SS"),'Bad Bins'!$A$2:$A$252,0)),"NA"))</f>
        <v>291</v>
      </c>
      <c r="G256" s="54" t="n">
        <f aca="false" t="array" ref="G256:G256">IFERROR(INDEX('RSTO &gt; 48hrs'!$G$2:$G$134,MATCH($A256,'RSTO &gt; 48hrs'!$A$2:$A$134,0)),IFERROR(INDEX('RSTO &gt; 48hrs'!$G$2:$G$134,MATCH(SUBSTITUTE($A256," SS","  SS"),'RSTO &gt; 48hrs'!$A$2:$A$134,0)),"NA"))</f>
        <v>112</v>
      </c>
      <c r="H256" s="54" t="str">
        <f aca="false" t="array" ref="H256:H256">IFERROR(INDEX('Recirculation &gt; 24 hrs'!$J$2:$J$150,MATCH($A256,'Recirculation &gt; 24 hrs'!$A$2:$A$150,0)),IFERROR(INDEX('Recirculation &gt; 24 hrs'!$J$2:$J$150,MATCH(SUBSTITUTE($A256," SS","  SS"),'Recirculation &gt; 24 hrs'!$A$2:$A$150,0)),"NA"))</f>
        <v>NA</v>
      </c>
      <c r="I256" s="54" t="n">
        <f aca="false" t="array" ref="I256:I256">IFERROR(INDEX('Pending Putaway'!$D$2:$D$255,MATCH($A256,'Pending Putaway'!$A$2:$A$255,0)),IFERROR(INDEX('Pending Putaway'!$D$2:$D$255,MATCH(SUBSTITUTE($A256," SS","  SS"),'Pending Putaway'!$A$2:$A$255,0)),"NA"))</f>
        <v>10771</v>
      </c>
      <c r="J256" s="54" t="n">
        <f aca="false" t="array" ref="J256:J256">IFERROR(INDEX('Pending Putaway'!$K$2:$K$255,MATCH($A256,'Pending Putaway'!$A$2:$A$255,0)),IFERROR(INDEX('Pending Putaway'!$K$2:$K$255,MATCH(SUBSTITUTE($A256," SS","  SS"),'Pending Putaway'!$A$2:$A$255,0)),"NA"))</f>
        <v>2550</v>
      </c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customFormat="false" ht="15.75" hidden="false" customHeight="true" outlineLevel="0" collapsed="false">
      <c r="A257" s="54" t="s">
        <v>95</v>
      </c>
      <c r="B257" s="54" t="str">
        <f aca="false" t="array" ref="B257:B257">IFERROR(INDEX('CLM &amp; IM Mapping'!$B$2:$B$270,MATCH($A257,'CLM &amp; IM Mapping'!$A$2:$A$270,0)),"Not Mapped")</f>
        <v>Suhas N</v>
      </c>
      <c r="C257" s="54" t="str">
        <f aca="false" t="array" ref="C257:C257">IFERROR(INDEX('CLM &amp; IM Mapping'!$C$2:$C$270,MATCH($A257,'CLM &amp; IM Mapping'!$A$2:$A$270,0)),"Not Mapped")</f>
        <v>Aravind S</v>
      </c>
      <c r="D257" s="55" t="n">
        <f aca="false" t="array" ref="D257:D257">IFERROR(INDEX(Shrinkage!$O$2:$O$260,MATCH($A257,Shrinkage!$C$2:$C$260,0)),IFERROR(INDEX(Shrinkage!$O$2:$O$260,MATCH(SUBSTITUTE($A257," SS","  SS"),Shrinkage!$C$2:$C$260,0)),"NA"))</f>
        <v>21901</v>
      </c>
      <c r="E257" s="56" t="n">
        <f aca="false" t="array" ref="E257:E257">IFERROR(INDEX('Inventory Hygiene'!$I$2:$I$252,MATCH($A257,'Inventory Hygiene'!$A$2:$A$252,0)),IFERROR(INDEX('Inventory Hygiene'!$I$2:$I$252,MATCH(SUBSTITUTE($A257," SS","  SS"),'Inventory Hygiene'!$A$2:$A$252,0)),"NA"))</f>
        <v>0.54</v>
      </c>
      <c r="F257" s="54" t="n">
        <f aca="false" t="array" ref="F257:F257">IFERROR(INDEX('Bad Bins'!$J$2:$J$252,MATCH($A257,'Bad Bins'!$A$2:$A$252,0)),IFERROR(INDEX('Bad Bins'!$J$2:$J$252,MATCH(SUBSTITUTE($A257," SS","  SS"),'Bad Bins'!$A$2:$A$252,0)),"NA"))</f>
        <v>39</v>
      </c>
      <c r="G257" s="54" t="str">
        <f aca="false" t="array" ref="G257:G257">IFERROR(INDEX('RSTO &gt; 48hrs'!$G$2:$G$134,MATCH($A257,'RSTO &gt; 48hrs'!$A$2:$A$134,0)),IFERROR(INDEX('RSTO &gt; 48hrs'!$G$2:$G$134,MATCH(SUBSTITUTE($A257," SS","  SS"),'RSTO &gt; 48hrs'!$A$2:$A$134,0)),"NA"))</f>
        <v>NA</v>
      </c>
      <c r="H257" s="54" t="n">
        <f aca="false" t="array" ref="H257:H257">IFERROR(INDEX('Recirculation &gt; 24 hrs'!$J$2:$J$150,MATCH($A257,'Recirculation &gt; 24 hrs'!$A$2:$A$150,0)),IFERROR(INDEX('Recirculation &gt; 24 hrs'!$J$2:$J$150,MATCH(SUBSTITUTE($A257," SS","  SS"),'Recirculation &gt; 24 hrs'!$A$2:$A$150,0)),"NA"))</f>
        <v>3</v>
      </c>
      <c r="I257" s="54" t="n">
        <f aca="false" t="array" ref="I257:I257">IFERROR(INDEX('Pending Putaway'!$D$2:$D$255,MATCH($A257,'Pending Putaway'!$A$2:$A$255,0)),IFERROR(INDEX('Pending Putaway'!$D$2:$D$255,MATCH(SUBSTITUTE($A257," SS","  SS"),'Pending Putaway'!$A$2:$A$255,0)),"NA"))</f>
        <v>7885</v>
      </c>
      <c r="J257" s="54" t="n">
        <f aca="false" t="array" ref="J257:J257">IFERROR(INDEX('Pending Putaway'!$K$2:$K$255,MATCH($A257,'Pending Putaway'!$A$2:$A$255,0)),IFERROR(INDEX('Pending Putaway'!$K$2:$K$255,MATCH(SUBSTITUTE($A257," SS","  SS"),'Pending Putaway'!$A$2:$A$255,0)),"NA"))</f>
        <v>4416</v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customFormat="false" ht="15.75" hidden="false" customHeight="true" outlineLevel="0" collapsed="false">
      <c r="A258" s="54" t="s">
        <v>242</v>
      </c>
      <c r="B258" s="54" t="str">
        <f aca="false" t="array" ref="B258:B258">IFERROR(INDEX('CLM &amp; IM Mapping'!$B$2:$B$270,MATCH($A258,'CLM &amp; IM Mapping'!$A$2:$A$270,0)),"Not Mapped")</f>
        <v>John Britto</v>
      </c>
      <c r="C258" s="54" t="str">
        <f aca="false" t="array" ref="C258:C258">IFERROR(INDEX('CLM &amp; IM Mapping'!$C$2:$C$270,MATCH($A258,'CLM &amp; IM Mapping'!$A$2:$A$270,0)),"Not Mapped")</f>
        <v>Aravind S</v>
      </c>
      <c r="D258" s="55" t="n">
        <f aca="false" t="array" ref="D258:D258">IFERROR(INDEX(Shrinkage!$O$2:$O$260,MATCH($A258,Shrinkage!$C$2:$C$260,0)),IFERROR(INDEX(Shrinkage!$O$2:$O$260,MATCH(SUBSTITUTE($A258," SS","  SS"),Shrinkage!$C$2:$C$260,0)),"NA"))</f>
        <v>-6360</v>
      </c>
      <c r="E258" s="56" t="n">
        <f aca="false" t="array" ref="E258:E258">IFERROR(INDEX('Inventory Hygiene'!$I$2:$I$252,MATCH($A258,'Inventory Hygiene'!$A$2:$A$252,0)),IFERROR(INDEX('Inventory Hygiene'!$I$2:$I$252,MATCH(SUBSTITUTE($A258," SS","  SS"),'Inventory Hygiene'!$A$2:$A$252,0)),"NA"))</f>
        <v>0.14</v>
      </c>
      <c r="F258" s="54" t="n">
        <f aca="false" t="array" ref="F258:F258">IFERROR(INDEX('Bad Bins'!$J$2:$J$252,MATCH($A258,'Bad Bins'!$A$2:$A$252,0)),IFERROR(INDEX('Bad Bins'!$J$2:$J$252,MATCH(SUBSTITUTE($A258," SS","  SS"),'Bad Bins'!$A$2:$A$252,0)),"NA"))</f>
        <v>206</v>
      </c>
      <c r="G258" s="54" t="str">
        <f aca="false" t="array" ref="G258:G258">IFERROR(INDEX('RSTO &gt; 48hrs'!$G$2:$G$134,MATCH($A258,'RSTO &gt; 48hrs'!$A$2:$A$134,0)),IFERROR(INDEX('RSTO &gt; 48hrs'!$G$2:$G$134,MATCH(SUBSTITUTE($A258," SS","  SS"),'RSTO &gt; 48hrs'!$A$2:$A$134,0)),"NA"))</f>
        <v>NA</v>
      </c>
      <c r="H258" s="54" t="str">
        <f aca="false" t="array" ref="H258:H258">IFERROR(INDEX('Recirculation &gt; 24 hrs'!$J$2:$J$150,MATCH($A258,'Recirculation &gt; 24 hrs'!$A$2:$A$150,0)),IFERROR(INDEX('Recirculation &gt; 24 hrs'!$J$2:$J$150,MATCH(SUBSTITUTE($A258," SS","  SS"),'Recirculation &gt; 24 hrs'!$A$2:$A$150,0)),"NA"))</f>
        <v>NA</v>
      </c>
      <c r="I258" s="54" t="n">
        <f aca="false" t="array" ref="I258:I258">IFERROR(INDEX('Pending Putaway'!$D$2:$D$255,MATCH($A258,'Pending Putaway'!$A$2:$A$255,0)),IFERROR(INDEX('Pending Putaway'!$D$2:$D$255,MATCH(SUBSTITUTE($A258," SS","  SS"),'Pending Putaway'!$A$2:$A$255,0)),"NA"))</f>
        <v>0</v>
      </c>
      <c r="J258" s="54" t="n">
        <f aca="false" t="array" ref="J258:J258">IFERROR(INDEX('Pending Putaway'!$K$2:$K$255,MATCH($A258,'Pending Putaway'!$A$2:$A$255,0)),IFERROR(INDEX('Pending Putaway'!$K$2:$K$255,MATCH(SUBSTITUTE($A258," SS","  SS"),'Pending Putaway'!$A$2:$A$255,0)),"NA"))</f>
        <v>0</v>
      </c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customFormat="false" ht="15.75" hidden="false" customHeight="true" outlineLevel="0" collapsed="false">
      <c r="A259" s="54" t="s">
        <v>277</v>
      </c>
      <c r="B259" s="54" t="str">
        <f aca="false" t="array" ref="B259:B259">IFERROR(INDEX('CLM &amp; IM Mapping'!$B$2:$B$270,MATCH($A259,'CLM &amp; IM Mapping'!$A$2:$A$270,0)),"Not Mapped")</f>
        <v>Adhavan Subramani</v>
      </c>
      <c r="C259" s="54" t="str">
        <f aca="false" t="array" ref="C259:C259">IFERROR(INDEX('CLM &amp; IM Mapping'!$C$2:$C$270,MATCH($A259,'CLM &amp; IM Mapping'!$A$2:$A$270,0)),"Not Mapped")</f>
        <v>Mohammed Akbar</v>
      </c>
      <c r="D259" s="55" t="n">
        <f aca="false" t="array" ref="D259:D259">IFERROR(INDEX(Shrinkage!$O$2:$O$260,MATCH($A259,Shrinkage!$C$2:$C$260,0)),IFERROR(INDEX(Shrinkage!$O$2:$O$260,MATCH(SUBSTITUTE($A259," SS","  SS"),Shrinkage!$C$2:$C$260,0)),"NA"))</f>
        <v>-13314</v>
      </c>
      <c r="E259" s="56" t="n">
        <f aca="false" t="array" ref="E259:E259">IFERROR(INDEX('Inventory Hygiene'!$I$2:$I$252,MATCH($A259,'Inventory Hygiene'!$A$2:$A$252,0)),IFERROR(INDEX('Inventory Hygiene'!$I$2:$I$252,MATCH(SUBSTITUTE($A259," SS","  SS"),'Inventory Hygiene'!$A$2:$A$252,0)),"NA"))</f>
        <v>0.38</v>
      </c>
      <c r="F259" s="54" t="n">
        <f aca="false" t="array" ref="F259:F259">IFERROR(INDEX('Bad Bins'!$J$2:$J$252,MATCH($A259,'Bad Bins'!$A$2:$A$252,0)),IFERROR(INDEX('Bad Bins'!$J$2:$J$252,MATCH(SUBSTITUTE($A259," SS","  SS"),'Bad Bins'!$A$2:$A$252,0)),"NA"))</f>
        <v>72</v>
      </c>
      <c r="G259" s="54" t="n">
        <f aca="false" t="array" ref="G259:G259">IFERROR(INDEX('RSTO &gt; 48hrs'!$G$2:$G$134,MATCH($A259,'RSTO &gt; 48hrs'!$A$2:$A$134,0)),IFERROR(INDEX('RSTO &gt; 48hrs'!$G$2:$G$134,MATCH(SUBSTITUTE($A259," SS","  SS"),'RSTO &gt; 48hrs'!$A$2:$A$134,0)),"NA"))</f>
        <v>17</v>
      </c>
      <c r="H259" s="54" t="str">
        <f aca="false" t="array" ref="H259:H259">IFERROR(INDEX('Recirculation &gt; 24 hrs'!$J$2:$J$150,MATCH($A259,'Recirculation &gt; 24 hrs'!$A$2:$A$150,0)),IFERROR(INDEX('Recirculation &gt; 24 hrs'!$J$2:$J$150,MATCH(SUBSTITUTE($A259," SS","  SS"),'Recirculation &gt; 24 hrs'!$A$2:$A$150,0)),"NA"))</f>
        <v>NA</v>
      </c>
      <c r="I259" s="54" t="n">
        <f aca="false" t="array" ref="I259:I259">IFERROR(INDEX('Pending Putaway'!$D$2:$D$255,MATCH($A259,'Pending Putaway'!$A$2:$A$255,0)),IFERROR(INDEX('Pending Putaway'!$D$2:$D$255,MATCH(SUBSTITUTE($A259," SS","  SS"),'Pending Putaway'!$A$2:$A$255,0)),"NA"))</f>
        <v>2935</v>
      </c>
      <c r="J259" s="54" t="n">
        <f aca="false" t="array" ref="J259:J259">IFERROR(INDEX('Pending Putaway'!$K$2:$K$255,MATCH($A259,'Pending Putaway'!$A$2:$A$255,0)),IFERROR(INDEX('Pending Putaway'!$K$2:$K$255,MATCH(SUBSTITUTE($A259," SS","  SS"),'Pending Putaway'!$A$2:$A$255,0)),"NA"))</f>
        <v>839</v>
      </c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customFormat="false" ht="15.75" hidden="false" customHeight="true" outlineLevel="0" collapsed="false">
      <c r="A260" s="54" t="s">
        <v>212</v>
      </c>
      <c r="B260" s="54" t="str">
        <f aca="false" t="array" ref="B260:B260">IFERROR(INDEX('CLM &amp; IM Mapping'!$B$2:$B$270,MATCH($A260,'CLM &amp; IM Mapping'!$A$2:$A$270,0)),"Not Mapped")</f>
        <v>Adhavan Subramani</v>
      </c>
      <c r="C260" s="54" t="str">
        <f aca="false" t="array" ref="C260:C260">IFERROR(INDEX('CLM &amp; IM Mapping'!$C$2:$C$270,MATCH($A260,'CLM &amp; IM Mapping'!$A$2:$A$270,0)),"Not Mapped")</f>
        <v>Mohammed Akbar</v>
      </c>
      <c r="D260" s="55" t="n">
        <f aca="false" t="array" ref="D260:D260">IFERROR(INDEX(Shrinkage!$O$2:$O$260,MATCH($A260,Shrinkage!$C$2:$C$260,0)),IFERROR(INDEX(Shrinkage!$O$2:$O$260,MATCH(SUBSTITUTE($A260," SS","  SS"),Shrinkage!$C$2:$C$260,0)),"NA"))</f>
        <v>-2683</v>
      </c>
      <c r="E260" s="56" t="n">
        <f aca="false" t="array" ref="E260:E260">IFERROR(INDEX('Inventory Hygiene'!$I$2:$I$252,MATCH($A260,'Inventory Hygiene'!$A$2:$A$252,0)),IFERROR(INDEX('Inventory Hygiene'!$I$2:$I$252,MATCH(SUBSTITUTE($A260," SS","  SS"),'Inventory Hygiene'!$A$2:$A$252,0)),"NA"))</f>
        <v>0.07</v>
      </c>
      <c r="F260" s="54" t="n">
        <f aca="false" t="array" ref="F260:F260">IFERROR(INDEX('Bad Bins'!$J$2:$J$252,MATCH($A260,'Bad Bins'!$A$2:$A$252,0)),IFERROR(INDEX('Bad Bins'!$J$2:$J$252,MATCH(SUBSTITUTE($A260," SS","  SS"),'Bad Bins'!$A$2:$A$252,0)),"NA"))</f>
        <v>488</v>
      </c>
      <c r="G260" s="54" t="n">
        <f aca="false" t="array" ref="G260:G260">IFERROR(INDEX('RSTO &gt; 48hrs'!$G$2:$G$134,MATCH($A260,'RSTO &gt; 48hrs'!$A$2:$A$134,0)),IFERROR(INDEX('RSTO &gt; 48hrs'!$G$2:$G$134,MATCH(SUBSTITUTE($A260," SS","  SS"),'RSTO &gt; 48hrs'!$A$2:$A$134,0)),"NA"))</f>
        <v>130</v>
      </c>
      <c r="H260" s="54" t="str">
        <f aca="false" t="array" ref="H260:H260">IFERROR(INDEX('Recirculation &gt; 24 hrs'!$J$2:$J$150,MATCH($A260,'Recirculation &gt; 24 hrs'!$A$2:$A$150,0)),IFERROR(INDEX('Recirculation &gt; 24 hrs'!$J$2:$J$150,MATCH(SUBSTITUTE($A260," SS","  SS"),'Recirculation &gt; 24 hrs'!$A$2:$A$150,0)),"NA"))</f>
        <v>NA</v>
      </c>
      <c r="I260" s="54" t="n">
        <f aca="false" t="array" ref="I260:I260">IFERROR(INDEX('Pending Putaway'!$D$2:$D$255,MATCH($A260,'Pending Putaway'!$A$2:$A$255,0)),IFERROR(INDEX('Pending Putaway'!$D$2:$D$255,MATCH(SUBSTITUTE($A260," SS","  SS"),'Pending Putaway'!$A$2:$A$255,0)),"NA"))</f>
        <v>3224</v>
      </c>
      <c r="J260" s="54" t="n">
        <f aca="false" t="array" ref="J260:J260">IFERROR(INDEX('Pending Putaway'!$K$2:$K$255,MATCH($A260,'Pending Putaway'!$A$2:$A$255,0)),IFERROR(INDEX('Pending Putaway'!$K$2:$K$255,MATCH(SUBSTITUTE($A260," SS","  SS"),'Pending Putaway'!$A$2:$A$255,0)),"NA"))</f>
        <v>25</v>
      </c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customFormat="false" ht="15.75" hidden="false" customHeight="true" outlineLevel="0" collapsed="false">
      <c r="A261" s="54" t="s">
        <v>237</v>
      </c>
      <c r="B261" s="54" t="str">
        <f aca="false" t="array" ref="B261:B261">IFERROR(INDEX('CLM &amp; IM Mapping'!$B$2:$B$270,MATCH($A261,'CLM &amp; IM Mapping'!$A$2:$A$270,0)),"Not Mapped")</f>
        <v>Bangareppa CS</v>
      </c>
      <c r="C261" s="54" t="str">
        <f aca="false" t="array" ref="C261:C261">IFERROR(INDEX('CLM &amp; IM Mapping'!$C$2:$C$270,MATCH($A261,'CLM &amp; IM Mapping'!$A$2:$A$270,0)),"Not Mapped")</f>
        <v>Kishor K</v>
      </c>
      <c r="D261" s="55" t="n">
        <f aca="false" t="array" ref="D261:D261">IFERROR(INDEX(Shrinkage!$O$2:$O$260,MATCH($A261,Shrinkage!$C$2:$C$260,0)),IFERROR(INDEX(Shrinkage!$O$2:$O$260,MATCH(SUBSTITUTE($A261," SS","  SS"),Shrinkage!$C$2:$C$260,0)),"NA"))</f>
        <v>-5568</v>
      </c>
      <c r="E261" s="56" t="n">
        <f aca="false" t="array" ref="E261:E261">IFERROR(INDEX('Inventory Hygiene'!$I$2:$I$252,MATCH($A261,'Inventory Hygiene'!$A$2:$A$252,0)),IFERROR(INDEX('Inventory Hygiene'!$I$2:$I$252,MATCH(SUBSTITUTE($A261," SS","  SS"),'Inventory Hygiene'!$A$2:$A$252,0)),"NA"))</f>
        <v>0.62</v>
      </c>
      <c r="F261" s="54" t="n">
        <f aca="false" t="array" ref="F261:F261">IFERROR(INDEX('Bad Bins'!$J$2:$J$252,MATCH($A261,'Bad Bins'!$A$2:$A$252,0)),IFERROR(INDEX('Bad Bins'!$J$2:$J$252,MATCH(SUBSTITUTE($A261," SS","  SS"),'Bad Bins'!$A$2:$A$252,0)),"NA"))</f>
        <v>51</v>
      </c>
      <c r="G261" s="54" t="str">
        <f aca="false" t="array" ref="G261:G261">IFERROR(INDEX('RSTO &gt; 48hrs'!$G$2:$G$134,MATCH($A261,'RSTO &gt; 48hrs'!$A$2:$A$134,0)),IFERROR(INDEX('RSTO &gt; 48hrs'!$G$2:$G$134,MATCH(SUBSTITUTE($A261," SS","  SS"),'RSTO &gt; 48hrs'!$A$2:$A$134,0)),"NA"))</f>
        <v>NA</v>
      </c>
      <c r="H261" s="54" t="str">
        <f aca="false" t="array" ref="H261:H261">IFERROR(INDEX('Recirculation &gt; 24 hrs'!$J$2:$J$150,MATCH($A261,'Recirculation &gt; 24 hrs'!$A$2:$A$150,0)),IFERROR(INDEX('Recirculation &gt; 24 hrs'!$J$2:$J$150,MATCH(SUBSTITUTE($A261," SS","  SS"),'Recirculation &gt; 24 hrs'!$A$2:$A$150,0)),"NA"))</f>
        <v>NA</v>
      </c>
      <c r="I261" s="54" t="n">
        <f aca="false" t="array" ref="I261:I261">IFERROR(INDEX('Pending Putaway'!$D$2:$D$255,MATCH($A261,'Pending Putaway'!$A$2:$A$255,0)),IFERROR(INDEX('Pending Putaway'!$D$2:$D$255,MATCH(SUBSTITUTE($A261," SS","  SS"),'Pending Putaway'!$A$2:$A$255,0)),"NA"))</f>
        <v>0</v>
      </c>
      <c r="J261" s="54" t="n">
        <f aca="false" t="array" ref="J261:J261">IFERROR(INDEX('Pending Putaway'!$K$2:$K$255,MATCH($A261,'Pending Putaway'!$A$2:$A$255,0)),IFERROR(INDEX('Pending Putaway'!$K$2:$K$255,MATCH(SUBSTITUTE($A261," SS","  SS"),'Pending Putaway'!$A$2:$A$255,0)),"NA"))</f>
        <v>0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customFormat="false" ht="15.75" hidden="false" customHeight="true" outlineLevel="0" collapsed="false">
      <c r="A262" s="54" t="s">
        <v>192</v>
      </c>
      <c r="B262" s="54" t="str">
        <f aca="false" t="array" ref="B262:B262">IFERROR(INDEX('CLM &amp; IM Mapping'!$B$2:$B$270,MATCH($A262,'CLM &amp; IM Mapping'!$A$2:$A$270,0)),"Not Mapped")</f>
        <v>Vishnu V</v>
      </c>
      <c r="C262" s="54" t="str">
        <f aca="false" t="array" ref="C262:C262">IFERROR(INDEX('CLM &amp; IM Mapping'!$C$2:$C$270,MATCH($A262,'CLM &amp; IM Mapping'!$A$2:$A$270,0)),"Not Mapped")</f>
        <v>Arivind S</v>
      </c>
      <c r="D262" s="55" t="n">
        <f aca="false" t="array" ref="D262:D262">IFERROR(INDEX(Shrinkage!$O$2:$O$260,MATCH($A262,Shrinkage!$C$2:$C$260,0)),IFERROR(INDEX(Shrinkage!$O$2:$O$260,MATCH(SUBSTITUTE($A262," SS","  SS"),Shrinkage!$C$2:$C$260,0)),"NA"))</f>
        <v>-599</v>
      </c>
      <c r="E262" s="56" t="str">
        <f aca="false" t="array" ref="E262:E262">IFERROR(INDEX('Inventory Hygiene'!$I$2:$I$252,MATCH($A262,'Inventory Hygiene'!$A$2:$A$252,0)),IFERROR(INDEX('Inventory Hygiene'!$I$2:$I$252,MATCH(SUBSTITUTE($A262," SS","  SS"),'Inventory Hygiene'!$A$2:$A$252,0)),"NA"))</f>
        <v>NA</v>
      </c>
      <c r="F262" s="54" t="n">
        <f aca="false" t="array" ref="F262:F262">IFERROR(INDEX('Bad Bins'!$J$2:$J$252,MATCH($A262,'Bad Bins'!$A$2:$A$252,0)),IFERROR(INDEX('Bad Bins'!$J$2:$J$252,MATCH(SUBSTITUTE($A262," SS","  SS"),'Bad Bins'!$A$2:$A$252,0)),"NA"))</f>
        <v>301</v>
      </c>
      <c r="G262" s="54" t="str">
        <f aca="false" t="array" ref="G262:G262">IFERROR(INDEX('RSTO &gt; 48hrs'!$G$2:$G$134,MATCH($A262,'RSTO &gt; 48hrs'!$A$2:$A$134,0)),IFERROR(INDEX('RSTO &gt; 48hrs'!$G$2:$G$134,MATCH(SUBSTITUTE($A262," SS","  SS"),'RSTO &gt; 48hrs'!$A$2:$A$134,0)),"NA"))</f>
        <v>NA</v>
      </c>
      <c r="H262" s="54" t="str">
        <f aca="false" t="array" ref="H262:H262">IFERROR(INDEX('Recirculation &gt; 24 hrs'!$J$2:$J$150,MATCH($A262,'Recirculation &gt; 24 hrs'!$A$2:$A$150,0)),IFERROR(INDEX('Recirculation &gt; 24 hrs'!$J$2:$J$150,MATCH(SUBSTITUTE($A262," SS","  SS"),'Recirculation &gt; 24 hrs'!$A$2:$A$150,0)),"NA"))</f>
        <v>NA</v>
      </c>
      <c r="I262" s="54" t="n">
        <f aca="false" t="array" ref="I262:I262">IFERROR(INDEX('Pending Putaway'!$D$2:$D$255,MATCH($A262,'Pending Putaway'!$A$2:$A$255,0)),IFERROR(INDEX('Pending Putaway'!$D$2:$D$255,MATCH(SUBSTITUTE($A262," SS","  SS"),'Pending Putaway'!$A$2:$A$255,0)),"NA"))</f>
        <v>47</v>
      </c>
      <c r="J262" s="54" t="n">
        <f aca="false" t="array" ref="J262:J262">IFERROR(INDEX('Pending Putaway'!$K$2:$K$255,MATCH($A262,'Pending Putaway'!$A$2:$A$255,0)),IFERROR(INDEX('Pending Putaway'!$K$2:$K$255,MATCH(SUBSTITUTE($A262," SS","  SS"),'Pending Putaway'!$A$2:$A$255,0)),"NA"))</f>
        <v>47</v>
      </c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customFormat="false" ht="15.75" hidden="false" customHeight="true" outlineLevel="0" collapsed="false">
      <c r="A263" s="54" t="s">
        <v>363</v>
      </c>
      <c r="B263" s="54" t="str">
        <f aca="false" t="array" ref="B263:B263">IFERROR(INDEX('CLM &amp; IM Mapping'!$B$2:$B$270,MATCH($A263,'CLM &amp; IM Mapping'!$A$2:$A$270,0)),"Not Mapped")</f>
        <v>John Britto</v>
      </c>
      <c r="C263" s="54" t="str">
        <f aca="false" t="array" ref="C263:C263">IFERROR(INDEX('CLM &amp; IM Mapping'!$C$2:$C$270,MATCH($A263,'CLM &amp; IM Mapping'!$A$2:$A$270,0)),"Not Mapped")</f>
        <v>Aravind S</v>
      </c>
      <c r="D263" s="55" t="str">
        <f aca="false" t="array" ref="D263:D263">IFERROR(INDEX(Shrinkage!$O$2:$O$260,MATCH($A263,Shrinkage!$C$2:$C$260,0)),IFERROR(INDEX(Shrinkage!$O$2:$O$260,MATCH(SUBSTITUTE($A263," SS","  SS"),Shrinkage!$C$2:$C$260,0)),"NA"))</f>
        <v>NA</v>
      </c>
      <c r="E263" s="56" t="str">
        <f aca="false" t="array" ref="E263:E263">IFERROR(INDEX('Inventory Hygiene'!$I$2:$I$252,MATCH($A263,'Inventory Hygiene'!$A$2:$A$252,0)),IFERROR(INDEX('Inventory Hygiene'!$I$2:$I$252,MATCH(SUBSTITUTE($A263," SS","  SS"),'Inventory Hygiene'!$A$2:$A$252,0)),"NA"))</f>
        <v>NA</v>
      </c>
      <c r="F263" s="54" t="str">
        <f aca="false" t="array" ref="F263:F263">IFERROR(INDEX('Bad Bins'!$J$2:$J$252,MATCH($A263,'Bad Bins'!$A$2:$A$252,0)),IFERROR(INDEX('Bad Bins'!$J$2:$J$252,MATCH(SUBSTITUTE($A263," SS","  SS"),'Bad Bins'!$A$2:$A$252,0)),"NA"))</f>
        <v>NA</v>
      </c>
      <c r="G263" s="54" t="str">
        <f aca="false" t="array" ref="G263:G263">IFERROR(INDEX('RSTO &gt; 48hrs'!$G$2:$G$134,MATCH($A263,'RSTO &gt; 48hrs'!$A$2:$A$134,0)),IFERROR(INDEX('RSTO &gt; 48hrs'!$G$2:$G$134,MATCH(SUBSTITUTE($A263," SS","  SS"),'RSTO &gt; 48hrs'!$A$2:$A$134,0)),"NA"))</f>
        <v>NA</v>
      </c>
      <c r="H263" s="54" t="str">
        <f aca="false" t="array" ref="H263:H263">IFERROR(INDEX('Recirculation &gt; 24 hrs'!$J$2:$J$150,MATCH($A263,'Recirculation &gt; 24 hrs'!$A$2:$A$150,0)),IFERROR(INDEX('Recirculation &gt; 24 hrs'!$J$2:$J$150,MATCH(SUBSTITUTE($A263," SS","  SS"),'Recirculation &gt; 24 hrs'!$A$2:$A$150,0)),"NA"))</f>
        <v>NA</v>
      </c>
      <c r="I263" s="54" t="n">
        <f aca="false" t="array" ref="I263:I263">IFERROR(INDEX('Pending Putaway'!$D$2:$D$255,MATCH($A263,'Pending Putaway'!$A$2:$A$255,0)),IFERROR(INDEX('Pending Putaway'!$D$2:$D$255,MATCH(SUBSTITUTE($A263," SS","  SS"),'Pending Putaway'!$A$2:$A$255,0)),"NA"))</f>
        <v>0</v>
      </c>
      <c r="J263" s="54" t="n">
        <f aca="false" t="array" ref="J263:J263">IFERROR(INDEX('Pending Putaway'!$K$2:$K$255,MATCH($A263,'Pending Putaway'!$A$2:$A$255,0)),IFERROR(INDEX('Pending Putaway'!$K$2:$K$255,MATCH(SUBSTITUTE($A263," SS","  SS"),'Pending Putaway'!$A$2:$A$255,0)),"NA"))</f>
        <v>0</v>
      </c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customFormat="false" ht="15.75" hidden="false" customHeight="true" outlineLevel="0" collapsed="false">
      <c r="A264" s="54" t="s">
        <v>364</v>
      </c>
      <c r="B264" s="54" t="str">
        <f aca="false" t="array" ref="B264:B264">IFERROR(INDEX('CLM &amp; IM Mapping'!$B$2:$B$270,MATCH($A264,'CLM &amp; IM Mapping'!$A$2:$A$270,0)),"Not Mapped")</f>
        <v>John Britto</v>
      </c>
      <c r="C264" s="54" t="str">
        <f aca="false" t="array" ref="C264:C264">IFERROR(INDEX('CLM &amp; IM Mapping'!$C$2:$C$270,MATCH($A264,'CLM &amp; IM Mapping'!$A$2:$A$270,0)),"Not Mapped")</f>
        <v>Aravind S</v>
      </c>
      <c r="D264" s="55" t="str">
        <f aca="false" t="array" ref="D264:D264">IFERROR(INDEX(Shrinkage!$O$2:$O$260,MATCH($A264,Shrinkage!$C$2:$C$260,0)),IFERROR(INDEX(Shrinkage!$O$2:$O$260,MATCH(SUBSTITUTE($A264," SS","  SS"),Shrinkage!$C$2:$C$260,0)),"NA"))</f>
        <v>NA</v>
      </c>
      <c r="E264" s="56" t="str">
        <f aca="false" t="array" ref="E264:E264">IFERROR(INDEX('Inventory Hygiene'!$I$2:$I$252,MATCH($A264,'Inventory Hygiene'!$A$2:$A$252,0)),IFERROR(INDEX('Inventory Hygiene'!$I$2:$I$252,MATCH(SUBSTITUTE($A264," SS","  SS"),'Inventory Hygiene'!$A$2:$A$252,0)),"NA"))</f>
        <v>NA</v>
      </c>
      <c r="F264" s="54" t="str">
        <f aca="false" t="array" ref="F264:F264">IFERROR(INDEX('Bad Bins'!$J$2:$J$252,MATCH($A264,'Bad Bins'!$A$2:$A$252,0)),IFERROR(INDEX('Bad Bins'!$J$2:$J$252,MATCH(SUBSTITUTE($A264," SS","  SS"),'Bad Bins'!$A$2:$A$252,0)),"NA"))</f>
        <v>NA</v>
      </c>
      <c r="G264" s="54" t="str">
        <f aca="false" t="array" ref="G264:G264">IFERROR(INDEX('RSTO &gt; 48hrs'!$G$2:$G$134,MATCH($A264,'RSTO &gt; 48hrs'!$A$2:$A$134,0)),IFERROR(INDEX('RSTO &gt; 48hrs'!$G$2:$G$134,MATCH(SUBSTITUTE($A264," SS","  SS"),'RSTO &gt; 48hrs'!$A$2:$A$134,0)),"NA"))</f>
        <v>NA</v>
      </c>
      <c r="H264" s="54" t="str">
        <f aca="false" t="array" ref="H264:H264">IFERROR(INDEX('Recirculation &gt; 24 hrs'!$J$2:$J$150,MATCH($A264,'Recirculation &gt; 24 hrs'!$A$2:$A$150,0)),IFERROR(INDEX('Recirculation &gt; 24 hrs'!$J$2:$J$150,MATCH(SUBSTITUTE($A264," SS","  SS"),'Recirculation &gt; 24 hrs'!$A$2:$A$150,0)),"NA"))</f>
        <v>NA</v>
      </c>
      <c r="I264" s="54" t="n">
        <f aca="false" t="array" ref="I264:I264">IFERROR(INDEX('Pending Putaway'!$D$2:$D$255,MATCH($A264,'Pending Putaway'!$A$2:$A$255,0)),IFERROR(INDEX('Pending Putaway'!$D$2:$D$255,MATCH(SUBSTITUTE($A264," SS","  SS"),'Pending Putaway'!$A$2:$A$255,0)),"NA"))</f>
        <v>0</v>
      </c>
      <c r="J264" s="54" t="n">
        <f aca="false" t="array" ref="J264:J264">IFERROR(INDEX('Pending Putaway'!$K$2:$K$255,MATCH($A264,'Pending Putaway'!$A$2:$A$255,0)),IFERROR(INDEX('Pending Putaway'!$K$2:$K$255,MATCH(SUBSTITUTE($A264," SS","  SS"),'Pending Putaway'!$A$2:$A$255,0)),"NA"))</f>
        <v>0</v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customFormat="false" ht="15.75" hidden="false" customHeight="true" outlineLevel="0" collapsed="false">
      <c r="A265" s="54" t="s">
        <v>185</v>
      </c>
      <c r="B265" s="54" t="str">
        <f aca="false" t="array" ref="B265:B265">IFERROR(INDEX('CLM &amp; IM Mapping'!$B$2:$B$270,MATCH($A265,'CLM &amp; IM Mapping'!$A$2:$A$270,0)),"Not Mapped")</f>
        <v>Not Mapped</v>
      </c>
      <c r="C265" s="54" t="str">
        <f aca="false" t="array" ref="C265:C265">IFERROR(INDEX('CLM &amp; IM Mapping'!$C$2:$C$270,MATCH($A265,'CLM &amp; IM Mapping'!$A$2:$A$270,0)),"Not Mapped")</f>
        <v>Not Mapped</v>
      </c>
      <c r="D265" s="55" t="n">
        <f aca="false" t="array" ref="D265:D265">IFERROR(INDEX(Shrinkage!$O$2:$O$260,MATCH($A265,Shrinkage!$C$2:$C$260,0)),IFERROR(INDEX(Shrinkage!$O$2:$O$260,MATCH(SUBSTITUTE($A265," SS","  SS"),Shrinkage!$C$2:$C$260,0)),"NA"))</f>
        <v>0</v>
      </c>
      <c r="E265" s="56" t="str">
        <f aca="false" t="array" ref="E265:E265">IFERROR(INDEX('Inventory Hygiene'!$I$2:$I$252,MATCH($A265,'Inventory Hygiene'!$A$2:$A$252,0)),IFERROR(INDEX('Inventory Hygiene'!$I$2:$I$252,MATCH(SUBSTITUTE($A265," SS","  SS"),'Inventory Hygiene'!$A$2:$A$252,0)),"NA"))</f>
        <v>NA</v>
      </c>
      <c r="F265" s="54" t="str">
        <f aca="false" t="array" ref="F265:F265">IFERROR(INDEX('Bad Bins'!$J$2:$J$252,MATCH($A265,'Bad Bins'!$A$2:$A$252,0)),IFERROR(INDEX('Bad Bins'!$J$2:$J$252,MATCH(SUBSTITUTE($A265," SS","  SS"),'Bad Bins'!$A$2:$A$252,0)),"NA"))</f>
        <v>NA</v>
      </c>
      <c r="G265" s="54" t="str">
        <f aca="false" t="array" ref="G265:G265">IFERROR(INDEX('RSTO &gt; 48hrs'!$G$2:$G$134,MATCH($A265,'RSTO &gt; 48hrs'!$A$2:$A$134,0)),IFERROR(INDEX('RSTO &gt; 48hrs'!$G$2:$G$134,MATCH(SUBSTITUTE($A265," SS","  SS"),'RSTO &gt; 48hrs'!$A$2:$A$134,0)),"NA"))</f>
        <v>NA</v>
      </c>
      <c r="H265" s="54" t="n">
        <f aca="false" t="array" ref="H265:H265">IFERROR(INDEX('Recirculation &gt; 24 hrs'!$J$2:$J$150,MATCH($A265,'Recirculation &gt; 24 hrs'!$A$2:$A$150,0)),IFERROR(INDEX('Recirculation &gt; 24 hrs'!$J$2:$J$150,MATCH(SUBSTITUTE($A265," SS","  SS"),'Recirculation &gt; 24 hrs'!$A$2:$A$150,0)),"NA"))</f>
        <v>4</v>
      </c>
      <c r="I265" s="54" t="str">
        <f aca="false" t="array" ref="I265:I265">IFERROR(INDEX('Pending Putaway'!$D$2:$D$255,MATCH($A265,'Pending Putaway'!$A$2:$A$255,0)),IFERROR(INDEX('Pending Putaway'!$D$2:$D$255,MATCH(SUBSTITUTE($A265," SS","  SS"),'Pending Putaway'!$A$2:$A$255,0)),"NA"))</f>
        <v>NA</v>
      </c>
      <c r="J265" s="54" t="str">
        <f aca="false" t="array" ref="J265:J265">IFERROR(INDEX('Pending Putaway'!$K$2:$K$255,MATCH($A265,'Pending Putaway'!$A$2:$A$255,0)),IFERROR(INDEX('Pending Putaway'!$K$2:$K$255,MATCH(SUBSTITUTE($A265," SS","  SS"),'Pending Putaway'!$A$2:$A$255,0)),"NA"))</f>
        <v>NA</v>
      </c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customFormat="false" ht="15.75" hidden="false" customHeight="true" outlineLevel="0" collapsed="false">
      <c r="A266" s="54" t="s">
        <v>186</v>
      </c>
      <c r="B266" s="54" t="str">
        <f aca="false" t="array" ref="B266:B266">IFERROR(INDEX('CLM &amp; IM Mapping'!$B$2:$B$270,MATCH($A266,'CLM &amp; IM Mapping'!$A$2:$A$270,0)),"Not Mapped")</f>
        <v>Not Mapped</v>
      </c>
      <c r="C266" s="54" t="str">
        <f aca="false" t="array" ref="C266:C266">IFERROR(INDEX('CLM &amp; IM Mapping'!$C$2:$C$270,MATCH($A266,'CLM &amp; IM Mapping'!$A$2:$A$270,0)),"Not Mapped")</f>
        <v>Not Mapped</v>
      </c>
      <c r="D266" s="55" t="n">
        <f aca="false" t="array" ref="D266:D266">IFERROR(INDEX(Shrinkage!$O$2:$O$260,MATCH($A266,Shrinkage!$C$2:$C$260,0)),IFERROR(INDEX(Shrinkage!$O$2:$O$260,MATCH(SUBSTITUTE($A266," SS","  SS"),Shrinkage!$C$2:$C$260,0)),"NA"))</f>
        <v>0</v>
      </c>
      <c r="E266" s="56" t="str">
        <f aca="false" t="array" ref="E266:E266">IFERROR(INDEX('Inventory Hygiene'!$I$2:$I$252,MATCH($A266,'Inventory Hygiene'!$A$2:$A$252,0)),IFERROR(INDEX('Inventory Hygiene'!$I$2:$I$252,MATCH(SUBSTITUTE($A266," SS","  SS"),'Inventory Hygiene'!$A$2:$A$252,0)),"NA"))</f>
        <v>NA</v>
      </c>
      <c r="F266" s="54" t="str">
        <f aca="false" t="array" ref="F266:F266">IFERROR(INDEX('Bad Bins'!$J$2:$J$252,MATCH($A266,'Bad Bins'!$A$2:$A$252,0)),IFERROR(INDEX('Bad Bins'!$J$2:$J$252,MATCH(SUBSTITUTE($A266," SS","  SS"),'Bad Bins'!$A$2:$A$252,0)),"NA"))</f>
        <v>NA</v>
      </c>
      <c r="G266" s="54" t="str">
        <f aca="false" t="array" ref="G266:G266">IFERROR(INDEX('RSTO &gt; 48hrs'!$G$2:$G$134,MATCH($A266,'RSTO &gt; 48hrs'!$A$2:$A$134,0)),IFERROR(INDEX('RSTO &gt; 48hrs'!$G$2:$G$134,MATCH(SUBSTITUTE($A266," SS","  SS"),'RSTO &gt; 48hrs'!$A$2:$A$134,0)),"NA"))</f>
        <v>NA</v>
      </c>
      <c r="H266" s="54" t="n">
        <f aca="false" t="array" ref="H266:H266">IFERROR(INDEX('Recirculation &gt; 24 hrs'!$J$2:$J$150,MATCH($A266,'Recirculation &gt; 24 hrs'!$A$2:$A$150,0)),IFERROR(INDEX('Recirculation &gt; 24 hrs'!$J$2:$J$150,MATCH(SUBSTITUTE($A266," SS","  SS"),'Recirculation &gt; 24 hrs'!$A$2:$A$150,0)),"NA"))</f>
        <v>2</v>
      </c>
      <c r="I266" s="54" t="str">
        <f aca="false" t="array" ref="I266:I266">IFERROR(INDEX('Pending Putaway'!$D$2:$D$255,MATCH($A266,'Pending Putaway'!$A$2:$A$255,0)),IFERROR(INDEX('Pending Putaway'!$D$2:$D$255,MATCH(SUBSTITUTE($A266," SS","  SS"),'Pending Putaway'!$A$2:$A$255,0)),"NA"))</f>
        <v>NA</v>
      </c>
      <c r="J266" s="54" t="str">
        <f aca="false" t="array" ref="J266:J266">IFERROR(INDEX('Pending Putaway'!$K$2:$K$255,MATCH($A266,'Pending Putaway'!$A$2:$A$255,0)),IFERROR(INDEX('Pending Putaway'!$K$2:$K$255,MATCH(SUBSTITUTE($A266," SS","  SS"),'Pending Putaway'!$A$2:$A$255,0)),"NA"))</f>
        <v>NA</v>
      </c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customFormat="false" ht="15.75" hidden="false" customHeight="true" outlineLevel="0" collapsed="false">
      <c r="A267" s="15"/>
      <c r="B267" s="15"/>
      <c r="C267" s="15"/>
      <c r="D267" s="5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customFormat="false" ht="15.75" hidden="false" customHeight="true" outlineLevel="0" collapsed="false">
      <c r="A268" s="15"/>
      <c r="B268" s="15"/>
      <c r="C268" s="15"/>
      <c r="D268" s="5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customFormat="false" ht="15.75" hidden="false" customHeight="true" outlineLevel="0" collapsed="false">
      <c r="A269" s="15"/>
      <c r="B269" s="15"/>
      <c r="C269" s="15"/>
      <c r="D269" s="5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customFormat="false" ht="15.75" hidden="false" customHeight="true" outlineLevel="0" collapsed="false">
      <c r="A270" s="15"/>
      <c r="B270" s="15"/>
      <c r="C270" s="15"/>
      <c r="D270" s="5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customFormat="false" ht="15.75" hidden="false" customHeight="true" outlineLevel="0" collapsed="false">
      <c r="A271" s="15"/>
      <c r="B271" s="15"/>
      <c r="C271" s="15"/>
      <c r="D271" s="5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customFormat="false" ht="15.75" hidden="false" customHeight="true" outlineLevel="0" collapsed="false">
      <c r="A272" s="15"/>
      <c r="B272" s="15"/>
      <c r="C272" s="15"/>
      <c r="D272" s="5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customFormat="false" ht="15.75" hidden="false" customHeight="true" outlineLevel="0" collapsed="false">
      <c r="A273" s="15"/>
      <c r="B273" s="15"/>
      <c r="C273" s="15"/>
      <c r="D273" s="5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customFormat="false" ht="15.75" hidden="false" customHeight="true" outlineLevel="0" collapsed="false">
      <c r="A274" s="15"/>
      <c r="B274" s="15"/>
      <c r="C274" s="15"/>
      <c r="D274" s="5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customFormat="false" ht="15.75" hidden="false" customHeight="true" outlineLevel="0" collapsed="false">
      <c r="A275" s="15"/>
      <c r="B275" s="15"/>
      <c r="C275" s="15"/>
      <c r="D275" s="5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customFormat="false" ht="15.75" hidden="false" customHeight="true" outlineLevel="0" collapsed="false">
      <c r="A276" s="15"/>
      <c r="B276" s="15"/>
      <c r="C276" s="15"/>
      <c r="D276" s="5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customFormat="false" ht="15.75" hidden="false" customHeight="true" outlineLevel="0" collapsed="false">
      <c r="A277" s="15"/>
      <c r="B277" s="15"/>
      <c r="C277" s="15"/>
      <c r="D277" s="5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customFormat="false" ht="15.75" hidden="false" customHeight="true" outlineLevel="0" collapsed="false">
      <c r="A278" s="15"/>
      <c r="B278" s="15"/>
      <c r="C278" s="15"/>
      <c r="D278" s="5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customFormat="false" ht="15.75" hidden="false" customHeight="true" outlineLevel="0" collapsed="false">
      <c r="A279" s="15"/>
      <c r="B279" s="15"/>
      <c r="C279" s="15"/>
      <c r="D279" s="5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customFormat="false" ht="15.75" hidden="false" customHeight="true" outlineLevel="0" collapsed="false">
      <c r="A280" s="15"/>
      <c r="B280" s="15"/>
      <c r="C280" s="15"/>
      <c r="D280" s="5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customFormat="false" ht="15.75" hidden="false" customHeight="true" outlineLevel="0" collapsed="false">
      <c r="A281" s="15"/>
      <c r="B281" s="15"/>
      <c r="C281" s="15"/>
      <c r="D281" s="5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customFormat="false" ht="15.75" hidden="false" customHeight="true" outlineLevel="0" collapsed="false">
      <c r="A282" s="15"/>
      <c r="B282" s="15"/>
      <c r="C282" s="15"/>
      <c r="D282" s="5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customFormat="false" ht="15.75" hidden="false" customHeight="true" outlineLevel="0" collapsed="false">
      <c r="A283" s="15"/>
      <c r="B283" s="15"/>
      <c r="C283" s="15"/>
      <c r="D283" s="5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customFormat="false" ht="15.75" hidden="false" customHeight="true" outlineLevel="0" collapsed="false">
      <c r="A284" s="15"/>
      <c r="B284" s="15"/>
      <c r="C284" s="15"/>
      <c r="D284" s="5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customFormat="false" ht="15.75" hidden="false" customHeight="true" outlineLevel="0" collapsed="false">
      <c r="A285" s="15"/>
      <c r="B285" s="15"/>
      <c r="C285" s="15"/>
      <c r="D285" s="5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customFormat="false" ht="15.75" hidden="false" customHeight="true" outlineLevel="0" collapsed="false">
      <c r="A286" s="15"/>
      <c r="B286" s="15"/>
      <c r="C286" s="15"/>
      <c r="D286" s="5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customFormat="false" ht="15.75" hidden="false" customHeight="true" outlineLevel="0" collapsed="false">
      <c r="A287" s="15"/>
      <c r="B287" s="15"/>
      <c r="C287" s="15"/>
      <c r="D287" s="5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customFormat="false" ht="15.75" hidden="false" customHeight="true" outlineLevel="0" collapsed="false">
      <c r="A288" s="15"/>
      <c r="B288" s="15"/>
      <c r="C288" s="15"/>
      <c r="D288" s="5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customFormat="false" ht="15.75" hidden="false" customHeight="true" outlineLevel="0" collapsed="false">
      <c r="A289" s="15"/>
      <c r="B289" s="15"/>
      <c r="C289" s="15"/>
      <c r="D289" s="5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customFormat="false" ht="15.75" hidden="false" customHeight="true" outlineLevel="0" collapsed="false">
      <c r="A290" s="15"/>
      <c r="B290" s="15"/>
      <c r="C290" s="15"/>
      <c r="D290" s="5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customFormat="false" ht="15.75" hidden="false" customHeight="true" outlineLevel="0" collapsed="false">
      <c r="A291" s="15"/>
      <c r="B291" s="15"/>
      <c r="C291" s="15"/>
      <c r="D291" s="5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customFormat="false" ht="15.75" hidden="false" customHeight="true" outlineLevel="0" collapsed="false">
      <c r="A292" s="15"/>
      <c r="B292" s="15"/>
      <c r="C292" s="15"/>
      <c r="D292" s="5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customFormat="false" ht="15.75" hidden="false" customHeight="true" outlineLevel="0" collapsed="false">
      <c r="A293" s="15"/>
      <c r="B293" s="15"/>
      <c r="C293" s="15"/>
      <c r="D293" s="5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customFormat="false" ht="15.75" hidden="false" customHeight="true" outlineLevel="0" collapsed="false">
      <c r="A294" s="15"/>
      <c r="B294" s="15"/>
      <c r="C294" s="15"/>
      <c r="D294" s="5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customFormat="false" ht="15.75" hidden="false" customHeight="true" outlineLevel="0" collapsed="false">
      <c r="A295" s="15"/>
      <c r="B295" s="15"/>
      <c r="C295" s="15"/>
      <c r="D295" s="5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customFormat="false" ht="15.75" hidden="false" customHeight="true" outlineLevel="0" collapsed="false">
      <c r="A296" s="15"/>
      <c r="B296" s="15"/>
      <c r="C296" s="15"/>
      <c r="D296" s="5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customFormat="false" ht="15.75" hidden="false" customHeight="true" outlineLevel="0" collapsed="false">
      <c r="A297" s="15"/>
      <c r="B297" s="15"/>
      <c r="C297" s="15"/>
      <c r="D297" s="5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customFormat="false" ht="15.75" hidden="false" customHeight="true" outlineLevel="0" collapsed="false">
      <c r="A298" s="15"/>
      <c r="B298" s="15"/>
      <c r="C298" s="15"/>
      <c r="D298" s="5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customFormat="false" ht="15.75" hidden="false" customHeight="true" outlineLevel="0" collapsed="false">
      <c r="A299" s="15"/>
      <c r="B299" s="15"/>
      <c r="C299" s="15"/>
      <c r="D299" s="5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customFormat="false" ht="15.75" hidden="false" customHeight="true" outlineLevel="0" collapsed="false">
      <c r="A300" s="15"/>
      <c r="B300" s="15"/>
      <c r="C300" s="15"/>
      <c r="D300" s="5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customFormat="false" ht="15.75" hidden="false" customHeight="true" outlineLevel="0" collapsed="false">
      <c r="A301" s="15"/>
      <c r="B301" s="15"/>
      <c r="C301" s="15"/>
      <c r="D301" s="5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customFormat="false" ht="15.75" hidden="false" customHeight="true" outlineLevel="0" collapsed="false">
      <c r="A302" s="15"/>
      <c r="B302" s="15"/>
      <c r="C302" s="15"/>
      <c r="D302" s="5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customFormat="false" ht="15.75" hidden="false" customHeight="true" outlineLevel="0" collapsed="false">
      <c r="A303" s="15"/>
      <c r="B303" s="15"/>
      <c r="C303" s="15"/>
      <c r="D303" s="5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customFormat="false" ht="15.75" hidden="false" customHeight="true" outlineLevel="0" collapsed="false">
      <c r="A304" s="15"/>
      <c r="B304" s="15"/>
      <c r="C304" s="15"/>
      <c r="D304" s="5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customFormat="false" ht="15.75" hidden="false" customHeight="true" outlineLevel="0" collapsed="false">
      <c r="A305" s="15"/>
      <c r="B305" s="15"/>
      <c r="C305" s="15"/>
      <c r="D305" s="5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customFormat="false" ht="15.75" hidden="false" customHeight="true" outlineLevel="0" collapsed="false">
      <c r="A306" s="15"/>
      <c r="B306" s="15"/>
      <c r="C306" s="15"/>
      <c r="D306" s="5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customFormat="false" ht="15.75" hidden="false" customHeight="true" outlineLevel="0" collapsed="false">
      <c r="A307" s="15"/>
      <c r="B307" s="15"/>
      <c r="C307" s="15"/>
      <c r="D307" s="5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customFormat="false" ht="15.75" hidden="false" customHeight="true" outlineLevel="0" collapsed="false">
      <c r="A308" s="15"/>
      <c r="B308" s="15"/>
      <c r="C308" s="15"/>
      <c r="D308" s="5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customFormat="false" ht="15.75" hidden="false" customHeight="true" outlineLevel="0" collapsed="false">
      <c r="A309" s="15"/>
      <c r="B309" s="15"/>
      <c r="C309" s="15"/>
      <c r="D309" s="5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customFormat="false" ht="15.75" hidden="false" customHeight="true" outlineLevel="0" collapsed="false">
      <c r="A310" s="15"/>
      <c r="B310" s="15"/>
      <c r="C310" s="15"/>
      <c r="D310" s="5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customFormat="false" ht="15.75" hidden="false" customHeight="true" outlineLevel="0" collapsed="false">
      <c r="A311" s="15"/>
      <c r="B311" s="15"/>
      <c r="C311" s="15"/>
      <c r="D311" s="5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customFormat="false" ht="15.75" hidden="false" customHeight="true" outlineLevel="0" collapsed="false">
      <c r="A312" s="15"/>
      <c r="B312" s="15"/>
      <c r="C312" s="15"/>
      <c r="D312" s="5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customFormat="false" ht="15.75" hidden="false" customHeight="true" outlineLevel="0" collapsed="false">
      <c r="A313" s="15"/>
      <c r="B313" s="15"/>
      <c r="C313" s="15"/>
      <c r="D313" s="5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customFormat="false" ht="15.75" hidden="false" customHeight="true" outlineLevel="0" collapsed="false">
      <c r="A314" s="15"/>
      <c r="B314" s="15"/>
      <c r="C314" s="15"/>
      <c r="D314" s="5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customFormat="false" ht="15.75" hidden="false" customHeight="true" outlineLevel="0" collapsed="false">
      <c r="A315" s="15"/>
      <c r="B315" s="15"/>
      <c r="C315" s="15"/>
      <c r="D315" s="5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customFormat="false" ht="15.75" hidden="false" customHeight="true" outlineLevel="0" collapsed="false">
      <c r="A316" s="15"/>
      <c r="B316" s="15"/>
      <c r="C316" s="15"/>
      <c r="D316" s="5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customFormat="false" ht="15.75" hidden="false" customHeight="true" outlineLevel="0" collapsed="false">
      <c r="A317" s="15"/>
      <c r="B317" s="15"/>
      <c r="C317" s="15"/>
      <c r="D317" s="5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customFormat="false" ht="15.75" hidden="false" customHeight="true" outlineLevel="0" collapsed="false">
      <c r="A318" s="15"/>
      <c r="B318" s="15"/>
      <c r="C318" s="15"/>
      <c r="D318" s="5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customFormat="false" ht="15.75" hidden="false" customHeight="true" outlineLevel="0" collapsed="false">
      <c r="A319" s="15"/>
      <c r="B319" s="15"/>
      <c r="C319" s="15"/>
      <c r="D319" s="5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customFormat="false" ht="15.75" hidden="false" customHeight="true" outlineLevel="0" collapsed="false">
      <c r="A320" s="15"/>
      <c r="B320" s="15"/>
      <c r="C320" s="15"/>
      <c r="D320" s="5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customFormat="false" ht="15.75" hidden="false" customHeight="true" outlineLevel="0" collapsed="false">
      <c r="A321" s="15"/>
      <c r="B321" s="15"/>
      <c r="C321" s="15"/>
      <c r="D321" s="5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customFormat="false" ht="15.75" hidden="false" customHeight="true" outlineLevel="0" collapsed="false">
      <c r="A322" s="15"/>
      <c r="B322" s="15"/>
      <c r="C322" s="15"/>
      <c r="D322" s="5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customFormat="false" ht="15.75" hidden="false" customHeight="true" outlineLevel="0" collapsed="false">
      <c r="A323" s="15"/>
      <c r="B323" s="15"/>
      <c r="C323" s="15"/>
      <c r="D323" s="5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customFormat="false" ht="15.75" hidden="false" customHeight="true" outlineLevel="0" collapsed="false">
      <c r="A324" s="15"/>
      <c r="B324" s="15"/>
      <c r="C324" s="15"/>
      <c r="D324" s="5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customFormat="false" ht="15.75" hidden="false" customHeight="true" outlineLevel="0" collapsed="false">
      <c r="A325" s="15"/>
      <c r="B325" s="15"/>
      <c r="C325" s="15"/>
      <c r="D325" s="5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customFormat="false" ht="15.75" hidden="false" customHeight="true" outlineLevel="0" collapsed="false">
      <c r="A326" s="15"/>
      <c r="B326" s="15"/>
      <c r="C326" s="15"/>
      <c r="D326" s="5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customFormat="false" ht="15.75" hidden="false" customHeight="true" outlineLevel="0" collapsed="false">
      <c r="A327" s="15"/>
      <c r="B327" s="15"/>
      <c r="C327" s="15"/>
      <c r="D327" s="5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customFormat="false" ht="15.75" hidden="false" customHeight="true" outlineLevel="0" collapsed="false">
      <c r="A328" s="15"/>
      <c r="B328" s="15"/>
      <c r="C328" s="15"/>
      <c r="D328" s="5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customFormat="false" ht="15.75" hidden="false" customHeight="true" outlineLevel="0" collapsed="false">
      <c r="A329" s="15"/>
      <c r="B329" s="15"/>
      <c r="C329" s="15"/>
      <c r="D329" s="5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customFormat="false" ht="15.75" hidden="false" customHeight="true" outlineLevel="0" collapsed="false">
      <c r="A330" s="15"/>
      <c r="B330" s="15"/>
      <c r="C330" s="15"/>
      <c r="D330" s="5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customFormat="false" ht="15.75" hidden="false" customHeight="true" outlineLevel="0" collapsed="false">
      <c r="A331" s="15"/>
      <c r="B331" s="15"/>
      <c r="C331" s="15"/>
      <c r="D331" s="5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customFormat="false" ht="15.75" hidden="false" customHeight="true" outlineLevel="0" collapsed="false">
      <c r="A332" s="15"/>
      <c r="B332" s="15"/>
      <c r="C332" s="15"/>
      <c r="D332" s="5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customFormat="false" ht="15.75" hidden="false" customHeight="true" outlineLevel="0" collapsed="false">
      <c r="A333" s="15"/>
      <c r="B333" s="15"/>
      <c r="C333" s="15"/>
      <c r="D333" s="5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customFormat="false" ht="15.75" hidden="false" customHeight="true" outlineLevel="0" collapsed="false">
      <c r="A334" s="15"/>
      <c r="B334" s="15"/>
      <c r="C334" s="15"/>
      <c r="D334" s="5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customFormat="false" ht="15.75" hidden="false" customHeight="true" outlineLevel="0" collapsed="false">
      <c r="A335" s="15"/>
      <c r="B335" s="15"/>
      <c r="C335" s="15"/>
      <c r="D335" s="5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customFormat="false" ht="15.75" hidden="false" customHeight="true" outlineLevel="0" collapsed="false">
      <c r="A336" s="15"/>
      <c r="B336" s="15"/>
      <c r="C336" s="15"/>
      <c r="D336" s="5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customFormat="false" ht="15.75" hidden="false" customHeight="true" outlineLevel="0" collapsed="false">
      <c r="A337" s="15"/>
      <c r="B337" s="15"/>
      <c r="C337" s="15"/>
      <c r="D337" s="5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customFormat="false" ht="15.75" hidden="false" customHeight="true" outlineLevel="0" collapsed="false">
      <c r="A338" s="15"/>
      <c r="B338" s="15"/>
      <c r="C338" s="15"/>
      <c r="D338" s="5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customFormat="false" ht="15.75" hidden="false" customHeight="true" outlineLevel="0" collapsed="false">
      <c r="A339" s="15"/>
      <c r="B339" s="15"/>
      <c r="C339" s="15"/>
      <c r="D339" s="5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customFormat="false" ht="15.75" hidden="false" customHeight="true" outlineLevel="0" collapsed="false">
      <c r="A340" s="15"/>
      <c r="B340" s="15"/>
      <c r="C340" s="15"/>
      <c r="D340" s="5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customFormat="false" ht="15.75" hidden="false" customHeight="true" outlineLevel="0" collapsed="false">
      <c r="A341" s="15"/>
      <c r="B341" s="15"/>
      <c r="C341" s="15"/>
      <c r="D341" s="5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customFormat="false" ht="15.75" hidden="false" customHeight="true" outlineLevel="0" collapsed="false">
      <c r="A342" s="15"/>
      <c r="B342" s="15"/>
      <c r="C342" s="15"/>
      <c r="D342" s="5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customFormat="false" ht="15.75" hidden="false" customHeight="true" outlineLevel="0" collapsed="false">
      <c r="A343" s="15"/>
      <c r="B343" s="15"/>
      <c r="C343" s="15"/>
      <c r="D343" s="5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 customFormat="false" ht="15.75" hidden="false" customHeight="true" outlineLevel="0" collapsed="false">
      <c r="A344" s="15"/>
      <c r="B344" s="15"/>
      <c r="C344" s="15"/>
      <c r="D344" s="5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 customFormat="false" ht="15.75" hidden="false" customHeight="true" outlineLevel="0" collapsed="false">
      <c r="A345" s="15"/>
      <c r="B345" s="15"/>
      <c r="C345" s="15"/>
      <c r="D345" s="5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 customFormat="false" ht="15.75" hidden="false" customHeight="true" outlineLevel="0" collapsed="false">
      <c r="A346" s="15"/>
      <c r="B346" s="15"/>
      <c r="C346" s="15"/>
      <c r="D346" s="5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 customFormat="false" ht="15.75" hidden="false" customHeight="true" outlineLevel="0" collapsed="false">
      <c r="A347" s="15"/>
      <c r="B347" s="15"/>
      <c r="C347" s="15"/>
      <c r="D347" s="5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 customFormat="false" ht="15.75" hidden="false" customHeight="true" outlineLevel="0" collapsed="false">
      <c r="A348" s="15"/>
      <c r="B348" s="15"/>
      <c r="C348" s="15"/>
      <c r="D348" s="5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 customFormat="false" ht="15.75" hidden="false" customHeight="true" outlineLevel="0" collapsed="false">
      <c r="A349" s="15"/>
      <c r="B349" s="15"/>
      <c r="C349" s="15"/>
      <c r="D349" s="5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 customFormat="false" ht="15.75" hidden="false" customHeight="true" outlineLevel="0" collapsed="false">
      <c r="A350" s="15"/>
      <c r="B350" s="15"/>
      <c r="C350" s="15"/>
      <c r="D350" s="5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 customFormat="false" ht="15.75" hidden="false" customHeight="true" outlineLevel="0" collapsed="false">
      <c r="A351" s="15"/>
      <c r="B351" s="15"/>
      <c r="C351" s="15"/>
      <c r="D351" s="5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 customFormat="false" ht="15.75" hidden="false" customHeight="true" outlineLevel="0" collapsed="false">
      <c r="A352" s="15"/>
      <c r="B352" s="15"/>
      <c r="C352" s="15"/>
      <c r="D352" s="5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 customFormat="false" ht="15.75" hidden="false" customHeight="true" outlineLevel="0" collapsed="false">
      <c r="A353" s="15"/>
      <c r="B353" s="15"/>
      <c r="C353" s="15"/>
      <c r="D353" s="5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customFormat="false" ht="15.75" hidden="false" customHeight="true" outlineLevel="0" collapsed="false">
      <c r="A354" s="15"/>
      <c r="B354" s="15"/>
      <c r="C354" s="15"/>
      <c r="D354" s="5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 customFormat="false" ht="15.75" hidden="false" customHeight="true" outlineLevel="0" collapsed="false">
      <c r="A355" s="15"/>
      <c r="B355" s="15"/>
      <c r="C355" s="15"/>
      <c r="D355" s="5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 customFormat="false" ht="15.75" hidden="false" customHeight="true" outlineLevel="0" collapsed="false">
      <c r="A356" s="15"/>
      <c r="B356" s="15"/>
      <c r="C356" s="15"/>
      <c r="D356" s="5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 customFormat="false" ht="15.75" hidden="false" customHeight="true" outlineLevel="0" collapsed="false">
      <c r="A357" s="15"/>
      <c r="B357" s="15"/>
      <c r="C357" s="15"/>
      <c r="D357" s="5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 customFormat="false" ht="15.75" hidden="false" customHeight="true" outlineLevel="0" collapsed="false">
      <c r="A358" s="15"/>
      <c r="B358" s="15"/>
      <c r="C358" s="15"/>
      <c r="D358" s="5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 customFormat="false" ht="15.75" hidden="false" customHeight="true" outlineLevel="0" collapsed="false">
      <c r="A359" s="15"/>
      <c r="B359" s="15"/>
      <c r="C359" s="15"/>
      <c r="D359" s="5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 customFormat="false" ht="15.75" hidden="false" customHeight="true" outlineLevel="0" collapsed="false">
      <c r="A360" s="15"/>
      <c r="B360" s="15"/>
      <c r="C360" s="15"/>
      <c r="D360" s="5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 customFormat="false" ht="15.75" hidden="false" customHeight="true" outlineLevel="0" collapsed="false">
      <c r="A361" s="15"/>
      <c r="B361" s="15"/>
      <c r="C361" s="15"/>
      <c r="D361" s="5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 customFormat="false" ht="15.75" hidden="false" customHeight="true" outlineLevel="0" collapsed="false">
      <c r="A362" s="15"/>
      <c r="B362" s="15"/>
      <c r="C362" s="15"/>
      <c r="D362" s="5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 customFormat="false" ht="15.75" hidden="false" customHeight="true" outlineLevel="0" collapsed="false">
      <c r="A363" s="15"/>
      <c r="B363" s="15"/>
      <c r="C363" s="15"/>
      <c r="D363" s="5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 customFormat="false" ht="15.75" hidden="false" customHeight="true" outlineLevel="0" collapsed="false">
      <c r="A364" s="15"/>
      <c r="B364" s="15"/>
      <c r="C364" s="15"/>
      <c r="D364" s="5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 customFormat="false" ht="15.75" hidden="false" customHeight="true" outlineLevel="0" collapsed="false">
      <c r="A365" s="15"/>
      <c r="B365" s="15"/>
      <c r="C365" s="15"/>
      <c r="D365" s="5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 customFormat="false" ht="15.75" hidden="false" customHeight="true" outlineLevel="0" collapsed="false">
      <c r="A366" s="15"/>
      <c r="B366" s="15"/>
      <c r="C366" s="15"/>
      <c r="D366" s="5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 customFormat="false" ht="15.75" hidden="false" customHeight="true" outlineLevel="0" collapsed="false">
      <c r="A367" s="15"/>
      <c r="B367" s="15"/>
      <c r="C367" s="15"/>
      <c r="D367" s="5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 customFormat="false" ht="15.75" hidden="false" customHeight="true" outlineLevel="0" collapsed="false">
      <c r="A368" s="15"/>
      <c r="B368" s="15"/>
      <c r="C368" s="15"/>
      <c r="D368" s="5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 customFormat="false" ht="15.75" hidden="false" customHeight="true" outlineLevel="0" collapsed="false">
      <c r="A369" s="15"/>
      <c r="B369" s="15"/>
      <c r="C369" s="15"/>
      <c r="D369" s="5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 customFormat="false" ht="15.75" hidden="false" customHeight="true" outlineLevel="0" collapsed="false">
      <c r="A370" s="15"/>
      <c r="B370" s="15"/>
      <c r="C370" s="15"/>
      <c r="D370" s="5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 customFormat="false" ht="15.75" hidden="false" customHeight="true" outlineLevel="0" collapsed="false">
      <c r="A371" s="15"/>
      <c r="B371" s="15"/>
      <c r="C371" s="15"/>
      <c r="D371" s="5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 customFormat="false" ht="15.75" hidden="false" customHeight="true" outlineLevel="0" collapsed="false">
      <c r="A372" s="15"/>
      <c r="B372" s="15"/>
      <c r="C372" s="15"/>
      <c r="D372" s="5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 customFormat="false" ht="15.75" hidden="false" customHeight="true" outlineLevel="0" collapsed="false">
      <c r="A373" s="15"/>
      <c r="B373" s="15"/>
      <c r="C373" s="15"/>
      <c r="D373" s="5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 customFormat="false" ht="15.75" hidden="false" customHeight="true" outlineLevel="0" collapsed="false">
      <c r="A374" s="15"/>
      <c r="B374" s="15"/>
      <c r="C374" s="15"/>
      <c r="D374" s="5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 customFormat="false" ht="15.75" hidden="false" customHeight="true" outlineLevel="0" collapsed="false">
      <c r="A375" s="15"/>
      <c r="B375" s="15"/>
      <c r="C375" s="15"/>
      <c r="D375" s="5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customFormat="false" ht="15.75" hidden="false" customHeight="true" outlineLevel="0" collapsed="false">
      <c r="A376" s="15"/>
      <c r="B376" s="15"/>
      <c r="C376" s="15"/>
      <c r="D376" s="5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 customFormat="false" ht="15.75" hidden="false" customHeight="true" outlineLevel="0" collapsed="false">
      <c r="A377" s="15"/>
      <c r="B377" s="15"/>
      <c r="C377" s="15"/>
      <c r="D377" s="5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 customFormat="false" ht="15.75" hidden="false" customHeight="true" outlineLevel="0" collapsed="false">
      <c r="A378" s="15"/>
      <c r="B378" s="15"/>
      <c r="C378" s="15"/>
      <c r="D378" s="5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 customFormat="false" ht="15.75" hidden="false" customHeight="true" outlineLevel="0" collapsed="false">
      <c r="A379" s="15"/>
      <c r="B379" s="15"/>
      <c r="C379" s="15"/>
      <c r="D379" s="5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 customFormat="false" ht="15.75" hidden="false" customHeight="true" outlineLevel="0" collapsed="false">
      <c r="A380" s="15"/>
      <c r="B380" s="15"/>
      <c r="C380" s="15"/>
      <c r="D380" s="5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 customFormat="false" ht="15.75" hidden="false" customHeight="true" outlineLevel="0" collapsed="false">
      <c r="A381" s="15"/>
      <c r="B381" s="15"/>
      <c r="C381" s="15"/>
      <c r="D381" s="5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 customFormat="false" ht="15.75" hidden="false" customHeight="true" outlineLevel="0" collapsed="false">
      <c r="A382" s="15"/>
      <c r="B382" s="15"/>
      <c r="C382" s="15"/>
      <c r="D382" s="5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 customFormat="false" ht="15.75" hidden="false" customHeight="true" outlineLevel="0" collapsed="false">
      <c r="A383" s="15"/>
      <c r="B383" s="15"/>
      <c r="C383" s="15"/>
      <c r="D383" s="5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 customFormat="false" ht="15.75" hidden="false" customHeight="true" outlineLevel="0" collapsed="false">
      <c r="A384" s="15"/>
      <c r="B384" s="15"/>
      <c r="C384" s="15"/>
      <c r="D384" s="5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 customFormat="false" ht="15.75" hidden="false" customHeight="true" outlineLevel="0" collapsed="false">
      <c r="A385" s="15"/>
      <c r="B385" s="15"/>
      <c r="C385" s="15"/>
      <c r="D385" s="5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 customFormat="false" ht="15.75" hidden="false" customHeight="true" outlineLevel="0" collapsed="false">
      <c r="A386" s="15"/>
      <c r="B386" s="15"/>
      <c r="C386" s="15"/>
      <c r="D386" s="5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 customFormat="false" ht="15.75" hidden="false" customHeight="true" outlineLevel="0" collapsed="false">
      <c r="A387" s="15"/>
      <c r="B387" s="15"/>
      <c r="C387" s="15"/>
      <c r="D387" s="5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 customFormat="false" ht="15.75" hidden="false" customHeight="true" outlineLevel="0" collapsed="false">
      <c r="A388" s="15"/>
      <c r="B388" s="15"/>
      <c r="C388" s="15"/>
      <c r="D388" s="5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 customFormat="false" ht="15.75" hidden="false" customHeight="true" outlineLevel="0" collapsed="false">
      <c r="A389" s="15"/>
      <c r="B389" s="15"/>
      <c r="C389" s="15"/>
      <c r="D389" s="5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 customFormat="false" ht="15.75" hidden="false" customHeight="true" outlineLevel="0" collapsed="false">
      <c r="A390" s="15"/>
      <c r="B390" s="15"/>
      <c r="C390" s="15"/>
      <c r="D390" s="5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 customFormat="false" ht="15.75" hidden="false" customHeight="true" outlineLevel="0" collapsed="false">
      <c r="A391" s="15"/>
      <c r="B391" s="15"/>
      <c r="C391" s="15"/>
      <c r="D391" s="5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 customFormat="false" ht="15.75" hidden="false" customHeight="true" outlineLevel="0" collapsed="false">
      <c r="A392" s="15"/>
      <c r="B392" s="15"/>
      <c r="C392" s="15"/>
      <c r="D392" s="5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 customFormat="false" ht="15.75" hidden="false" customHeight="true" outlineLevel="0" collapsed="false">
      <c r="A393" s="15"/>
      <c r="B393" s="15"/>
      <c r="C393" s="15"/>
      <c r="D393" s="5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 customFormat="false" ht="15.75" hidden="false" customHeight="true" outlineLevel="0" collapsed="false">
      <c r="A394" s="15"/>
      <c r="B394" s="15"/>
      <c r="C394" s="15"/>
      <c r="D394" s="5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 customFormat="false" ht="15.75" hidden="false" customHeight="true" outlineLevel="0" collapsed="false">
      <c r="A395" s="15"/>
      <c r="B395" s="15"/>
      <c r="C395" s="15"/>
      <c r="D395" s="5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 customFormat="false" ht="15.75" hidden="false" customHeight="true" outlineLevel="0" collapsed="false">
      <c r="A396" s="15"/>
      <c r="B396" s="15"/>
      <c r="C396" s="15"/>
      <c r="D396" s="5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 customFormat="false" ht="15.75" hidden="false" customHeight="true" outlineLevel="0" collapsed="false">
      <c r="A397" s="15"/>
      <c r="B397" s="15"/>
      <c r="C397" s="15"/>
      <c r="D397" s="5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customFormat="false" ht="15.75" hidden="false" customHeight="true" outlineLevel="0" collapsed="false">
      <c r="A398" s="15"/>
      <c r="B398" s="15"/>
      <c r="C398" s="15"/>
      <c r="D398" s="5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 customFormat="false" ht="15.75" hidden="false" customHeight="true" outlineLevel="0" collapsed="false">
      <c r="A399" s="15"/>
      <c r="B399" s="15"/>
      <c r="C399" s="15"/>
      <c r="D399" s="5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 customFormat="false" ht="15.75" hidden="false" customHeight="true" outlineLevel="0" collapsed="false">
      <c r="A400" s="15"/>
      <c r="B400" s="15"/>
      <c r="C400" s="15"/>
      <c r="D400" s="5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 customFormat="false" ht="15.75" hidden="false" customHeight="true" outlineLevel="0" collapsed="false">
      <c r="A401" s="15"/>
      <c r="B401" s="15"/>
      <c r="C401" s="15"/>
      <c r="D401" s="5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 customFormat="false" ht="15.75" hidden="false" customHeight="true" outlineLevel="0" collapsed="false">
      <c r="A402" s="15"/>
      <c r="B402" s="15"/>
      <c r="C402" s="15"/>
      <c r="D402" s="5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 customFormat="false" ht="15.75" hidden="false" customHeight="true" outlineLevel="0" collapsed="false">
      <c r="A403" s="15"/>
      <c r="B403" s="15"/>
      <c r="C403" s="15"/>
      <c r="D403" s="5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 customFormat="false" ht="15.75" hidden="false" customHeight="true" outlineLevel="0" collapsed="false">
      <c r="A404" s="15"/>
      <c r="B404" s="15"/>
      <c r="C404" s="15"/>
      <c r="D404" s="5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 customFormat="false" ht="15.75" hidden="false" customHeight="true" outlineLevel="0" collapsed="false">
      <c r="A405" s="15"/>
      <c r="B405" s="15"/>
      <c r="C405" s="15"/>
      <c r="D405" s="5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 customFormat="false" ht="15.75" hidden="false" customHeight="true" outlineLevel="0" collapsed="false">
      <c r="A406" s="15"/>
      <c r="B406" s="15"/>
      <c r="C406" s="15"/>
      <c r="D406" s="5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 customFormat="false" ht="15.75" hidden="false" customHeight="true" outlineLevel="0" collapsed="false">
      <c r="A407" s="15"/>
      <c r="B407" s="15"/>
      <c r="C407" s="15"/>
      <c r="D407" s="5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 customFormat="false" ht="15.75" hidden="false" customHeight="true" outlineLevel="0" collapsed="false">
      <c r="A408" s="15"/>
      <c r="B408" s="15"/>
      <c r="C408" s="15"/>
      <c r="D408" s="5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 customFormat="false" ht="15.75" hidden="false" customHeight="true" outlineLevel="0" collapsed="false">
      <c r="A409" s="15"/>
      <c r="B409" s="15"/>
      <c r="C409" s="15"/>
      <c r="D409" s="5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 customFormat="false" ht="15.75" hidden="false" customHeight="true" outlineLevel="0" collapsed="false">
      <c r="A410" s="15"/>
      <c r="B410" s="15"/>
      <c r="C410" s="15"/>
      <c r="D410" s="5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 customFormat="false" ht="15.75" hidden="false" customHeight="true" outlineLevel="0" collapsed="false">
      <c r="A411" s="15"/>
      <c r="B411" s="15"/>
      <c r="C411" s="15"/>
      <c r="D411" s="5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 customFormat="false" ht="15.75" hidden="false" customHeight="true" outlineLevel="0" collapsed="false">
      <c r="A412" s="15"/>
      <c r="B412" s="15"/>
      <c r="C412" s="15"/>
      <c r="D412" s="5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 customFormat="false" ht="15.75" hidden="false" customHeight="true" outlineLevel="0" collapsed="false">
      <c r="A413" s="15"/>
      <c r="B413" s="15"/>
      <c r="C413" s="15"/>
      <c r="D413" s="5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 customFormat="false" ht="15.75" hidden="false" customHeight="true" outlineLevel="0" collapsed="false">
      <c r="A414" s="15"/>
      <c r="B414" s="15"/>
      <c r="C414" s="15"/>
      <c r="D414" s="5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 customFormat="false" ht="15.75" hidden="false" customHeight="true" outlineLevel="0" collapsed="false">
      <c r="A415" s="15"/>
      <c r="B415" s="15"/>
      <c r="C415" s="15"/>
      <c r="D415" s="5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 customFormat="false" ht="15.75" hidden="false" customHeight="true" outlineLevel="0" collapsed="false">
      <c r="A416" s="15"/>
      <c r="B416" s="15"/>
      <c r="C416" s="15"/>
      <c r="D416" s="5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 customFormat="false" ht="15.75" hidden="false" customHeight="true" outlineLevel="0" collapsed="false">
      <c r="A417" s="15"/>
      <c r="B417" s="15"/>
      <c r="C417" s="15"/>
      <c r="D417" s="5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 customFormat="false" ht="15.75" hidden="false" customHeight="true" outlineLevel="0" collapsed="false">
      <c r="A418" s="15"/>
      <c r="B418" s="15"/>
      <c r="C418" s="15"/>
      <c r="D418" s="5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 customFormat="false" ht="15.75" hidden="false" customHeight="true" outlineLevel="0" collapsed="false">
      <c r="A419" s="15"/>
      <c r="B419" s="15"/>
      <c r="C419" s="15"/>
      <c r="D419" s="5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 customFormat="false" ht="15.75" hidden="false" customHeight="true" outlineLevel="0" collapsed="false">
      <c r="A420" s="15"/>
      <c r="B420" s="15"/>
      <c r="C420" s="15"/>
      <c r="D420" s="5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 customFormat="false" ht="15.75" hidden="false" customHeight="true" outlineLevel="0" collapsed="false">
      <c r="A421" s="15"/>
      <c r="B421" s="15"/>
      <c r="C421" s="15"/>
      <c r="D421" s="5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 customFormat="false" ht="15.75" hidden="false" customHeight="true" outlineLevel="0" collapsed="false">
      <c r="A422" s="15"/>
      <c r="B422" s="15"/>
      <c r="C422" s="15"/>
      <c r="D422" s="5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 customFormat="false" ht="15.75" hidden="false" customHeight="true" outlineLevel="0" collapsed="false">
      <c r="A423" s="15"/>
      <c r="B423" s="15"/>
      <c r="C423" s="15"/>
      <c r="D423" s="5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 customFormat="false" ht="15.75" hidden="false" customHeight="true" outlineLevel="0" collapsed="false">
      <c r="A424" s="15"/>
      <c r="B424" s="15"/>
      <c r="C424" s="15"/>
      <c r="D424" s="5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 customFormat="false" ht="15.75" hidden="false" customHeight="true" outlineLevel="0" collapsed="false">
      <c r="A425" s="15"/>
      <c r="B425" s="15"/>
      <c r="C425" s="15"/>
      <c r="D425" s="5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 customFormat="false" ht="15.75" hidden="false" customHeight="true" outlineLevel="0" collapsed="false">
      <c r="A426" s="15"/>
      <c r="B426" s="15"/>
      <c r="C426" s="15"/>
      <c r="D426" s="5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 customFormat="false" ht="15.75" hidden="false" customHeight="true" outlineLevel="0" collapsed="false">
      <c r="A427" s="15"/>
      <c r="B427" s="15"/>
      <c r="C427" s="15"/>
      <c r="D427" s="5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 customFormat="false" ht="15.75" hidden="false" customHeight="true" outlineLevel="0" collapsed="false">
      <c r="A428" s="15"/>
      <c r="B428" s="15"/>
      <c r="C428" s="15"/>
      <c r="D428" s="5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 customFormat="false" ht="15.75" hidden="false" customHeight="true" outlineLevel="0" collapsed="false">
      <c r="A429" s="15"/>
      <c r="B429" s="15"/>
      <c r="C429" s="15"/>
      <c r="D429" s="5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 customFormat="false" ht="15.75" hidden="false" customHeight="true" outlineLevel="0" collapsed="false">
      <c r="A430" s="15"/>
      <c r="B430" s="15"/>
      <c r="C430" s="15"/>
      <c r="D430" s="5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 customFormat="false" ht="15.75" hidden="false" customHeight="true" outlineLevel="0" collapsed="false">
      <c r="A431" s="15"/>
      <c r="B431" s="15"/>
      <c r="C431" s="15"/>
      <c r="D431" s="5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 customFormat="false" ht="15.75" hidden="false" customHeight="true" outlineLevel="0" collapsed="false">
      <c r="A432" s="15"/>
      <c r="B432" s="15"/>
      <c r="C432" s="15"/>
      <c r="D432" s="5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 customFormat="false" ht="15.75" hidden="false" customHeight="true" outlineLevel="0" collapsed="false">
      <c r="A433" s="15"/>
      <c r="B433" s="15"/>
      <c r="C433" s="15"/>
      <c r="D433" s="5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 customFormat="false" ht="15.75" hidden="false" customHeight="true" outlineLevel="0" collapsed="false">
      <c r="A434" s="15"/>
      <c r="B434" s="15"/>
      <c r="C434" s="15"/>
      <c r="D434" s="5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 customFormat="false" ht="15.75" hidden="false" customHeight="true" outlineLevel="0" collapsed="false">
      <c r="A435" s="15"/>
      <c r="B435" s="15"/>
      <c r="C435" s="15"/>
      <c r="D435" s="5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 customFormat="false" ht="15.75" hidden="false" customHeight="true" outlineLevel="0" collapsed="false">
      <c r="A436" s="15"/>
      <c r="B436" s="15"/>
      <c r="C436" s="15"/>
      <c r="D436" s="5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 customFormat="false" ht="15.75" hidden="false" customHeight="true" outlineLevel="0" collapsed="false">
      <c r="A437" s="15"/>
      <c r="B437" s="15"/>
      <c r="C437" s="15"/>
      <c r="D437" s="5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 customFormat="false" ht="15.75" hidden="false" customHeight="true" outlineLevel="0" collapsed="false">
      <c r="A438" s="15"/>
      <c r="B438" s="15"/>
      <c r="C438" s="15"/>
      <c r="D438" s="5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 customFormat="false" ht="15.75" hidden="false" customHeight="true" outlineLevel="0" collapsed="false">
      <c r="A439" s="15"/>
      <c r="B439" s="15"/>
      <c r="C439" s="15"/>
      <c r="D439" s="5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 customFormat="false" ht="15.75" hidden="false" customHeight="true" outlineLevel="0" collapsed="false">
      <c r="A440" s="15"/>
      <c r="B440" s="15"/>
      <c r="C440" s="15"/>
      <c r="D440" s="5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 customFormat="false" ht="15.75" hidden="false" customHeight="true" outlineLevel="0" collapsed="false">
      <c r="A441" s="15"/>
      <c r="B441" s="15"/>
      <c r="C441" s="15"/>
      <c r="D441" s="5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 customFormat="false" ht="15.75" hidden="false" customHeight="true" outlineLevel="0" collapsed="false">
      <c r="A442" s="15"/>
      <c r="B442" s="15"/>
      <c r="C442" s="15"/>
      <c r="D442" s="5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 customFormat="false" ht="15.75" hidden="false" customHeight="true" outlineLevel="0" collapsed="false">
      <c r="A443" s="15"/>
      <c r="B443" s="15"/>
      <c r="C443" s="15"/>
      <c r="D443" s="5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 customFormat="false" ht="15.75" hidden="false" customHeight="true" outlineLevel="0" collapsed="false">
      <c r="A444" s="15"/>
      <c r="B444" s="15"/>
      <c r="C444" s="15"/>
      <c r="D444" s="5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 customFormat="false" ht="15.75" hidden="false" customHeight="true" outlineLevel="0" collapsed="false">
      <c r="A445" s="15"/>
      <c r="B445" s="15"/>
      <c r="C445" s="15"/>
      <c r="D445" s="5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 customFormat="false" ht="15.75" hidden="false" customHeight="true" outlineLevel="0" collapsed="false">
      <c r="A446" s="15"/>
      <c r="B446" s="15"/>
      <c r="C446" s="15"/>
      <c r="D446" s="5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 customFormat="false" ht="15.75" hidden="false" customHeight="true" outlineLevel="0" collapsed="false">
      <c r="A447" s="15"/>
      <c r="B447" s="15"/>
      <c r="C447" s="15"/>
      <c r="D447" s="5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 customFormat="false" ht="15.75" hidden="false" customHeight="true" outlineLevel="0" collapsed="false">
      <c r="A448" s="15"/>
      <c r="B448" s="15"/>
      <c r="C448" s="15"/>
      <c r="D448" s="5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 customFormat="false" ht="15.75" hidden="false" customHeight="true" outlineLevel="0" collapsed="false">
      <c r="A449" s="15"/>
      <c r="B449" s="15"/>
      <c r="C449" s="15"/>
      <c r="D449" s="5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 customFormat="false" ht="15.75" hidden="false" customHeight="true" outlineLevel="0" collapsed="false">
      <c r="A450" s="15"/>
      <c r="B450" s="15"/>
      <c r="C450" s="15"/>
      <c r="D450" s="5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 customFormat="false" ht="15.75" hidden="false" customHeight="true" outlineLevel="0" collapsed="false">
      <c r="A451" s="15"/>
      <c r="B451" s="15"/>
      <c r="C451" s="15"/>
      <c r="D451" s="5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 customFormat="false" ht="15.75" hidden="false" customHeight="true" outlineLevel="0" collapsed="false">
      <c r="A452" s="15"/>
      <c r="B452" s="15"/>
      <c r="C452" s="15"/>
      <c r="D452" s="5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 customFormat="false" ht="15.75" hidden="false" customHeight="true" outlineLevel="0" collapsed="false">
      <c r="A453" s="15"/>
      <c r="B453" s="15"/>
      <c r="C453" s="15"/>
      <c r="D453" s="5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 customFormat="false" ht="15.75" hidden="false" customHeight="true" outlineLevel="0" collapsed="false">
      <c r="A454" s="15"/>
      <c r="B454" s="15"/>
      <c r="C454" s="15"/>
      <c r="D454" s="5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 customFormat="false" ht="15.75" hidden="false" customHeight="true" outlineLevel="0" collapsed="false">
      <c r="A455" s="15"/>
      <c r="B455" s="15"/>
      <c r="C455" s="15"/>
      <c r="D455" s="5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 customFormat="false" ht="15.75" hidden="false" customHeight="true" outlineLevel="0" collapsed="false">
      <c r="A456" s="15"/>
      <c r="B456" s="15"/>
      <c r="C456" s="15"/>
      <c r="D456" s="5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 customFormat="false" ht="15.75" hidden="false" customHeight="true" outlineLevel="0" collapsed="false">
      <c r="A457" s="15"/>
      <c r="B457" s="15"/>
      <c r="C457" s="15"/>
      <c r="D457" s="5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 customFormat="false" ht="15.75" hidden="false" customHeight="true" outlineLevel="0" collapsed="false">
      <c r="A458" s="15"/>
      <c r="B458" s="15"/>
      <c r="C458" s="15"/>
      <c r="D458" s="5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 customFormat="false" ht="15.75" hidden="false" customHeight="true" outlineLevel="0" collapsed="false">
      <c r="A459" s="15"/>
      <c r="B459" s="15"/>
      <c r="C459" s="15"/>
      <c r="D459" s="5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 customFormat="false" ht="15.75" hidden="false" customHeight="true" outlineLevel="0" collapsed="false">
      <c r="A460" s="15"/>
      <c r="B460" s="15"/>
      <c r="C460" s="15"/>
      <c r="D460" s="5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 customFormat="false" ht="15.75" hidden="false" customHeight="true" outlineLevel="0" collapsed="false">
      <c r="A461" s="15"/>
      <c r="B461" s="15"/>
      <c r="C461" s="15"/>
      <c r="D461" s="5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 customFormat="false" ht="15.75" hidden="false" customHeight="true" outlineLevel="0" collapsed="false">
      <c r="A462" s="15"/>
      <c r="B462" s="15"/>
      <c r="C462" s="15"/>
      <c r="D462" s="5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 customFormat="false" ht="15.75" hidden="false" customHeight="true" outlineLevel="0" collapsed="false">
      <c r="A463" s="15"/>
      <c r="B463" s="15"/>
      <c r="C463" s="15"/>
      <c r="D463" s="5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 customFormat="false" ht="15.75" hidden="false" customHeight="true" outlineLevel="0" collapsed="false">
      <c r="A464" s="15"/>
      <c r="B464" s="15"/>
      <c r="C464" s="15"/>
      <c r="D464" s="5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 customFormat="false" ht="15.75" hidden="false" customHeight="true" outlineLevel="0" collapsed="false">
      <c r="A465" s="15"/>
      <c r="B465" s="15"/>
      <c r="C465" s="15"/>
      <c r="D465" s="5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 customFormat="false" ht="15.75" hidden="false" customHeight="true" outlineLevel="0" collapsed="false">
      <c r="A466" s="15"/>
      <c r="B466" s="15"/>
      <c r="C466" s="15"/>
      <c r="D466" s="5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 customFormat="false" ht="15.75" hidden="false" customHeight="true" outlineLevel="0" collapsed="false">
      <c r="A467" s="15"/>
      <c r="B467" s="15"/>
      <c r="C467" s="15"/>
      <c r="D467" s="5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 customFormat="false" ht="15.75" hidden="false" customHeight="true" outlineLevel="0" collapsed="false">
      <c r="A468" s="15"/>
      <c r="B468" s="15"/>
      <c r="C468" s="15"/>
      <c r="D468" s="5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 customFormat="false" ht="15.75" hidden="false" customHeight="true" outlineLevel="0" collapsed="false">
      <c r="A469" s="15"/>
      <c r="B469" s="15"/>
      <c r="C469" s="15"/>
      <c r="D469" s="5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 customFormat="false" ht="15.75" hidden="false" customHeight="true" outlineLevel="0" collapsed="false">
      <c r="A470" s="15"/>
      <c r="B470" s="15"/>
      <c r="C470" s="15"/>
      <c r="D470" s="5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 customFormat="false" ht="15.75" hidden="false" customHeight="true" outlineLevel="0" collapsed="false">
      <c r="A471" s="15"/>
      <c r="B471" s="15"/>
      <c r="C471" s="15"/>
      <c r="D471" s="5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 customFormat="false" ht="15.75" hidden="false" customHeight="true" outlineLevel="0" collapsed="false">
      <c r="A472" s="15"/>
      <c r="B472" s="15"/>
      <c r="C472" s="15"/>
      <c r="D472" s="5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 customFormat="false" ht="15.75" hidden="false" customHeight="true" outlineLevel="0" collapsed="false">
      <c r="A473" s="15"/>
      <c r="B473" s="15"/>
      <c r="C473" s="15"/>
      <c r="D473" s="5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 customFormat="false" ht="15.75" hidden="false" customHeight="true" outlineLevel="0" collapsed="false">
      <c r="A474" s="15"/>
      <c r="B474" s="15"/>
      <c r="C474" s="15"/>
      <c r="D474" s="5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 customFormat="false" ht="15.75" hidden="false" customHeight="true" outlineLevel="0" collapsed="false">
      <c r="A475" s="15"/>
      <c r="B475" s="15"/>
      <c r="C475" s="15"/>
      <c r="D475" s="5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 customFormat="false" ht="15.75" hidden="false" customHeight="true" outlineLevel="0" collapsed="false">
      <c r="A476" s="15"/>
      <c r="B476" s="15"/>
      <c r="C476" s="15"/>
      <c r="D476" s="5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 customFormat="false" ht="15.75" hidden="false" customHeight="true" outlineLevel="0" collapsed="false">
      <c r="A477" s="15"/>
      <c r="B477" s="15"/>
      <c r="C477" s="15"/>
      <c r="D477" s="5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 customFormat="false" ht="15.75" hidden="false" customHeight="true" outlineLevel="0" collapsed="false">
      <c r="A478" s="15"/>
      <c r="B478" s="15"/>
      <c r="C478" s="15"/>
      <c r="D478" s="5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 customFormat="false" ht="15.75" hidden="false" customHeight="true" outlineLevel="0" collapsed="false">
      <c r="A479" s="15"/>
      <c r="B479" s="15"/>
      <c r="C479" s="15"/>
      <c r="D479" s="5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 customFormat="false" ht="15.75" hidden="false" customHeight="true" outlineLevel="0" collapsed="false">
      <c r="A480" s="15"/>
      <c r="B480" s="15"/>
      <c r="C480" s="15"/>
      <c r="D480" s="5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 customFormat="false" ht="15.75" hidden="false" customHeight="true" outlineLevel="0" collapsed="false">
      <c r="A481" s="15"/>
      <c r="B481" s="15"/>
      <c r="C481" s="15"/>
      <c r="D481" s="5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 customFormat="false" ht="15.75" hidden="false" customHeight="true" outlineLevel="0" collapsed="false">
      <c r="A482" s="15"/>
      <c r="B482" s="15"/>
      <c r="C482" s="15"/>
      <c r="D482" s="5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 customFormat="false" ht="15.75" hidden="false" customHeight="true" outlineLevel="0" collapsed="false">
      <c r="A483" s="15"/>
      <c r="B483" s="15"/>
      <c r="C483" s="15"/>
      <c r="D483" s="5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 customFormat="false" ht="15.75" hidden="false" customHeight="true" outlineLevel="0" collapsed="false">
      <c r="A484" s="15"/>
      <c r="B484" s="15"/>
      <c r="C484" s="15"/>
      <c r="D484" s="5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 customFormat="false" ht="15.75" hidden="false" customHeight="true" outlineLevel="0" collapsed="false">
      <c r="A485" s="15"/>
      <c r="B485" s="15"/>
      <c r="C485" s="15"/>
      <c r="D485" s="5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 customFormat="false" ht="15.75" hidden="false" customHeight="true" outlineLevel="0" collapsed="false">
      <c r="A486" s="15"/>
      <c r="B486" s="15"/>
      <c r="C486" s="15"/>
      <c r="D486" s="5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 customFormat="false" ht="15.75" hidden="false" customHeight="true" outlineLevel="0" collapsed="false">
      <c r="A487" s="15"/>
      <c r="B487" s="15"/>
      <c r="C487" s="15"/>
      <c r="D487" s="5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 customFormat="false" ht="15.75" hidden="false" customHeight="true" outlineLevel="0" collapsed="false">
      <c r="A488" s="15"/>
      <c r="B488" s="15"/>
      <c r="C488" s="15"/>
      <c r="D488" s="5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 customFormat="false" ht="15.75" hidden="false" customHeight="true" outlineLevel="0" collapsed="false">
      <c r="A489" s="15"/>
      <c r="B489" s="15"/>
      <c r="C489" s="15"/>
      <c r="D489" s="5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 customFormat="false" ht="15.75" hidden="false" customHeight="true" outlineLevel="0" collapsed="false">
      <c r="A490" s="15"/>
      <c r="B490" s="15"/>
      <c r="C490" s="15"/>
      <c r="D490" s="5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 customFormat="false" ht="15.75" hidden="false" customHeight="true" outlineLevel="0" collapsed="false">
      <c r="A491" s="15"/>
      <c r="B491" s="15"/>
      <c r="C491" s="15"/>
      <c r="D491" s="5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 customFormat="false" ht="15.75" hidden="false" customHeight="true" outlineLevel="0" collapsed="false">
      <c r="A492" s="15"/>
      <c r="B492" s="15"/>
      <c r="C492" s="15"/>
      <c r="D492" s="5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 customFormat="false" ht="15.75" hidden="false" customHeight="true" outlineLevel="0" collapsed="false">
      <c r="A493" s="15"/>
      <c r="B493" s="15"/>
      <c r="C493" s="15"/>
      <c r="D493" s="5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 customFormat="false" ht="15.75" hidden="false" customHeight="true" outlineLevel="0" collapsed="false">
      <c r="A494" s="15"/>
      <c r="B494" s="15"/>
      <c r="C494" s="15"/>
      <c r="D494" s="5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 customFormat="false" ht="15.75" hidden="false" customHeight="true" outlineLevel="0" collapsed="false">
      <c r="A495" s="15"/>
      <c r="B495" s="15"/>
      <c r="C495" s="15"/>
      <c r="D495" s="5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 customFormat="false" ht="15.75" hidden="false" customHeight="true" outlineLevel="0" collapsed="false">
      <c r="A496" s="15"/>
      <c r="B496" s="15"/>
      <c r="C496" s="15"/>
      <c r="D496" s="5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 customFormat="false" ht="15.75" hidden="false" customHeight="true" outlineLevel="0" collapsed="false">
      <c r="A497" s="15"/>
      <c r="B497" s="15"/>
      <c r="C497" s="15"/>
      <c r="D497" s="5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 customFormat="false" ht="15.75" hidden="false" customHeight="true" outlineLevel="0" collapsed="false">
      <c r="A498" s="15"/>
      <c r="B498" s="15"/>
      <c r="C498" s="15"/>
      <c r="D498" s="5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 customFormat="false" ht="15.75" hidden="false" customHeight="true" outlineLevel="0" collapsed="false">
      <c r="A499" s="15"/>
      <c r="B499" s="15"/>
      <c r="C499" s="15"/>
      <c r="D499" s="5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 customFormat="false" ht="15.75" hidden="false" customHeight="true" outlineLevel="0" collapsed="false">
      <c r="A500" s="15"/>
      <c r="B500" s="15"/>
      <c r="C500" s="15"/>
      <c r="D500" s="5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 customFormat="false" ht="15.75" hidden="false" customHeight="true" outlineLevel="0" collapsed="false">
      <c r="A501" s="15"/>
      <c r="B501" s="15"/>
      <c r="C501" s="15"/>
      <c r="D501" s="5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 customFormat="false" ht="15.75" hidden="false" customHeight="true" outlineLevel="0" collapsed="false">
      <c r="A502" s="15"/>
      <c r="B502" s="15"/>
      <c r="C502" s="15"/>
      <c r="D502" s="5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 customFormat="false" ht="15.75" hidden="false" customHeight="true" outlineLevel="0" collapsed="false">
      <c r="A503" s="15"/>
      <c r="B503" s="15"/>
      <c r="C503" s="15"/>
      <c r="D503" s="5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 customFormat="false" ht="15.75" hidden="false" customHeight="true" outlineLevel="0" collapsed="false">
      <c r="A504" s="15"/>
      <c r="B504" s="15"/>
      <c r="C504" s="15"/>
      <c r="D504" s="5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 customFormat="false" ht="15.75" hidden="false" customHeight="true" outlineLevel="0" collapsed="false">
      <c r="A505" s="15"/>
      <c r="B505" s="15"/>
      <c r="C505" s="15"/>
      <c r="D505" s="5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 customFormat="false" ht="15.75" hidden="false" customHeight="true" outlineLevel="0" collapsed="false">
      <c r="A506" s="15"/>
      <c r="B506" s="15"/>
      <c r="C506" s="15"/>
      <c r="D506" s="5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 customFormat="false" ht="15.75" hidden="false" customHeight="true" outlineLevel="0" collapsed="false">
      <c r="A507" s="15"/>
      <c r="B507" s="15"/>
      <c r="C507" s="15"/>
      <c r="D507" s="5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 customFormat="false" ht="15.75" hidden="false" customHeight="true" outlineLevel="0" collapsed="false">
      <c r="A508" s="15"/>
      <c r="B508" s="15"/>
      <c r="C508" s="15"/>
      <c r="D508" s="5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 customFormat="false" ht="15.75" hidden="false" customHeight="true" outlineLevel="0" collapsed="false">
      <c r="A509" s="15"/>
      <c r="B509" s="15"/>
      <c r="C509" s="15"/>
      <c r="D509" s="5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 customFormat="false" ht="15.75" hidden="false" customHeight="true" outlineLevel="0" collapsed="false">
      <c r="A510" s="15"/>
      <c r="B510" s="15"/>
      <c r="C510" s="15"/>
      <c r="D510" s="5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 customFormat="false" ht="15.75" hidden="false" customHeight="true" outlineLevel="0" collapsed="false">
      <c r="A511" s="15"/>
      <c r="B511" s="15"/>
      <c r="C511" s="15"/>
      <c r="D511" s="5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 customFormat="false" ht="15.75" hidden="false" customHeight="true" outlineLevel="0" collapsed="false">
      <c r="A512" s="15"/>
      <c r="B512" s="15"/>
      <c r="C512" s="15"/>
      <c r="D512" s="5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 customFormat="false" ht="15.75" hidden="false" customHeight="true" outlineLevel="0" collapsed="false">
      <c r="A513" s="15"/>
      <c r="B513" s="15"/>
      <c r="C513" s="15"/>
      <c r="D513" s="5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 customFormat="false" ht="15.75" hidden="false" customHeight="true" outlineLevel="0" collapsed="false">
      <c r="A514" s="15"/>
      <c r="B514" s="15"/>
      <c r="C514" s="15"/>
      <c r="D514" s="5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 customFormat="false" ht="15.75" hidden="false" customHeight="true" outlineLevel="0" collapsed="false">
      <c r="A515" s="15"/>
      <c r="B515" s="15"/>
      <c r="C515" s="15"/>
      <c r="D515" s="5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 customFormat="false" ht="15.75" hidden="false" customHeight="true" outlineLevel="0" collapsed="false">
      <c r="A516" s="15"/>
      <c r="B516" s="15"/>
      <c r="C516" s="15"/>
      <c r="D516" s="5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 customFormat="false" ht="15.75" hidden="false" customHeight="true" outlineLevel="0" collapsed="false">
      <c r="A517" s="15"/>
      <c r="B517" s="15"/>
      <c r="C517" s="15"/>
      <c r="D517" s="5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 customFormat="false" ht="15.75" hidden="false" customHeight="true" outlineLevel="0" collapsed="false">
      <c r="A518" s="15"/>
      <c r="B518" s="15"/>
      <c r="C518" s="15"/>
      <c r="D518" s="5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 customFormat="false" ht="15.75" hidden="false" customHeight="true" outlineLevel="0" collapsed="false">
      <c r="A519" s="15"/>
      <c r="B519" s="15"/>
      <c r="C519" s="15"/>
      <c r="D519" s="5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 customFormat="false" ht="15.75" hidden="false" customHeight="true" outlineLevel="0" collapsed="false">
      <c r="A520" s="15"/>
      <c r="B520" s="15"/>
      <c r="C520" s="15"/>
      <c r="D520" s="5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 customFormat="false" ht="15.75" hidden="false" customHeight="true" outlineLevel="0" collapsed="false">
      <c r="A521" s="15"/>
      <c r="B521" s="15"/>
      <c r="C521" s="15"/>
      <c r="D521" s="5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 customFormat="false" ht="15.75" hidden="false" customHeight="true" outlineLevel="0" collapsed="false">
      <c r="A522" s="15"/>
      <c r="B522" s="15"/>
      <c r="C522" s="15"/>
      <c r="D522" s="5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 customFormat="false" ht="15.75" hidden="false" customHeight="true" outlineLevel="0" collapsed="false">
      <c r="A523" s="15"/>
      <c r="B523" s="15"/>
      <c r="C523" s="15"/>
      <c r="D523" s="5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 customFormat="false" ht="15.75" hidden="false" customHeight="true" outlineLevel="0" collapsed="false">
      <c r="A524" s="15"/>
      <c r="B524" s="15"/>
      <c r="C524" s="15"/>
      <c r="D524" s="5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 customFormat="false" ht="15.75" hidden="false" customHeight="true" outlineLevel="0" collapsed="false">
      <c r="A525" s="15"/>
      <c r="B525" s="15"/>
      <c r="C525" s="15"/>
      <c r="D525" s="5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 customFormat="false" ht="15.75" hidden="false" customHeight="true" outlineLevel="0" collapsed="false">
      <c r="A526" s="15"/>
      <c r="B526" s="15"/>
      <c r="C526" s="15"/>
      <c r="D526" s="5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 customFormat="false" ht="15.75" hidden="false" customHeight="true" outlineLevel="0" collapsed="false">
      <c r="A527" s="15"/>
      <c r="B527" s="15"/>
      <c r="C527" s="15"/>
      <c r="D527" s="5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 customFormat="false" ht="15.75" hidden="false" customHeight="true" outlineLevel="0" collapsed="false">
      <c r="A528" s="15"/>
      <c r="B528" s="15"/>
      <c r="C528" s="15"/>
      <c r="D528" s="5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 customFormat="false" ht="15.75" hidden="false" customHeight="true" outlineLevel="0" collapsed="false">
      <c r="A529" s="15"/>
      <c r="B529" s="15"/>
      <c r="C529" s="15"/>
      <c r="D529" s="5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 customFormat="false" ht="15.75" hidden="false" customHeight="true" outlineLevel="0" collapsed="false">
      <c r="A530" s="15"/>
      <c r="B530" s="15"/>
      <c r="C530" s="15"/>
      <c r="D530" s="5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 customFormat="false" ht="15.75" hidden="false" customHeight="true" outlineLevel="0" collapsed="false">
      <c r="A531" s="15"/>
      <c r="B531" s="15"/>
      <c r="C531" s="15"/>
      <c r="D531" s="5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 customFormat="false" ht="15.75" hidden="false" customHeight="true" outlineLevel="0" collapsed="false">
      <c r="A532" s="15"/>
      <c r="B532" s="15"/>
      <c r="C532" s="15"/>
      <c r="D532" s="5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 customFormat="false" ht="15.75" hidden="false" customHeight="true" outlineLevel="0" collapsed="false">
      <c r="A533" s="15"/>
      <c r="B533" s="15"/>
      <c r="C533" s="15"/>
      <c r="D533" s="5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 customFormat="false" ht="15.75" hidden="false" customHeight="true" outlineLevel="0" collapsed="false">
      <c r="A534" s="15"/>
      <c r="B534" s="15"/>
      <c r="C534" s="15"/>
      <c r="D534" s="5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 customFormat="false" ht="15.75" hidden="false" customHeight="true" outlineLevel="0" collapsed="false">
      <c r="A535" s="15"/>
      <c r="B535" s="15"/>
      <c r="C535" s="15"/>
      <c r="D535" s="5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 customFormat="false" ht="15.75" hidden="false" customHeight="true" outlineLevel="0" collapsed="false">
      <c r="A536" s="15"/>
      <c r="B536" s="15"/>
      <c r="C536" s="15"/>
      <c r="D536" s="5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 customFormat="false" ht="15.75" hidden="false" customHeight="true" outlineLevel="0" collapsed="false">
      <c r="A537" s="15"/>
      <c r="B537" s="15"/>
      <c r="C537" s="15"/>
      <c r="D537" s="5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 customFormat="false" ht="15.75" hidden="false" customHeight="true" outlineLevel="0" collapsed="false">
      <c r="A538" s="15"/>
      <c r="B538" s="15"/>
      <c r="C538" s="15"/>
      <c r="D538" s="5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 customFormat="false" ht="15.75" hidden="false" customHeight="true" outlineLevel="0" collapsed="false">
      <c r="A539" s="15"/>
      <c r="B539" s="15"/>
      <c r="C539" s="15"/>
      <c r="D539" s="5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 customFormat="false" ht="15.75" hidden="false" customHeight="true" outlineLevel="0" collapsed="false">
      <c r="A540" s="15"/>
      <c r="B540" s="15"/>
      <c r="C540" s="15"/>
      <c r="D540" s="5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 customFormat="false" ht="15.75" hidden="false" customHeight="true" outlineLevel="0" collapsed="false">
      <c r="A541" s="15"/>
      <c r="B541" s="15"/>
      <c r="C541" s="15"/>
      <c r="D541" s="5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 customFormat="false" ht="15.75" hidden="false" customHeight="true" outlineLevel="0" collapsed="false">
      <c r="A542" s="15"/>
      <c r="B542" s="15"/>
      <c r="C542" s="15"/>
      <c r="D542" s="5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 customFormat="false" ht="15.75" hidden="false" customHeight="true" outlineLevel="0" collapsed="false">
      <c r="A543" s="15"/>
      <c r="B543" s="15"/>
      <c r="C543" s="15"/>
      <c r="D543" s="5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 customFormat="false" ht="15.75" hidden="false" customHeight="true" outlineLevel="0" collapsed="false">
      <c r="A544" s="15"/>
      <c r="B544" s="15"/>
      <c r="C544" s="15"/>
      <c r="D544" s="5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 customFormat="false" ht="15.75" hidden="false" customHeight="true" outlineLevel="0" collapsed="false">
      <c r="A545" s="15"/>
      <c r="B545" s="15"/>
      <c r="C545" s="15"/>
      <c r="D545" s="5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 customFormat="false" ht="15.75" hidden="false" customHeight="true" outlineLevel="0" collapsed="false">
      <c r="A546" s="15"/>
      <c r="B546" s="15"/>
      <c r="C546" s="15"/>
      <c r="D546" s="5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 customFormat="false" ht="15.75" hidden="false" customHeight="true" outlineLevel="0" collapsed="false">
      <c r="A547" s="15"/>
      <c r="B547" s="15"/>
      <c r="C547" s="15"/>
      <c r="D547" s="5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 customFormat="false" ht="15.75" hidden="false" customHeight="true" outlineLevel="0" collapsed="false">
      <c r="A548" s="15"/>
      <c r="B548" s="15"/>
      <c r="C548" s="15"/>
      <c r="D548" s="5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 customFormat="false" ht="15.75" hidden="false" customHeight="true" outlineLevel="0" collapsed="false">
      <c r="A549" s="15"/>
      <c r="B549" s="15"/>
      <c r="C549" s="15"/>
      <c r="D549" s="5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 customFormat="false" ht="15.75" hidden="false" customHeight="true" outlineLevel="0" collapsed="false">
      <c r="A550" s="15"/>
      <c r="B550" s="15"/>
      <c r="C550" s="15"/>
      <c r="D550" s="5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 customFormat="false" ht="15.75" hidden="false" customHeight="true" outlineLevel="0" collapsed="false">
      <c r="A551" s="15"/>
      <c r="B551" s="15"/>
      <c r="C551" s="15"/>
      <c r="D551" s="5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 customFormat="false" ht="15.75" hidden="false" customHeight="true" outlineLevel="0" collapsed="false">
      <c r="A552" s="15"/>
      <c r="B552" s="15"/>
      <c r="C552" s="15"/>
      <c r="D552" s="5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 customFormat="false" ht="15.75" hidden="false" customHeight="true" outlineLevel="0" collapsed="false">
      <c r="A553" s="15"/>
      <c r="B553" s="15"/>
      <c r="C553" s="15"/>
      <c r="D553" s="5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 customFormat="false" ht="15.75" hidden="false" customHeight="true" outlineLevel="0" collapsed="false">
      <c r="A554" s="15"/>
      <c r="B554" s="15"/>
      <c r="C554" s="15"/>
      <c r="D554" s="5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 customFormat="false" ht="15.75" hidden="false" customHeight="true" outlineLevel="0" collapsed="false">
      <c r="A555" s="15"/>
      <c r="B555" s="15"/>
      <c r="C555" s="15"/>
      <c r="D555" s="5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 customFormat="false" ht="15.75" hidden="false" customHeight="true" outlineLevel="0" collapsed="false">
      <c r="A556" s="15"/>
      <c r="B556" s="15"/>
      <c r="C556" s="15"/>
      <c r="D556" s="5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 customFormat="false" ht="15.75" hidden="false" customHeight="true" outlineLevel="0" collapsed="false">
      <c r="A557" s="15"/>
      <c r="B557" s="15"/>
      <c r="C557" s="15"/>
      <c r="D557" s="5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 customFormat="false" ht="15.75" hidden="false" customHeight="true" outlineLevel="0" collapsed="false">
      <c r="A558" s="15"/>
      <c r="B558" s="15"/>
      <c r="C558" s="15"/>
      <c r="D558" s="5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 customFormat="false" ht="15.75" hidden="false" customHeight="true" outlineLevel="0" collapsed="false">
      <c r="A559" s="15"/>
      <c r="B559" s="15"/>
      <c r="C559" s="15"/>
      <c r="D559" s="5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 customFormat="false" ht="15.75" hidden="false" customHeight="true" outlineLevel="0" collapsed="false">
      <c r="A560" s="15"/>
      <c r="B560" s="15"/>
      <c r="C560" s="15"/>
      <c r="D560" s="5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 customFormat="false" ht="15.75" hidden="false" customHeight="true" outlineLevel="0" collapsed="false">
      <c r="A561" s="15"/>
      <c r="B561" s="15"/>
      <c r="C561" s="15"/>
      <c r="D561" s="5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 customFormat="false" ht="15.75" hidden="false" customHeight="true" outlineLevel="0" collapsed="false">
      <c r="A562" s="15"/>
      <c r="B562" s="15"/>
      <c r="C562" s="15"/>
      <c r="D562" s="5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 customFormat="false" ht="15.75" hidden="false" customHeight="true" outlineLevel="0" collapsed="false">
      <c r="A563" s="15"/>
      <c r="B563" s="15"/>
      <c r="C563" s="15"/>
      <c r="D563" s="5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 customFormat="false" ht="15.75" hidden="false" customHeight="true" outlineLevel="0" collapsed="false">
      <c r="A564" s="15"/>
      <c r="B564" s="15"/>
      <c r="C564" s="15"/>
      <c r="D564" s="5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 customFormat="false" ht="15.75" hidden="false" customHeight="true" outlineLevel="0" collapsed="false">
      <c r="A565" s="15"/>
      <c r="B565" s="15"/>
      <c r="C565" s="15"/>
      <c r="D565" s="5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 customFormat="false" ht="15.75" hidden="false" customHeight="true" outlineLevel="0" collapsed="false">
      <c r="A566" s="15"/>
      <c r="B566" s="15"/>
      <c r="C566" s="15"/>
      <c r="D566" s="5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 customFormat="false" ht="15.75" hidden="false" customHeight="true" outlineLevel="0" collapsed="false">
      <c r="A567" s="15"/>
      <c r="B567" s="15"/>
      <c r="C567" s="15"/>
      <c r="D567" s="5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 customFormat="false" ht="15.75" hidden="false" customHeight="true" outlineLevel="0" collapsed="false">
      <c r="A568" s="15"/>
      <c r="B568" s="15"/>
      <c r="C568" s="15"/>
      <c r="D568" s="5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 customFormat="false" ht="15.75" hidden="false" customHeight="true" outlineLevel="0" collapsed="false">
      <c r="A569" s="15"/>
      <c r="B569" s="15"/>
      <c r="C569" s="15"/>
      <c r="D569" s="5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 customFormat="false" ht="15.75" hidden="false" customHeight="true" outlineLevel="0" collapsed="false">
      <c r="A570" s="15"/>
      <c r="B570" s="15"/>
      <c r="C570" s="15"/>
      <c r="D570" s="5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 customFormat="false" ht="15.75" hidden="false" customHeight="true" outlineLevel="0" collapsed="false">
      <c r="A571" s="15"/>
      <c r="B571" s="15"/>
      <c r="C571" s="15"/>
      <c r="D571" s="5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 customFormat="false" ht="15.75" hidden="false" customHeight="true" outlineLevel="0" collapsed="false">
      <c r="A572" s="15"/>
      <c r="B572" s="15"/>
      <c r="C572" s="15"/>
      <c r="D572" s="5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 customFormat="false" ht="15.75" hidden="false" customHeight="true" outlineLevel="0" collapsed="false">
      <c r="A573" s="15"/>
      <c r="B573" s="15"/>
      <c r="C573" s="15"/>
      <c r="D573" s="5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 customFormat="false" ht="15.75" hidden="false" customHeight="true" outlineLevel="0" collapsed="false">
      <c r="A574" s="15"/>
      <c r="B574" s="15"/>
      <c r="C574" s="15"/>
      <c r="D574" s="5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 customFormat="false" ht="15.75" hidden="false" customHeight="true" outlineLevel="0" collapsed="false">
      <c r="A575" s="15"/>
      <c r="B575" s="15"/>
      <c r="C575" s="15"/>
      <c r="D575" s="5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 customFormat="false" ht="15.75" hidden="false" customHeight="true" outlineLevel="0" collapsed="false">
      <c r="A576" s="15"/>
      <c r="B576" s="15"/>
      <c r="C576" s="15"/>
      <c r="D576" s="5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 customFormat="false" ht="15.75" hidden="false" customHeight="true" outlineLevel="0" collapsed="false">
      <c r="A577" s="15"/>
      <c r="B577" s="15"/>
      <c r="C577" s="15"/>
      <c r="D577" s="5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 customFormat="false" ht="15.75" hidden="false" customHeight="true" outlineLevel="0" collapsed="false">
      <c r="A578" s="15"/>
      <c r="B578" s="15"/>
      <c r="C578" s="15"/>
      <c r="D578" s="5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 customFormat="false" ht="15.75" hidden="false" customHeight="true" outlineLevel="0" collapsed="false">
      <c r="A579" s="15"/>
      <c r="B579" s="15"/>
      <c r="C579" s="15"/>
      <c r="D579" s="5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 customFormat="false" ht="15.75" hidden="false" customHeight="true" outlineLevel="0" collapsed="false">
      <c r="A580" s="15"/>
      <c r="B580" s="15"/>
      <c r="C580" s="15"/>
      <c r="D580" s="5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 customFormat="false" ht="15.75" hidden="false" customHeight="true" outlineLevel="0" collapsed="false">
      <c r="A581" s="15"/>
      <c r="B581" s="15"/>
      <c r="C581" s="15"/>
      <c r="D581" s="5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 customFormat="false" ht="15.75" hidden="false" customHeight="true" outlineLevel="0" collapsed="false">
      <c r="A582" s="15"/>
      <c r="B582" s="15"/>
      <c r="C582" s="15"/>
      <c r="D582" s="5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 customFormat="false" ht="15.75" hidden="false" customHeight="true" outlineLevel="0" collapsed="false">
      <c r="A583" s="15"/>
      <c r="B583" s="15"/>
      <c r="C583" s="15"/>
      <c r="D583" s="5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 customFormat="false" ht="15.75" hidden="false" customHeight="true" outlineLevel="0" collapsed="false">
      <c r="A584" s="15"/>
      <c r="B584" s="15"/>
      <c r="C584" s="15"/>
      <c r="D584" s="5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 customFormat="false" ht="15.75" hidden="false" customHeight="true" outlineLevel="0" collapsed="false">
      <c r="A585" s="15"/>
      <c r="B585" s="15"/>
      <c r="C585" s="15"/>
      <c r="D585" s="5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 customFormat="false" ht="15.75" hidden="false" customHeight="true" outlineLevel="0" collapsed="false">
      <c r="A586" s="15"/>
      <c r="B586" s="15"/>
      <c r="C586" s="15"/>
      <c r="D586" s="5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 customFormat="false" ht="15.75" hidden="false" customHeight="true" outlineLevel="0" collapsed="false">
      <c r="A587" s="15"/>
      <c r="B587" s="15"/>
      <c r="C587" s="15"/>
      <c r="D587" s="5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 customFormat="false" ht="15.75" hidden="false" customHeight="true" outlineLevel="0" collapsed="false">
      <c r="A588" s="15"/>
      <c r="B588" s="15"/>
      <c r="C588" s="15"/>
      <c r="D588" s="5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 customFormat="false" ht="15.75" hidden="false" customHeight="true" outlineLevel="0" collapsed="false">
      <c r="A589" s="15"/>
      <c r="B589" s="15"/>
      <c r="C589" s="15"/>
      <c r="D589" s="5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 customFormat="false" ht="15.75" hidden="false" customHeight="true" outlineLevel="0" collapsed="false">
      <c r="A590" s="15"/>
      <c r="B590" s="15"/>
      <c r="C590" s="15"/>
      <c r="D590" s="5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 customFormat="false" ht="15.75" hidden="false" customHeight="true" outlineLevel="0" collapsed="false">
      <c r="A591" s="15"/>
      <c r="B591" s="15"/>
      <c r="C591" s="15"/>
      <c r="D591" s="5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 customFormat="false" ht="15.75" hidden="false" customHeight="true" outlineLevel="0" collapsed="false">
      <c r="A592" s="15"/>
      <c r="B592" s="15"/>
      <c r="C592" s="15"/>
      <c r="D592" s="5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 customFormat="false" ht="15.75" hidden="false" customHeight="true" outlineLevel="0" collapsed="false">
      <c r="A593" s="15"/>
      <c r="B593" s="15"/>
      <c r="C593" s="15"/>
      <c r="D593" s="5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 customFormat="false" ht="15.75" hidden="false" customHeight="true" outlineLevel="0" collapsed="false">
      <c r="A594" s="15"/>
      <c r="B594" s="15"/>
      <c r="C594" s="15"/>
      <c r="D594" s="5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 customFormat="false" ht="15.75" hidden="false" customHeight="true" outlineLevel="0" collapsed="false">
      <c r="A595" s="15"/>
      <c r="B595" s="15"/>
      <c r="C595" s="15"/>
      <c r="D595" s="5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 customFormat="false" ht="15.75" hidden="false" customHeight="true" outlineLevel="0" collapsed="false">
      <c r="A596" s="15"/>
      <c r="B596" s="15"/>
      <c r="C596" s="15"/>
      <c r="D596" s="5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 customFormat="false" ht="15.75" hidden="false" customHeight="true" outlineLevel="0" collapsed="false">
      <c r="A597" s="15"/>
      <c r="B597" s="15"/>
      <c r="C597" s="15"/>
      <c r="D597" s="5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 customFormat="false" ht="15.75" hidden="false" customHeight="true" outlineLevel="0" collapsed="false">
      <c r="A598" s="15"/>
      <c r="B598" s="15"/>
      <c r="C598" s="15"/>
      <c r="D598" s="5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 customFormat="false" ht="15.75" hidden="false" customHeight="true" outlineLevel="0" collapsed="false">
      <c r="A599" s="15"/>
      <c r="B599" s="15"/>
      <c r="C599" s="15"/>
      <c r="D599" s="5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 customFormat="false" ht="15.75" hidden="false" customHeight="true" outlineLevel="0" collapsed="false">
      <c r="A600" s="15"/>
      <c r="B600" s="15"/>
      <c r="C600" s="15"/>
      <c r="D600" s="5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 customFormat="false" ht="15.75" hidden="false" customHeight="true" outlineLevel="0" collapsed="false">
      <c r="A601" s="15"/>
      <c r="B601" s="15"/>
      <c r="C601" s="15"/>
      <c r="D601" s="5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 customFormat="false" ht="15.75" hidden="false" customHeight="true" outlineLevel="0" collapsed="false">
      <c r="A602" s="15"/>
      <c r="B602" s="15"/>
      <c r="C602" s="15"/>
      <c r="D602" s="5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 customFormat="false" ht="15.75" hidden="false" customHeight="true" outlineLevel="0" collapsed="false">
      <c r="A603" s="15"/>
      <c r="B603" s="15"/>
      <c r="C603" s="15"/>
      <c r="D603" s="5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 customFormat="false" ht="15.75" hidden="false" customHeight="true" outlineLevel="0" collapsed="false">
      <c r="A604" s="15"/>
      <c r="B604" s="15"/>
      <c r="C604" s="15"/>
      <c r="D604" s="5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 customFormat="false" ht="15.75" hidden="false" customHeight="true" outlineLevel="0" collapsed="false">
      <c r="A605" s="15"/>
      <c r="B605" s="15"/>
      <c r="C605" s="15"/>
      <c r="D605" s="5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 customFormat="false" ht="15.75" hidden="false" customHeight="true" outlineLevel="0" collapsed="false">
      <c r="A606" s="15"/>
      <c r="B606" s="15"/>
      <c r="C606" s="15"/>
      <c r="D606" s="5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 customFormat="false" ht="15.75" hidden="false" customHeight="true" outlineLevel="0" collapsed="false">
      <c r="A607" s="15"/>
      <c r="B607" s="15"/>
      <c r="C607" s="15"/>
      <c r="D607" s="5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 customFormat="false" ht="15.75" hidden="false" customHeight="true" outlineLevel="0" collapsed="false">
      <c r="A608" s="15"/>
      <c r="B608" s="15"/>
      <c r="C608" s="15"/>
      <c r="D608" s="5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 customFormat="false" ht="15.75" hidden="false" customHeight="true" outlineLevel="0" collapsed="false">
      <c r="A609" s="15"/>
      <c r="B609" s="15"/>
      <c r="C609" s="15"/>
      <c r="D609" s="5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 customFormat="false" ht="15.75" hidden="false" customHeight="true" outlineLevel="0" collapsed="false">
      <c r="A610" s="15"/>
      <c r="B610" s="15"/>
      <c r="C610" s="15"/>
      <c r="D610" s="5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 customFormat="false" ht="15.75" hidden="false" customHeight="true" outlineLevel="0" collapsed="false">
      <c r="A611" s="15"/>
      <c r="B611" s="15"/>
      <c r="C611" s="15"/>
      <c r="D611" s="5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 customFormat="false" ht="15.75" hidden="false" customHeight="true" outlineLevel="0" collapsed="false">
      <c r="A612" s="15"/>
      <c r="B612" s="15"/>
      <c r="C612" s="15"/>
      <c r="D612" s="5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 customFormat="false" ht="15.75" hidden="false" customHeight="true" outlineLevel="0" collapsed="false">
      <c r="A613" s="15"/>
      <c r="B613" s="15"/>
      <c r="C613" s="15"/>
      <c r="D613" s="5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 customFormat="false" ht="15.75" hidden="false" customHeight="true" outlineLevel="0" collapsed="false">
      <c r="A614" s="15"/>
      <c r="B614" s="15"/>
      <c r="C614" s="15"/>
      <c r="D614" s="5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 customFormat="false" ht="15.75" hidden="false" customHeight="true" outlineLevel="0" collapsed="false">
      <c r="A615" s="15"/>
      <c r="B615" s="15"/>
      <c r="C615" s="15"/>
      <c r="D615" s="5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 customFormat="false" ht="15.75" hidden="false" customHeight="true" outlineLevel="0" collapsed="false">
      <c r="A616" s="15"/>
      <c r="B616" s="15"/>
      <c r="C616" s="15"/>
      <c r="D616" s="5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 customFormat="false" ht="15.75" hidden="false" customHeight="true" outlineLevel="0" collapsed="false">
      <c r="A617" s="15"/>
      <c r="B617" s="15"/>
      <c r="C617" s="15"/>
      <c r="D617" s="5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 customFormat="false" ht="15.75" hidden="false" customHeight="true" outlineLevel="0" collapsed="false">
      <c r="A618" s="15"/>
      <c r="B618" s="15"/>
      <c r="C618" s="15"/>
      <c r="D618" s="5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 customFormat="false" ht="15.75" hidden="false" customHeight="true" outlineLevel="0" collapsed="false">
      <c r="A619" s="15"/>
      <c r="B619" s="15"/>
      <c r="C619" s="15"/>
      <c r="D619" s="5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 customFormat="false" ht="15.75" hidden="false" customHeight="true" outlineLevel="0" collapsed="false">
      <c r="A620" s="15"/>
      <c r="B620" s="15"/>
      <c r="C620" s="15"/>
      <c r="D620" s="5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 customFormat="false" ht="15.75" hidden="false" customHeight="true" outlineLevel="0" collapsed="false">
      <c r="A621" s="15"/>
      <c r="B621" s="15"/>
      <c r="C621" s="15"/>
      <c r="D621" s="5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 customFormat="false" ht="15.75" hidden="false" customHeight="true" outlineLevel="0" collapsed="false">
      <c r="A622" s="15"/>
      <c r="B622" s="15"/>
      <c r="C622" s="15"/>
      <c r="D622" s="5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 customFormat="false" ht="15.75" hidden="false" customHeight="true" outlineLevel="0" collapsed="false">
      <c r="A623" s="15"/>
      <c r="B623" s="15"/>
      <c r="C623" s="15"/>
      <c r="D623" s="5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 customFormat="false" ht="15.75" hidden="false" customHeight="true" outlineLevel="0" collapsed="false">
      <c r="A624" s="15"/>
      <c r="B624" s="15"/>
      <c r="C624" s="15"/>
      <c r="D624" s="5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 customFormat="false" ht="15.75" hidden="false" customHeight="true" outlineLevel="0" collapsed="false">
      <c r="A625" s="15"/>
      <c r="B625" s="15"/>
      <c r="C625" s="15"/>
      <c r="D625" s="5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 customFormat="false" ht="15.75" hidden="false" customHeight="true" outlineLevel="0" collapsed="false">
      <c r="A626" s="15"/>
      <c r="B626" s="15"/>
      <c r="C626" s="15"/>
      <c r="D626" s="5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 customFormat="false" ht="15.75" hidden="false" customHeight="true" outlineLevel="0" collapsed="false">
      <c r="A627" s="15"/>
      <c r="B627" s="15"/>
      <c r="C627" s="15"/>
      <c r="D627" s="5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 customFormat="false" ht="15.75" hidden="false" customHeight="true" outlineLevel="0" collapsed="false">
      <c r="A628" s="15"/>
      <c r="B628" s="15"/>
      <c r="C628" s="15"/>
      <c r="D628" s="5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 customFormat="false" ht="15.75" hidden="false" customHeight="true" outlineLevel="0" collapsed="false">
      <c r="A629" s="15"/>
      <c r="B629" s="15"/>
      <c r="C629" s="15"/>
      <c r="D629" s="5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 customFormat="false" ht="15.75" hidden="false" customHeight="true" outlineLevel="0" collapsed="false">
      <c r="A630" s="15"/>
      <c r="B630" s="15"/>
      <c r="C630" s="15"/>
      <c r="D630" s="5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 customFormat="false" ht="15.75" hidden="false" customHeight="true" outlineLevel="0" collapsed="false">
      <c r="A631" s="15"/>
      <c r="B631" s="15"/>
      <c r="C631" s="15"/>
      <c r="D631" s="5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 customFormat="false" ht="15.75" hidden="false" customHeight="true" outlineLevel="0" collapsed="false">
      <c r="A632" s="15"/>
      <c r="B632" s="15"/>
      <c r="C632" s="15"/>
      <c r="D632" s="5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 customFormat="false" ht="15.75" hidden="false" customHeight="true" outlineLevel="0" collapsed="false">
      <c r="A633" s="15"/>
      <c r="B633" s="15"/>
      <c r="C633" s="15"/>
      <c r="D633" s="5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 customFormat="false" ht="15.75" hidden="false" customHeight="true" outlineLevel="0" collapsed="false">
      <c r="A634" s="15"/>
      <c r="B634" s="15"/>
      <c r="C634" s="15"/>
      <c r="D634" s="5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 customFormat="false" ht="15.75" hidden="false" customHeight="true" outlineLevel="0" collapsed="false">
      <c r="A635" s="15"/>
      <c r="B635" s="15"/>
      <c r="C635" s="15"/>
      <c r="D635" s="5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 customFormat="false" ht="15.75" hidden="false" customHeight="true" outlineLevel="0" collapsed="false">
      <c r="A636" s="15"/>
      <c r="B636" s="15"/>
      <c r="C636" s="15"/>
      <c r="D636" s="5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 customFormat="false" ht="15.75" hidden="false" customHeight="true" outlineLevel="0" collapsed="false">
      <c r="A637" s="15"/>
      <c r="B637" s="15"/>
      <c r="C637" s="15"/>
      <c r="D637" s="5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 customFormat="false" ht="15.75" hidden="false" customHeight="true" outlineLevel="0" collapsed="false">
      <c r="A638" s="15"/>
      <c r="B638" s="15"/>
      <c r="C638" s="15"/>
      <c r="D638" s="5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 customFormat="false" ht="15.75" hidden="false" customHeight="true" outlineLevel="0" collapsed="false">
      <c r="A639" s="15"/>
      <c r="B639" s="15"/>
      <c r="C639" s="15"/>
      <c r="D639" s="5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 customFormat="false" ht="15.75" hidden="false" customHeight="true" outlineLevel="0" collapsed="false">
      <c r="A640" s="15"/>
      <c r="B640" s="15"/>
      <c r="C640" s="15"/>
      <c r="D640" s="5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 customFormat="false" ht="15.75" hidden="false" customHeight="true" outlineLevel="0" collapsed="false">
      <c r="A641" s="15"/>
      <c r="B641" s="15"/>
      <c r="C641" s="15"/>
      <c r="D641" s="5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 customFormat="false" ht="15.75" hidden="false" customHeight="true" outlineLevel="0" collapsed="false">
      <c r="A642" s="15"/>
      <c r="B642" s="15"/>
      <c r="C642" s="15"/>
      <c r="D642" s="5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 customFormat="false" ht="15.75" hidden="false" customHeight="true" outlineLevel="0" collapsed="false">
      <c r="A643" s="15"/>
      <c r="B643" s="15"/>
      <c r="C643" s="15"/>
      <c r="D643" s="5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 customFormat="false" ht="15.75" hidden="false" customHeight="true" outlineLevel="0" collapsed="false">
      <c r="A644" s="15"/>
      <c r="B644" s="15"/>
      <c r="C644" s="15"/>
      <c r="D644" s="5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 customFormat="false" ht="15.75" hidden="false" customHeight="true" outlineLevel="0" collapsed="false">
      <c r="A645" s="15"/>
      <c r="B645" s="15"/>
      <c r="C645" s="15"/>
      <c r="D645" s="5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 customFormat="false" ht="15.75" hidden="false" customHeight="true" outlineLevel="0" collapsed="false">
      <c r="A646" s="15"/>
      <c r="B646" s="15"/>
      <c r="C646" s="15"/>
      <c r="D646" s="5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 customFormat="false" ht="15.75" hidden="false" customHeight="true" outlineLevel="0" collapsed="false">
      <c r="A647" s="15"/>
      <c r="B647" s="15"/>
      <c r="C647" s="15"/>
      <c r="D647" s="5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 customFormat="false" ht="15.75" hidden="false" customHeight="true" outlineLevel="0" collapsed="false">
      <c r="A648" s="15"/>
      <c r="B648" s="15"/>
      <c r="C648" s="15"/>
      <c r="D648" s="5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 customFormat="false" ht="15.75" hidden="false" customHeight="true" outlineLevel="0" collapsed="false">
      <c r="A649" s="15"/>
      <c r="B649" s="15"/>
      <c r="C649" s="15"/>
      <c r="D649" s="5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 customFormat="false" ht="15.75" hidden="false" customHeight="true" outlineLevel="0" collapsed="false">
      <c r="A650" s="15"/>
      <c r="B650" s="15"/>
      <c r="C650" s="15"/>
      <c r="D650" s="5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 customFormat="false" ht="15.75" hidden="false" customHeight="true" outlineLevel="0" collapsed="false">
      <c r="A651" s="15"/>
      <c r="B651" s="15"/>
      <c r="C651" s="15"/>
      <c r="D651" s="5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 customFormat="false" ht="15.75" hidden="false" customHeight="true" outlineLevel="0" collapsed="false">
      <c r="A652" s="15"/>
      <c r="B652" s="15"/>
      <c r="C652" s="15"/>
      <c r="D652" s="5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 customFormat="false" ht="15.75" hidden="false" customHeight="true" outlineLevel="0" collapsed="false">
      <c r="A653" s="15"/>
      <c r="B653" s="15"/>
      <c r="C653" s="15"/>
      <c r="D653" s="5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 customFormat="false" ht="15.75" hidden="false" customHeight="true" outlineLevel="0" collapsed="false">
      <c r="A654" s="15"/>
      <c r="B654" s="15"/>
      <c r="C654" s="15"/>
      <c r="D654" s="5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 customFormat="false" ht="15.75" hidden="false" customHeight="true" outlineLevel="0" collapsed="false">
      <c r="A655" s="15"/>
      <c r="B655" s="15"/>
      <c r="C655" s="15"/>
      <c r="D655" s="5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 customFormat="false" ht="15.75" hidden="false" customHeight="true" outlineLevel="0" collapsed="false">
      <c r="A656" s="15"/>
      <c r="B656" s="15"/>
      <c r="C656" s="15"/>
      <c r="D656" s="5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 customFormat="false" ht="15.75" hidden="false" customHeight="true" outlineLevel="0" collapsed="false">
      <c r="A657" s="15"/>
      <c r="B657" s="15"/>
      <c r="C657" s="15"/>
      <c r="D657" s="5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 customFormat="false" ht="15.75" hidden="false" customHeight="true" outlineLevel="0" collapsed="false">
      <c r="A658" s="15"/>
      <c r="B658" s="15"/>
      <c r="C658" s="15"/>
      <c r="D658" s="5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 customFormat="false" ht="15.75" hidden="false" customHeight="true" outlineLevel="0" collapsed="false">
      <c r="A659" s="15"/>
      <c r="B659" s="15"/>
      <c r="C659" s="15"/>
      <c r="D659" s="5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 customFormat="false" ht="15.75" hidden="false" customHeight="true" outlineLevel="0" collapsed="false">
      <c r="A660" s="15"/>
      <c r="B660" s="15"/>
      <c r="C660" s="15"/>
      <c r="D660" s="5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 customFormat="false" ht="15.75" hidden="false" customHeight="true" outlineLevel="0" collapsed="false">
      <c r="A661" s="15"/>
      <c r="B661" s="15"/>
      <c r="C661" s="15"/>
      <c r="D661" s="5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 customFormat="false" ht="15.75" hidden="false" customHeight="true" outlineLevel="0" collapsed="false">
      <c r="A662" s="15"/>
      <c r="B662" s="15"/>
      <c r="C662" s="15"/>
      <c r="D662" s="5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 customFormat="false" ht="15.75" hidden="false" customHeight="true" outlineLevel="0" collapsed="false">
      <c r="A663" s="15"/>
      <c r="B663" s="15"/>
      <c r="C663" s="15"/>
      <c r="D663" s="5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 customFormat="false" ht="15.75" hidden="false" customHeight="true" outlineLevel="0" collapsed="false">
      <c r="A664" s="15"/>
      <c r="B664" s="15"/>
      <c r="C664" s="15"/>
      <c r="D664" s="5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 customFormat="false" ht="15.75" hidden="false" customHeight="true" outlineLevel="0" collapsed="false">
      <c r="A665" s="15"/>
      <c r="B665" s="15"/>
      <c r="C665" s="15"/>
      <c r="D665" s="5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 customFormat="false" ht="15.75" hidden="false" customHeight="true" outlineLevel="0" collapsed="false">
      <c r="A666" s="15"/>
      <c r="B666" s="15"/>
      <c r="C666" s="15"/>
      <c r="D666" s="5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 customFormat="false" ht="15.75" hidden="false" customHeight="true" outlineLevel="0" collapsed="false">
      <c r="A667" s="15"/>
      <c r="B667" s="15"/>
      <c r="C667" s="15"/>
      <c r="D667" s="5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 customFormat="false" ht="15.75" hidden="false" customHeight="true" outlineLevel="0" collapsed="false">
      <c r="A668" s="15"/>
      <c r="B668" s="15"/>
      <c r="C668" s="15"/>
      <c r="D668" s="5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 customFormat="false" ht="15.75" hidden="false" customHeight="true" outlineLevel="0" collapsed="false">
      <c r="A669" s="15"/>
      <c r="B669" s="15"/>
      <c r="C669" s="15"/>
      <c r="D669" s="5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 customFormat="false" ht="15.75" hidden="false" customHeight="true" outlineLevel="0" collapsed="false">
      <c r="A670" s="15"/>
      <c r="B670" s="15"/>
      <c r="C670" s="15"/>
      <c r="D670" s="5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 customFormat="false" ht="15.75" hidden="false" customHeight="true" outlineLevel="0" collapsed="false">
      <c r="A671" s="15"/>
      <c r="B671" s="15"/>
      <c r="C671" s="15"/>
      <c r="D671" s="5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 customFormat="false" ht="15.75" hidden="false" customHeight="true" outlineLevel="0" collapsed="false">
      <c r="A672" s="15"/>
      <c r="B672" s="15"/>
      <c r="C672" s="15"/>
      <c r="D672" s="5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 customFormat="false" ht="15.75" hidden="false" customHeight="true" outlineLevel="0" collapsed="false">
      <c r="A673" s="15"/>
      <c r="B673" s="15"/>
      <c r="C673" s="15"/>
      <c r="D673" s="5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 customFormat="false" ht="15.75" hidden="false" customHeight="true" outlineLevel="0" collapsed="false">
      <c r="A674" s="15"/>
      <c r="B674" s="15"/>
      <c r="C674" s="15"/>
      <c r="D674" s="5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 customFormat="false" ht="15.75" hidden="false" customHeight="true" outlineLevel="0" collapsed="false">
      <c r="A675" s="15"/>
      <c r="B675" s="15"/>
      <c r="C675" s="15"/>
      <c r="D675" s="5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 customFormat="false" ht="15.75" hidden="false" customHeight="true" outlineLevel="0" collapsed="false">
      <c r="A676" s="15"/>
      <c r="B676" s="15"/>
      <c r="C676" s="15"/>
      <c r="D676" s="5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 customFormat="false" ht="15.75" hidden="false" customHeight="true" outlineLevel="0" collapsed="false">
      <c r="A677" s="15"/>
      <c r="B677" s="15"/>
      <c r="C677" s="15"/>
      <c r="D677" s="5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 customFormat="false" ht="15.75" hidden="false" customHeight="true" outlineLevel="0" collapsed="false">
      <c r="A678" s="15"/>
      <c r="B678" s="15"/>
      <c r="C678" s="15"/>
      <c r="D678" s="5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 customFormat="false" ht="15.75" hidden="false" customHeight="true" outlineLevel="0" collapsed="false">
      <c r="A679" s="15"/>
      <c r="B679" s="15"/>
      <c r="C679" s="15"/>
      <c r="D679" s="5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 customFormat="false" ht="15.75" hidden="false" customHeight="true" outlineLevel="0" collapsed="false">
      <c r="A680" s="15"/>
      <c r="B680" s="15"/>
      <c r="C680" s="15"/>
      <c r="D680" s="5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 customFormat="false" ht="15.75" hidden="false" customHeight="true" outlineLevel="0" collapsed="false">
      <c r="A681" s="15"/>
      <c r="B681" s="15"/>
      <c r="C681" s="15"/>
      <c r="D681" s="5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 customFormat="false" ht="15.75" hidden="false" customHeight="true" outlineLevel="0" collapsed="false">
      <c r="A682" s="15"/>
      <c r="B682" s="15"/>
      <c r="C682" s="15"/>
      <c r="D682" s="5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 customFormat="false" ht="15.75" hidden="false" customHeight="true" outlineLevel="0" collapsed="false">
      <c r="A683" s="15"/>
      <c r="B683" s="15"/>
      <c r="C683" s="15"/>
      <c r="D683" s="5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 customFormat="false" ht="15.75" hidden="false" customHeight="true" outlineLevel="0" collapsed="false">
      <c r="A684" s="15"/>
      <c r="B684" s="15"/>
      <c r="C684" s="15"/>
      <c r="D684" s="5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 customFormat="false" ht="15.75" hidden="false" customHeight="true" outlineLevel="0" collapsed="false">
      <c r="A685" s="15"/>
      <c r="B685" s="15"/>
      <c r="C685" s="15"/>
      <c r="D685" s="5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 customFormat="false" ht="15.75" hidden="false" customHeight="true" outlineLevel="0" collapsed="false">
      <c r="A686" s="15"/>
      <c r="B686" s="15"/>
      <c r="C686" s="15"/>
      <c r="D686" s="5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 customFormat="false" ht="15.75" hidden="false" customHeight="true" outlineLevel="0" collapsed="false">
      <c r="A687" s="15"/>
      <c r="B687" s="15"/>
      <c r="C687" s="15"/>
      <c r="D687" s="5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 customFormat="false" ht="15.75" hidden="false" customHeight="true" outlineLevel="0" collapsed="false">
      <c r="A688" s="15"/>
      <c r="B688" s="15"/>
      <c r="C688" s="15"/>
      <c r="D688" s="5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 customFormat="false" ht="15.75" hidden="false" customHeight="true" outlineLevel="0" collapsed="false">
      <c r="A689" s="15"/>
      <c r="B689" s="15"/>
      <c r="C689" s="15"/>
      <c r="D689" s="5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 customFormat="false" ht="15.75" hidden="false" customHeight="true" outlineLevel="0" collapsed="false">
      <c r="A690" s="15"/>
      <c r="B690" s="15"/>
      <c r="C690" s="15"/>
      <c r="D690" s="5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 customFormat="false" ht="15.75" hidden="false" customHeight="true" outlineLevel="0" collapsed="false">
      <c r="A691" s="15"/>
      <c r="B691" s="15"/>
      <c r="C691" s="15"/>
      <c r="D691" s="5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 customFormat="false" ht="15.75" hidden="false" customHeight="true" outlineLevel="0" collapsed="false">
      <c r="A692" s="15"/>
      <c r="B692" s="15"/>
      <c r="C692" s="15"/>
      <c r="D692" s="5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 customFormat="false" ht="15.75" hidden="false" customHeight="true" outlineLevel="0" collapsed="false">
      <c r="A693" s="15"/>
      <c r="B693" s="15"/>
      <c r="C693" s="15"/>
      <c r="D693" s="5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 customFormat="false" ht="15.75" hidden="false" customHeight="true" outlineLevel="0" collapsed="false">
      <c r="A694" s="15"/>
      <c r="B694" s="15"/>
      <c r="C694" s="15"/>
      <c r="D694" s="5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 customFormat="false" ht="15.75" hidden="false" customHeight="true" outlineLevel="0" collapsed="false">
      <c r="A695" s="15"/>
      <c r="B695" s="15"/>
      <c r="C695" s="15"/>
      <c r="D695" s="5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 customFormat="false" ht="15.75" hidden="false" customHeight="true" outlineLevel="0" collapsed="false">
      <c r="A696" s="15"/>
      <c r="B696" s="15"/>
      <c r="C696" s="15"/>
      <c r="D696" s="5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 customFormat="false" ht="15.75" hidden="false" customHeight="true" outlineLevel="0" collapsed="false">
      <c r="A697" s="15"/>
      <c r="B697" s="15"/>
      <c r="C697" s="15"/>
      <c r="D697" s="5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 customFormat="false" ht="15.75" hidden="false" customHeight="true" outlineLevel="0" collapsed="false">
      <c r="A698" s="15"/>
      <c r="B698" s="15"/>
      <c r="C698" s="15"/>
      <c r="D698" s="5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 customFormat="false" ht="15.75" hidden="false" customHeight="true" outlineLevel="0" collapsed="false">
      <c r="A699" s="15"/>
      <c r="B699" s="15"/>
      <c r="C699" s="15"/>
      <c r="D699" s="5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 customFormat="false" ht="15.75" hidden="false" customHeight="true" outlineLevel="0" collapsed="false">
      <c r="A700" s="15"/>
      <c r="B700" s="15"/>
      <c r="C700" s="15"/>
      <c r="D700" s="5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 customFormat="false" ht="15.75" hidden="false" customHeight="true" outlineLevel="0" collapsed="false">
      <c r="A701" s="15"/>
      <c r="B701" s="15"/>
      <c r="C701" s="15"/>
      <c r="D701" s="5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 customFormat="false" ht="15.75" hidden="false" customHeight="true" outlineLevel="0" collapsed="false">
      <c r="A702" s="15"/>
      <c r="B702" s="15"/>
      <c r="C702" s="15"/>
      <c r="D702" s="5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 customFormat="false" ht="15.75" hidden="false" customHeight="true" outlineLevel="0" collapsed="false">
      <c r="A703" s="15"/>
      <c r="B703" s="15"/>
      <c r="C703" s="15"/>
      <c r="D703" s="5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 customFormat="false" ht="15.75" hidden="false" customHeight="true" outlineLevel="0" collapsed="false">
      <c r="A704" s="15"/>
      <c r="B704" s="15"/>
      <c r="C704" s="15"/>
      <c r="D704" s="5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 customFormat="false" ht="15.75" hidden="false" customHeight="true" outlineLevel="0" collapsed="false">
      <c r="A705" s="15"/>
      <c r="B705" s="15"/>
      <c r="C705" s="15"/>
      <c r="D705" s="5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 customFormat="false" ht="15.75" hidden="false" customHeight="true" outlineLevel="0" collapsed="false">
      <c r="A706" s="15"/>
      <c r="B706" s="15"/>
      <c r="C706" s="15"/>
      <c r="D706" s="5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 customFormat="false" ht="15.75" hidden="false" customHeight="true" outlineLevel="0" collapsed="false">
      <c r="A707" s="15"/>
      <c r="B707" s="15"/>
      <c r="C707" s="15"/>
      <c r="D707" s="5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 customFormat="false" ht="15.75" hidden="false" customHeight="true" outlineLevel="0" collapsed="false">
      <c r="A708" s="15"/>
      <c r="B708" s="15"/>
      <c r="C708" s="15"/>
      <c r="D708" s="5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 customFormat="false" ht="15.75" hidden="false" customHeight="true" outlineLevel="0" collapsed="false">
      <c r="A709" s="15"/>
      <c r="B709" s="15"/>
      <c r="C709" s="15"/>
      <c r="D709" s="5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 customFormat="false" ht="15.75" hidden="false" customHeight="true" outlineLevel="0" collapsed="false">
      <c r="A710" s="15"/>
      <c r="B710" s="15"/>
      <c r="C710" s="15"/>
      <c r="D710" s="5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 customFormat="false" ht="15.75" hidden="false" customHeight="true" outlineLevel="0" collapsed="false">
      <c r="A711" s="15"/>
      <c r="B711" s="15"/>
      <c r="C711" s="15"/>
      <c r="D711" s="5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 customFormat="false" ht="15.75" hidden="false" customHeight="true" outlineLevel="0" collapsed="false">
      <c r="A712" s="15"/>
      <c r="B712" s="15"/>
      <c r="C712" s="15"/>
      <c r="D712" s="5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 customFormat="false" ht="15.75" hidden="false" customHeight="true" outlineLevel="0" collapsed="false">
      <c r="A713" s="15"/>
      <c r="B713" s="15"/>
      <c r="C713" s="15"/>
      <c r="D713" s="5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 customFormat="false" ht="15.75" hidden="false" customHeight="true" outlineLevel="0" collapsed="false">
      <c r="A714" s="15"/>
      <c r="B714" s="15"/>
      <c r="C714" s="15"/>
      <c r="D714" s="5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 customFormat="false" ht="15.75" hidden="false" customHeight="true" outlineLevel="0" collapsed="false">
      <c r="A715" s="15"/>
      <c r="B715" s="15"/>
      <c r="C715" s="15"/>
      <c r="D715" s="5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 customFormat="false" ht="15.75" hidden="false" customHeight="true" outlineLevel="0" collapsed="false">
      <c r="A716" s="15"/>
      <c r="B716" s="15"/>
      <c r="C716" s="15"/>
      <c r="D716" s="5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 customFormat="false" ht="15.75" hidden="false" customHeight="true" outlineLevel="0" collapsed="false">
      <c r="A717" s="15"/>
      <c r="B717" s="15"/>
      <c r="C717" s="15"/>
      <c r="D717" s="5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 customFormat="false" ht="15.75" hidden="false" customHeight="true" outlineLevel="0" collapsed="false">
      <c r="A718" s="15"/>
      <c r="B718" s="15"/>
      <c r="C718" s="15"/>
      <c r="D718" s="5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 customFormat="false" ht="15.75" hidden="false" customHeight="true" outlineLevel="0" collapsed="false">
      <c r="A719" s="15"/>
      <c r="B719" s="15"/>
      <c r="C719" s="15"/>
      <c r="D719" s="5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 customFormat="false" ht="15.75" hidden="false" customHeight="true" outlineLevel="0" collapsed="false">
      <c r="A720" s="15"/>
      <c r="B720" s="15"/>
      <c r="C720" s="15"/>
      <c r="D720" s="5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 customFormat="false" ht="15.75" hidden="false" customHeight="true" outlineLevel="0" collapsed="false">
      <c r="A721" s="15"/>
      <c r="B721" s="15"/>
      <c r="C721" s="15"/>
      <c r="D721" s="5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 customFormat="false" ht="15.75" hidden="false" customHeight="true" outlineLevel="0" collapsed="false">
      <c r="A722" s="15"/>
      <c r="B722" s="15"/>
      <c r="C722" s="15"/>
      <c r="D722" s="5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 customFormat="false" ht="15.75" hidden="false" customHeight="true" outlineLevel="0" collapsed="false">
      <c r="A723" s="15"/>
      <c r="B723" s="15"/>
      <c r="C723" s="15"/>
      <c r="D723" s="5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 customFormat="false" ht="15.75" hidden="false" customHeight="true" outlineLevel="0" collapsed="false">
      <c r="A724" s="15"/>
      <c r="B724" s="15"/>
      <c r="C724" s="15"/>
      <c r="D724" s="5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 customFormat="false" ht="15.75" hidden="false" customHeight="true" outlineLevel="0" collapsed="false">
      <c r="A725" s="15"/>
      <c r="B725" s="15"/>
      <c r="C725" s="15"/>
      <c r="D725" s="5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 customFormat="false" ht="15.75" hidden="false" customHeight="true" outlineLevel="0" collapsed="false">
      <c r="A726" s="15"/>
      <c r="B726" s="15"/>
      <c r="C726" s="15"/>
      <c r="D726" s="5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 customFormat="false" ht="15.75" hidden="false" customHeight="true" outlineLevel="0" collapsed="false">
      <c r="A727" s="15"/>
      <c r="B727" s="15"/>
      <c r="C727" s="15"/>
      <c r="D727" s="5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 customFormat="false" ht="15.75" hidden="false" customHeight="true" outlineLevel="0" collapsed="false">
      <c r="A728" s="15"/>
      <c r="B728" s="15"/>
      <c r="C728" s="15"/>
      <c r="D728" s="5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 customFormat="false" ht="15.75" hidden="false" customHeight="true" outlineLevel="0" collapsed="false">
      <c r="A729" s="15"/>
      <c r="B729" s="15"/>
      <c r="C729" s="15"/>
      <c r="D729" s="5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 customFormat="false" ht="15.75" hidden="false" customHeight="true" outlineLevel="0" collapsed="false">
      <c r="A730" s="15"/>
      <c r="B730" s="15"/>
      <c r="C730" s="15"/>
      <c r="D730" s="5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 customFormat="false" ht="15.75" hidden="false" customHeight="true" outlineLevel="0" collapsed="false">
      <c r="A731" s="15"/>
      <c r="B731" s="15"/>
      <c r="C731" s="15"/>
      <c r="D731" s="5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 customFormat="false" ht="15.75" hidden="false" customHeight="true" outlineLevel="0" collapsed="false">
      <c r="A732" s="15"/>
      <c r="B732" s="15"/>
      <c r="C732" s="15"/>
      <c r="D732" s="5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 customFormat="false" ht="15.75" hidden="false" customHeight="true" outlineLevel="0" collapsed="false">
      <c r="A733" s="15"/>
      <c r="B733" s="15"/>
      <c r="C733" s="15"/>
      <c r="D733" s="5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 customFormat="false" ht="15.75" hidden="false" customHeight="true" outlineLevel="0" collapsed="false">
      <c r="A734" s="15"/>
      <c r="B734" s="15"/>
      <c r="C734" s="15"/>
      <c r="D734" s="5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 customFormat="false" ht="15.75" hidden="false" customHeight="true" outlineLevel="0" collapsed="false">
      <c r="A735" s="15"/>
      <c r="B735" s="15"/>
      <c r="C735" s="15"/>
      <c r="D735" s="5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 customFormat="false" ht="15.75" hidden="false" customHeight="true" outlineLevel="0" collapsed="false">
      <c r="A736" s="15"/>
      <c r="B736" s="15"/>
      <c r="C736" s="15"/>
      <c r="D736" s="5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 customFormat="false" ht="15.75" hidden="false" customHeight="true" outlineLevel="0" collapsed="false">
      <c r="A737" s="15"/>
      <c r="B737" s="15"/>
      <c r="C737" s="15"/>
      <c r="D737" s="5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 customFormat="false" ht="15.75" hidden="false" customHeight="true" outlineLevel="0" collapsed="false">
      <c r="A738" s="15"/>
      <c r="B738" s="15"/>
      <c r="C738" s="15"/>
      <c r="D738" s="5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 customFormat="false" ht="15.75" hidden="false" customHeight="true" outlineLevel="0" collapsed="false">
      <c r="A739" s="15"/>
      <c r="B739" s="15"/>
      <c r="C739" s="15"/>
      <c r="D739" s="5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 customFormat="false" ht="15.75" hidden="false" customHeight="true" outlineLevel="0" collapsed="false">
      <c r="A740" s="15"/>
      <c r="B740" s="15"/>
      <c r="C740" s="15"/>
      <c r="D740" s="5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 customFormat="false" ht="15.75" hidden="false" customHeight="true" outlineLevel="0" collapsed="false">
      <c r="A741" s="15"/>
      <c r="B741" s="15"/>
      <c r="C741" s="15"/>
      <c r="D741" s="5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 customFormat="false" ht="15.75" hidden="false" customHeight="true" outlineLevel="0" collapsed="false">
      <c r="A742" s="15"/>
      <c r="B742" s="15"/>
      <c r="C742" s="15"/>
      <c r="D742" s="5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 customFormat="false" ht="15.75" hidden="false" customHeight="true" outlineLevel="0" collapsed="false">
      <c r="A743" s="15"/>
      <c r="B743" s="15"/>
      <c r="C743" s="15"/>
      <c r="D743" s="5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 customFormat="false" ht="15.75" hidden="false" customHeight="true" outlineLevel="0" collapsed="false">
      <c r="A744" s="15"/>
      <c r="B744" s="15"/>
      <c r="C744" s="15"/>
      <c r="D744" s="5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 customFormat="false" ht="15.75" hidden="false" customHeight="true" outlineLevel="0" collapsed="false">
      <c r="A745" s="15"/>
      <c r="B745" s="15"/>
      <c r="C745" s="15"/>
      <c r="D745" s="5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 customFormat="false" ht="15.75" hidden="false" customHeight="true" outlineLevel="0" collapsed="false">
      <c r="A746" s="15"/>
      <c r="B746" s="15"/>
      <c r="C746" s="15"/>
      <c r="D746" s="5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 customFormat="false" ht="15.75" hidden="false" customHeight="true" outlineLevel="0" collapsed="false">
      <c r="A747" s="15"/>
      <c r="B747" s="15"/>
      <c r="C747" s="15"/>
      <c r="D747" s="5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 customFormat="false" ht="15.75" hidden="false" customHeight="true" outlineLevel="0" collapsed="false">
      <c r="A748" s="15"/>
      <c r="B748" s="15"/>
      <c r="C748" s="15"/>
      <c r="D748" s="5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 customFormat="false" ht="15.75" hidden="false" customHeight="true" outlineLevel="0" collapsed="false">
      <c r="A749" s="15"/>
      <c r="B749" s="15"/>
      <c r="C749" s="15"/>
      <c r="D749" s="5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 customFormat="false" ht="15.75" hidden="false" customHeight="true" outlineLevel="0" collapsed="false">
      <c r="A750" s="15"/>
      <c r="B750" s="15"/>
      <c r="C750" s="15"/>
      <c r="D750" s="5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 customFormat="false" ht="15.75" hidden="false" customHeight="true" outlineLevel="0" collapsed="false">
      <c r="A751" s="15"/>
      <c r="B751" s="15"/>
      <c r="C751" s="15"/>
      <c r="D751" s="5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 customFormat="false" ht="15.75" hidden="false" customHeight="true" outlineLevel="0" collapsed="false">
      <c r="A752" s="15"/>
      <c r="B752" s="15"/>
      <c r="C752" s="15"/>
      <c r="D752" s="5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 customFormat="false" ht="15.75" hidden="false" customHeight="true" outlineLevel="0" collapsed="false">
      <c r="A753" s="15"/>
      <c r="B753" s="15"/>
      <c r="C753" s="15"/>
      <c r="D753" s="5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 customFormat="false" ht="15.75" hidden="false" customHeight="true" outlineLevel="0" collapsed="false">
      <c r="A754" s="15"/>
      <c r="B754" s="15"/>
      <c r="C754" s="15"/>
      <c r="D754" s="5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 customFormat="false" ht="15.75" hidden="false" customHeight="true" outlineLevel="0" collapsed="false">
      <c r="A755" s="15"/>
      <c r="B755" s="15"/>
      <c r="C755" s="15"/>
      <c r="D755" s="5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 customFormat="false" ht="15.75" hidden="false" customHeight="true" outlineLevel="0" collapsed="false">
      <c r="A756" s="15"/>
      <c r="B756" s="15"/>
      <c r="C756" s="15"/>
      <c r="D756" s="5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 customFormat="false" ht="15.75" hidden="false" customHeight="true" outlineLevel="0" collapsed="false">
      <c r="A757" s="15"/>
      <c r="B757" s="15"/>
      <c r="C757" s="15"/>
      <c r="D757" s="5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 customFormat="false" ht="15.75" hidden="false" customHeight="true" outlineLevel="0" collapsed="false">
      <c r="A758" s="15"/>
      <c r="B758" s="15"/>
      <c r="C758" s="15"/>
      <c r="D758" s="5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 customFormat="false" ht="15.75" hidden="false" customHeight="true" outlineLevel="0" collapsed="false">
      <c r="A759" s="15"/>
      <c r="B759" s="15"/>
      <c r="C759" s="15"/>
      <c r="D759" s="5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 customFormat="false" ht="15.75" hidden="false" customHeight="true" outlineLevel="0" collapsed="false">
      <c r="A760" s="15"/>
      <c r="B760" s="15"/>
      <c r="C760" s="15"/>
      <c r="D760" s="5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 customFormat="false" ht="15.75" hidden="false" customHeight="true" outlineLevel="0" collapsed="false">
      <c r="A761" s="15"/>
      <c r="B761" s="15"/>
      <c r="C761" s="15"/>
      <c r="D761" s="5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 customFormat="false" ht="15.75" hidden="false" customHeight="true" outlineLevel="0" collapsed="false">
      <c r="A762" s="15"/>
      <c r="B762" s="15"/>
      <c r="C762" s="15"/>
      <c r="D762" s="5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 customFormat="false" ht="15.75" hidden="false" customHeight="true" outlineLevel="0" collapsed="false">
      <c r="A763" s="15"/>
      <c r="B763" s="15"/>
      <c r="C763" s="15"/>
      <c r="D763" s="5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 customFormat="false" ht="15.75" hidden="false" customHeight="true" outlineLevel="0" collapsed="false">
      <c r="A764" s="15"/>
      <c r="B764" s="15"/>
      <c r="C764" s="15"/>
      <c r="D764" s="5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 customFormat="false" ht="15.75" hidden="false" customHeight="true" outlineLevel="0" collapsed="false">
      <c r="A765" s="15"/>
      <c r="B765" s="15"/>
      <c r="C765" s="15"/>
      <c r="D765" s="5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 customFormat="false" ht="15.75" hidden="false" customHeight="true" outlineLevel="0" collapsed="false">
      <c r="A766" s="15"/>
      <c r="B766" s="15"/>
      <c r="C766" s="15"/>
      <c r="D766" s="5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 customFormat="false" ht="15.75" hidden="false" customHeight="true" outlineLevel="0" collapsed="false">
      <c r="A767" s="15"/>
      <c r="B767" s="15"/>
      <c r="C767" s="15"/>
      <c r="D767" s="5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 customFormat="false" ht="15.75" hidden="false" customHeight="true" outlineLevel="0" collapsed="false">
      <c r="A768" s="15"/>
      <c r="B768" s="15"/>
      <c r="C768" s="15"/>
      <c r="D768" s="5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 customFormat="false" ht="15.75" hidden="false" customHeight="true" outlineLevel="0" collapsed="false">
      <c r="A769" s="15"/>
      <c r="B769" s="15"/>
      <c r="C769" s="15"/>
      <c r="D769" s="5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 customFormat="false" ht="15.75" hidden="false" customHeight="true" outlineLevel="0" collapsed="false">
      <c r="A770" s="15"/>
      <c r="B770" s="15"/>
      <c r="C770" s="15"/>
      <c r="D770" s="5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 customFormat="false" ht="15.75" hidden="false" customHeight="true" outlineLevel="0" collapsed="false">
      <c r="A771" s="15"/>
      <c r="B771" s="15"/>
      <c r="C771" s="15"/>
      <c r="D771" s="5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 customFormat="false" ht="15.75" hidden="false" customHeight="true" outlineLevel="0" collapsed="false">
      <c r="A772" s="15"/>
      <c r="B772" s="15"/>
      <c r="C772" s="15"/>
      <c r="D772" s="5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 customFormat="false" ht="15.75" hidden="false" customHeight="true" outlineLevel="0" collapsed="false">
      <c r="A773" s="15"/>
      <c r="B773" s="15"/>
      <c r="C773" s="15"/>
      <c r="D773" s="5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 customFormat="false" ht="15.75" hidden="false" customHeight="true" outlineLevel="0" collapsed="false">
      <c r="A774" s="15"/>
      <c r="B774" s="15"/>
      <c r="C774" s="15"/>
      <c r="D774" s="5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 customFormat="false" ht="15.75" hidden="false" customHeight="true" outlineLevel="0" collapsed="false">
      <c r="A775" s="15"/>
      <c r="B775" s="15"/>
      <c r="C775" s="15"/>
      <c r="D775" s="5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 customFormat="false" ht="15.75" hidden="false" customHeight="true" outlineLevel="0" collapsed="false">
      <c r="A776" s="15"/>
      <c r="B776" s="15"/>
      <c r="C776" s="15"/>
      <c r="D776" s="5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 customFormat="false" ht="15.75" hidden="false" customHeight="true" outlineLevel="0" collapsed="false">
      <c r="A777" s="15"/>
      <c r="B777" s="15"/>
      <c r="C777" s="15"/>
      <c r="D777" s="5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 customFormat="false" ht="15.75" hidden="false" customHeight="true" outlineLevel="0" collapsed="false">
      <c r="A778" s="15"/>
      <c r="B778" s="15"/>
      <c r="C778" s="15"/>
      <c r="D778" s="5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 customFormat="false" ht="15.75" hidden="false" customHeight="true" outlineLevel="0" collapsed="false">
      <c r="A779" s="15"/>
      <c r="B779" s="15"/>
      <c r="C779" s="15"/>
      <c r="D779" s="5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 customFormat="false" ht="15.75" hidden="false" customHeight="true" outlineLevel="0" collapsed="false">
      <c r="A780" s="15"/>
      <c r="B780" s="15"/>
      <c r="C780" s="15"/>
      <c r="D780" s="5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 customFormat="false" ht="15.75" hidden="false" customHeight="true" outlineLevel="0" collapsed="false">
      <c r="A781" s="15"/>
      <c r="B781" s="15"/>
      <c r="C781" s="15"/>
      <c r="D781" s="5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 customFormat="false" ht="15.75" hidden="false" customHeight="true" outlineLevel="0" collapsed="false">
      <c r="A782" s="15"/>
      <c r="B782" s="15"/>
      <c r="C782" s="15"/>
      <c r="D782" s="5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 customFormat="false" ht="15.75" hidden="false" customHeight="true" outlineLevel="0" collapsed="false">
      <c r="A783" s="15"/>
      <c r="B783" s="15"/>
      <c r="C783" s="15"/>
      <c r="D783" s="5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 customFormat="false" ht="15.75" hidden="false" customHeight="true" outlineLevel="0" collapsed="false">
      <c r="A784" s="15"/>
      <c r="B784" s="15"/>
      <c r="C784" s="15"/>
      <c r="D784" s="5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 customFormat="false" ht="15.75" hidden="false" customHeight="true" outlineLevel="0" collapsed="false">
      <c r="A785" s="15"/>
      <c r="B785" s="15"/>
      <c r="C785" s="15"/>
      <c r="D785" s="5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 customFormat="false" ht="15.75" hidden="false" customHeight="true" outlineLevel="0" collapsed="false">
      <c r="A786" s="15"/>
      <c r="B786" s="15"/>
      <c r="C786" s="15"/>
      <c r="D786" s="5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 customFormat="false" ht="15.75" hidden="false" customHeight="true" outlineLevel="0" collapsed="false">
      <c r="A787" s="15"/>
      <c r="B787" s="15"/>
      <c r="C787" s="15"/>
      <c r="D787" s="5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 customFormat="false" ht="15.75" hidden="false" customHeight="true" outlineLevel="0" collapsed="false">
      <c r="A788" s="15"/>
      <c r="B788" s="15"/>
      <c r="C788" s="15"/>
      <c r="D788" s="5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 customFormat="false" ht="15.75" hidden="false" customHeight="true" outlineLevel="0" collapsed="false">
      <c r="A789" s="15"/>
      <c r="B789" s="15"/>
      <c r="C789" s="15"/>
      <c r="D789" s="5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 customFormat="false" ht="15.75" hidden="false" customHeight="true" outlineLevel="0" collapsed="false">
      <c r="A790" s="15"/>
      <c r="B790" s="15"/>
      <c r="C790" s="15"/>
      <c r="D790" s="5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 customFormat="false" ht="15.75" hidden="false" customHeight="true" outlineLevel="0" collapsed="false">
      <c r="A791" s="15"/>
      <c r="B791" s="15"/>
      <c r="C791" s="15"/>
      <c r="D791" s="5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 customFormat="false" ht="15.75" hidden="false" customHeight="true" outlineLevel="0" collapsed="false">
      <c r="A792" s="15"/>
      <c r="B792" s="15"/>
      <c r="C792" s="15"/>
      <c r="D792" s="5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 customFormat="false" ht="15.75" hidden="false" customHeight="true" outlineLevel="0" collapsed="false">
      <c r="A793" s="15"/>
      <c r="B793" s="15"/>
      <c r="C793" s="15"/>
      <c r="D793" s="5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 customFormat="false" ht="15.75" hidden="false" customHeight="true" outlineLevel="0" collapsed="false">
      <c r="A794" s="15"/>
      <c r="B794" s="15"/>
      <c r="C794" s="15"/>
      <c r="D794" s="5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 customFormat="false" ht="15.75" hidden="false" customHeight="true" outlineLevel="0" collapsed="false">
      <c r="A795" s="15"/>
      <c r="B795" s="15"/>
      <c r="C795" s="15"/>
      <c r="D795" s="5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 customFormat="false" ht="15.75" hidden="false" customHeight="true" outlineLevel="0" collapsed="false">
      <c r="A796" s="15"/>
      <c r="B796" s="15"/>
      <c r="C796" s="15"/>
      <c r="D796" s="5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 customFormat="false" ht="15.75" hidden="false" customHeight="true" outlineLevel="0" collapsed="false">
      <c r="A797" s="15"/>
      <c r="B797" s="15"/>
      <c r="C797" s="15"/>
      <c r="D797" s="5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 customFormat="false" ht="15.75" hidden="false" customHeight="true" outlineLevel="0" collapsed="false">
      <c r="A798" s="15"/>
      <c r="B798" s="15"/>
      <c r="C798" s="15"/>
      <c r="D798" s="5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 customFormat="false" ht="15.75" hidden="false" customHeight="true" outlineLevel="0" collapsed="false">
      <c r="A799" s="15"/>
      <c r="B799" s="15"/>
      <c r="C799" s="15"/>
      <c r="D799" s="5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 customFormat="false" ht="15.75" hidden="false" customHeight="true" outlineLevel="0" collapsed="false">
      <c r="A800" s="15"/>
      <c r="B800" s="15"/>
      <c r="C800" s="15"/>
      <c r="D800" s="5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 customFormat="false" ht="15.75" hidden="false" customHeight="true" outlineLevel="0" collapsed="false">
      <c r="A801" s="15"/>
      <c r="B801" s="15"/>
      <c r="C801" s="15"/>
      <c r="D801" s="5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 customFormat="false" ht="15.75" hidden="false" customHeight="true" outlineLevel="0" collapsed="false">
      <c r="A802" s="15"/>
      <c r="B802" s="15"/>
      <c r="C802" s="15"/>
      <c r="D802" s="5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 customFormat="false" ht="15.75" hidden="false" customHeight="true" outlineLevel="0" collapsed="false">
      <c r="A803" s="15"/>
      <c r="B803" s="15"/>
      <c r="C803" s="15"/>
      <c r="D803" s="5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 customFormat="false" ht="15.75" hidden="false" customHeight="true" outlineLevel="0" collapsed="false">
      <c r="A804" s="15"/>
      <c r="B804" s="15"/>
      <c r="C804" s="15"/>
      <c r="D804" s="5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 customFormat="false" ht="15.75" hidden="false" customHeight="true" outlineLevel="0" collapsed="false">
      <c r="A805" s="15"/>
      <c r="B805" s="15"/>
      <c r="C805" s="15"/>
      <c r="D805" s="5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 customFormat="false" ht="15.75" hidden="false" customHeight="true" outlineLevel="0" collapsed="false">
      <c r="A806" s="15"/>
      <c r="B806" s="15"/>
      <c r="C806" s="15"/>
      <c r="D806" s="5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 customFormat="false" ht="15.75" hidden="false" customHeight="true" outlineLevel="0" collapsed="false">
      <c r="A807" s="15"/>
      <c r="B807" s="15"/>
      <c r="C807" s="15"/>
      <c r="D807" s="5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 customFormat="false" ht="15.75" hidden="false" customHeight="true" outlineLevel="0" collapsed="false">
      <c r="A808" s="15"/>
      <c r="B808" s="15"/>
      <c r="C808" s="15"/>
      <c r="D808" s="5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 customFormat="false" ht="15.75" hidden="false" customHeight="true" outlineLevel="0" collapsed="false">
      <c r="A809" s="15"/>
      <c r="B809" s="15"/>
      <c r="C809" s="15"/>
      <c r="D809" s="5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 customFormat="false" ht="15.75" hidden="false" customHeight="true" outlineLevel="0" collapsed="false">
      <c r="A810" s="15"/>
      <c r="B810" s="15"/>
      <c r="C810" s="15"/>
      <c r="D810" s="5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 customFormat="false" ht="15.75" hidden="false" customHeight="true" outlineLevel="0" collapsed="false">
      <c r="A811" s="15"/>
      <c r="B811" s="15"/>
      <c r="C811" s="15"/>
      <c r="D811" s="5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 customFormat="false" ht="15.75" hidden="false" customHeight="true" outlineLevel="0" collapsed="false">
      <c r="A812" s="15"/>
      <c r="B812" s="15"/>
      <c r="C812" s="15"/>
      <c r="D812" s="5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 customFormat="false" ht="15.75" hidden="false" customHeight="true" outlineLevel="0" collapsed="false">
      <c r="A813" s="15"/>
      <c r="B813" s="15"/>
      <c r="C813" s="15"/>
      <c r="D813" s="5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 customFormat="false" ht="15.75" hidden="false" customHeight="true" outlineLevel="0" collapsed="false">
      <c r="A814" s="15"/>
      <c r="B814" s="15"/>
      <c r="C814" s="15"/>
      <c r="D814" s="5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 customFormat="false" ht="15.75" hidden="false" customHeight="true" outlineLevel="0" collapsed="false">
      <c r="A815" s="15"/>
      <c r="B815" s="15"/>
      <c r="C815" s="15"/>
      <c r="D815" s="5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 customFormat="false" ht="15.75" hidden="false" customHeight="true" outlineLevel="0" collapsed="false">
      <c r="A816" s="15"/>
      <c r="B816" s="15"/>
      <c r="C816" s="15"/>
      <c r="D816" s="5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 customFormat="false" ht="15.75" hidden="false" customHeight="true" outlineLevel="0" collapsed="false">
      <c r="A817" s="15"/>
      <c r="B817" s="15"/>
      <c r="C817" s="15"/>
      <c r="D817" s="5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 customFormat="false" ht="15.75" hidden="false" customHeight="true" outlineLevel="0" collapsed="false">
      <c r="A818" s="15"/>
      <c r="B818" s="15"/>
      <c r="C818" s="15"/>
      <c r="D818" s="5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 customFormat="false" ht="15.75" hidden="false" customHeight="true" outlineLevel="0" collapsed="false">
      <c r="A819" s="15"/>
      <c r="B819" s="15"/>
      <c r="C819" s="15"/>
      <c r="D819" s="5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 customFormat="false" ht="15.75" hidden="false" customHeight="true" outlineLevel="0" collapsed="false">
      <c r="A820" s="15"/>
      <c r="B820" s="15"/>
      <c r="C820" s="15"/>
      <c r="D820" s="5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 customFormat="false" ht="15.75" hidden="false" customHeight="true" outlineLevel="0" collapsed="false">
      <c r="A821" s="15"/>
      <c r="B821" s="15"/>
      <c r="C821" s="15"/>
      <c r="D821" s="5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 customFormat="false" ht="15.75" hidden="false" customHeight="true" outlineLevel="0" collapsed="false">
      <c r="A822" s="15"/>
      <c r="B822" s="15"/>
      <c r="C822" s="15"/>
      <c r="D822" s="5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 customFormat="false" ht="15.75" hidden="false" customHeight="true" outlineLevel="0" collapsed="false">
      <c r="A823" s="15"/>
      <c r="B823" s="15"/>
      <c r="C823" s="15"/>
      <c r="D823" s="5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 customFormat="false" ht="15.75" hidden="false" customHeight="true" outlineLevel="0" collapsed="false">
      <c r="A824" s="15"/>
      <c r="B824" s="15"/>
      <c r="C824" s="15"/>
      <c r="D824" s="5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 customFormat="false" ht="15.75" hidden="false" customHeight="true" outlineLevel="0" collapsed="false">
      <c r="A825" s="15"/>
      <c r="B825" s="15"/>
      <c r="C825" s="15"/>
      <c r="D825" s="5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 customFormat="false" ht="15.75" hidden="false" customHeight="true" outlineLevel="0" collapsed="false">
      <c r="A826" s="15"/>
      <c r="B826" s="15"/>
      <c r="C826" s="15"/>
      <c r="D826" s="5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 customFormat="false" ht="15.75" hidden="false" customHeight="true" outlineLevel="0" collapsed="false">
      <c r="A827" s="15"/>
      <c r="B827" s="15"/>
      <c r="C827" s="15"/>
      <c r="D827" s="5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 customFormat="false" ht="15.75" hidden="false" customHeight="true" outlineLevel="0" collapsed="false">
      <c r="A828" s="15"/>
      <c r="B828" s="15"/>
      <c r="C828" s="15"/>
      <c r="D828" s="5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 customFormat="false" ht="15.75" hidden="false" customHeight="true" outlineLevel="0" collapsed="false">
      <c r="A829" s="15"/>
      <c r="B829" s="15"/>
      <c r="C829" s="15"/>
      <c r="D829" s="5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 customFormat="false" ht="15.75" hidden="false" customHeight="true" outlineLevel="0" collapsed="false">
      <c r="A830" s="15"/>
      <c r="B830" s="15"/>
      <c r="C830" s="15"/>
      <c r="D830" s="5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 customFormat="false" ht="15.75" hidden="false" customHeight="true" outlineLevel="0" collapsed="false">
      <c r="A831" s="15"/>
      <c r="B831" s="15"/>
      <c r="C831" s="15"/>
      <c r="D831" s="5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 customFormat="false" ht="15.75" hidden="false" customHeight="true" outlineLevel="0" collapsed="false">
      <c r="A832" s="15"/>
      <c r="B832" s="15"/>
      <c r="C832" s="15"/>
      <c r="D832" s="5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 customFormat="false" ht="15.75" hidden="false" customHeight="true" outlineLevel="0" collapsed="false">
      <c r="A833" s="15"/>
      <c r="B833" s="15"/>
      <c r="C833" s="15"/>
      <c r="D833" s="5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 customFormat="false" ht="15.75" hidden="false" customHeight="true" outlineLevel="0" collapsed="false">
      <c r="A834" s="15"/>
      <c r="B834" s="15"/>
      <c r="C834" s="15"/>
      <c r="D834" s="5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 customFormat="false" ht="15.75" hidden="false" customHeight="true" outlineLevel="0" collapsed="false">
      <c r="A835" s="15"/>
      <c r="B835" s="15"/>
      <c r="C835" s="15"/>
      <c r="D835" s="5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 customFormat="false" ht="15.75" hidden="false" customHeight="true" outlineLevel="0" collapsed="false">
      <c r="A836" s="15"/>
      <c r="B836" s="15"/>
      <c r="C836" s="15"/>
      <c r="D836" s="5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 customFormat="false" ht="15.75" hidden="false" customHeight="true" outlineLevel="0" collapsed="false">
      <c r="A837" s="15"/>
      <c r="B837" s="15"/>
      <c r="C837" s="15"/>
      <c r="D837" s="5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 customFormat="false" ht="15.75" hidden="false" customHeight="true" outlineLevel="0" collapsed="false">
      <c r="A838" s="15"/>
      <c r="B838" s="15"/>
      <c r="C838" s="15"/>
      <c r="D838" s="5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 customFormat="false" ht="15.75" hidden="false" customHeight="true" outlineLevel="0" collapsed="false">
      <c r="A839" s="15"/>
      <c r="B839" s="15"/>
      <c r="C839" s="15"/>
      <c r="D839" s="5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 customFormat="false" ht="15.75" hidden="false" customHeight="true" outlineLevel="0" collapsed="false">
      <c r="A840" s="15"/>
      <c r="B840" s="15"/>
      <c r="C840" s="15"/>
      <c r="D840" s="5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 customFormat="false" ht="15.75" hidden="false" customHeight="true" outlineLevel="0" collapsed="false">
      <c r="A841" s="15"/>
      <c r="B841" s="15"/>
      <c r="C841" s="15"/>
      <c r="D841" s="5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 customFormat="false" ht="15.75" hidden="false" customHeight="true" outlineLevel="0" collapsed="false">
      <c r="A842" s="15"/>
      <c r="B842" s="15"/>
      <c r="C842" s="15"/>
      <c r="D842" s="5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 customFormat="false" ht="15.75" hidden="false" customHeight="true" outlineLevel="0" collapsed="false">
      <c r="A843" s="15"/>
      <c r="B843" s="15"/>
      <c r="C843" s="15"/>
      <c r="D843" s="5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 customFormat="false" ht="15.75" hidden="false" customHeight="true" outlineLevel="0" collapsed="false">
      <c r="A844" s="15"/>
      <c r="B844" s="15"/>
      <c r="C844" s="15"/>
      <c r="D844" s="5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 customFormat="false" ht="15.75" hidden="false" customHeight="true" outlineLevel="0" collapsed="false">
      <c r="A845" s="15"/>
      <c r="B845" s="15"/>
      <c r="C845" s="15"/>
      <c r="D845" s="5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 customFormat="false" ht="15.75" hidden="false" customHeight="true" outlineLevel="0" collapsed="false">
      <c r="A846" s="15"/>
      <c r="B846" s="15"/>
      <c r="C846" s="15"/>
      <c r="D846" s="5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 customFormat="false" ht="15.75" hidden="false" customHeight="true" outlineLevel="0" collapsed="false">
      <c r="A847" s="15"/>
      <c r="B847" s="15"/>
      <c r="C847" s="15"/>
      <c r="D847" s="5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 customFormat="false" ht="15.75" hidden="false" customHeight="true" outlineLevel="0" collapsed="false">
      <c r="A848" s="15"/>
      <c r="B848" s="15"/>
      <c r="C848" s="15"/>
      <c r="D848" s="5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 customFormat="false" ht="15.75" hidden="false" customHeight="true" outlineLevel="0" collapsed="false">
      <c r="A849" s="15"/>
      <c r="B849" s="15"/>
      <c r="C849" s="15"/>
      <c r="D849" s="5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 customFormat="false" ht="15.75" hidden="false" customHeight="true" outlineLevel="0" collapsed="false">
      <c r="A850" s="15"/>
      <c r="B850" s="15"/>
      <c r="C850" s="15"/>
      <c r="D850" s="5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 customFormat="false" ht="15.75" hidden="false" customHeight="true" outlineLevel="0" collapsed="false">
      <c r="A851" s="15"/>
      <c r="B851" s="15"/>
      <c r="C851" s="15"/>
      <c r="D851" s="5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 customFormat="false" ht="15.75" hidden="false" customHeight="true" outlineLevel="0" collapsed="false">
      <c r="A852" s="15"/>
      <c r="B852" s="15"/>
      <c r="C852" s="15"/>
      <c r="D852" s="5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 customFormat="false" ht="15.75" hidden="false" customHeight="true" outlineLevel="0" collapsed="false">
      <c r="A853" s="15"/>
      <c r="B853" s="15"/>
      <c r="C853" s="15"/>
      <c r="D853" s="5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 customFormat="false" ht="15.75" hidden="false" customHeight="true" outlineLevel="0" collapsed="false">
      <c r="A854" s="15"/>
      <c r="B854" s="15"/>
      <c r="C854" s="15"/>
      <c r="D854" s="5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 customFormat="false" ht="15.75" hidden="false" customHeight="true" outlineLevel="0" collapsed="false">
      <c r="A855" s="15"/>
      <c r="B855" s="15"/>
      <c r="C855" s="15"/>
      <c r="D855" s="5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 customFormat="false" ht="15.75" hidden="false" customHeight="true" outlineLevel="0" collapsed="false">
      <c r="A856" s="15"/>
      <c r="B856" s="15"/>
      <c r="C856" s="15"/>
      <c r="D856" s="5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 customFormat="false" ht="15.75" hidden="false" customHeight="true" outlineLevel="0" collapsed="false">
      <c r="A857" s="15"/>
      <c r="B857" s="15"/>
      <c r="C857" s="15"/>
      <c r="D857" s="5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 customFormat="false" ht="15.75" hidden="false" customHeight="true" outlineLevel="0" collapsed="false">
      <c r="A858" s="15"/>
      <c r="B858" s="15"/>
      <c r="C858" s="15"/>
      <c r="D858" s="5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 customFormat="false" ht="15.75" hidden="false" customHeight="true" outlineLevel="0" collapsed="false">
      <c r="A859" s="15"/>
      <c r="B859" s="15"/>
      <c r="C859" s="15"/>
      <c r="D859" s="5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 customFormat="false" ht="15.75" hidden="false" customHeight="true" outlineLevel="0" collapsed="false">
      <c r="A860" s="15"/>
      <c r="B860" s="15"/>
      <c r="C860" s="15"/>
      <c r="D860" s="5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 customFormat="false" ht="15.75" hidden="false" customHeight="true" outlineLevel="0" collapsed="false">
      <c r="A861" s="15"/>
      <c r="B861" s="15"/>
      <c r="C861" s="15"/>
      <c r="D861" s="5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 customFormat="false" ht="15.75" hidden="false" customHeight="true" outlineLevel="0" collapsed="false">
      <c r="A862" s="15"/>
      <c r="B862" s="15"/>
      <c r="C862" s="15"/>
      <c r="D862" s="5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 customFormat="false" ht="15.75" hidden="false" customHeight="true" outlineLevel="0" collapsed="false">
      <c r="A863" s="15"/>
      <c r="B863" s="15"/>
      <c r="C863" s="15"/>
      <c r="D863" s="5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 customFormat="false" ht="15.75" hidden="false" customHeight="true" outlineLevel="0" collapsed="false">
      <c r="A864" s="15"/>
      <c r="B864" s="15"/>
      <c r="C864" s="15"/>
      <c r="D864" s="5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 customFormat="false" ht="15.75" hidden="false" customHeight="true" outlineLevel="0" collapsed="false">
      <c r="A865" s="15"/>
      <c r="B865" s="15"/>
      <c r="C865" s="15"/>
      <c r="D865" s="5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 customFormat="false" ht="15.75" hidden="false" customHeight="true" outlineLevel="0" collapsed="false">
      <c r="A866" s="15"/>
      <c r="B866" s="15"/>
      <c r="C866" s="15"/>
      <c r="D866" s="5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 customFormat="false" ht="15.75" hidden="false" customHeight="true" outlineLevel="0" collapsed="false">
      <c r="A867" s="15"/>
      <c r="B867" s="15"/>
      <c r="C867" s="15"/>
      <c r="D867" s="5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 customFormat="false" ht="15.75" hidden="false" customHeight="true" outlineLevel="0" collapsed="false">
      <c r="A868" s="15"/>
      <c r="B868" s="15"/>
      <c r="C868" s="15"/>
      <c r="D868" s="5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 customFormat="false" ht="15.75" hidden="false" customHeight="true" outlineLevel="0" collapsed="false">
      <c r="A869" s="15"/>
      <c r="B869" s="15"/>
      <c r="C869" s="15"/>
      <c r="D869" s="5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 customFormat="false" ht="15.75" hidden="false" customHeight="true" outlineLevel="0" collapsed="false">
      <c r="A870" s="15"/>
      <c r="B870" s="15"/>
      <c r="C870" s="15"/>
      <c r="D870" s="5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 customFormat="false" ht="15.75" hidden="false" customHeight="true" outlineLevel="0" collapsed="false">
      <c r="A871" s="15"/>
      <c r="B871" s="15"/>
      <c r="C871" s="15"/>
      <c r="D871" s="5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 customFormat="false" ht="15.75" hidden="false" customHeight="true" outlineLevel="0" collapsed="false">
      <c r="A872" s="15"/>
      <c r="B872" s="15"/>
      <c r="C872" s="15"/>
      <c r="D872" s="5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 customFormat="false" ht="15.75" hidden="false" customHeight="true" outlineLevel="0" collapsed="false">
      <c r="A873" s="15"/>
      <c r="B873" s="15"/>
      <c r="C873" s="15"/>
      <c r="D873" s="5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 customFormat="false" ht="15.75" hidden="false" customHeight="true" outlineLevel="0" collapsed="false">
      <c r="A874" s="15"/>
      <c r="B874" s="15"/>
      <c r="C874" s="15"/>
      <c r="D874" s="5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 customFormat="false" ht="15.75" hidden="false" customHeight="true" outlineLevel="0" collapsed="false">
      <c r="A875" s="15"/>
      <c r="B875" s="15"/>
      <c r="C875" s="15"/>
      <c r="D875" s="5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 customFormat="false" ht="15.75" hidden="false" customHeight="true" outlineLevel="0" collapsed="false">
      <c r="A876" s="15"/>
      <c r="B876" s="15"/>
      <c r="C876" s="15"/>
      <c r="D876" s="5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 customFormat="false" ht="15.75" hidden="false" customHeight="true" outlineLevel="0" collapsed="false">
      <c r="A877" s="15"/>
      <c r="B877" s="15"/>
      <c r="C877" s="15"/>
      <c r="D877" s="5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 customFormat="false" ht="15.75" hidden="false" customHeight="true" outlineLevel="0" collapsed="false">
      <c r="A878" s="15"/>
      <c r="B878" s="15"/>
      <c r="C878" s="15"/>
      <c r="D878" s="5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 customFormat="false" ht="15.75" hidden="false" customHeight="true" outlineLevel="0" collapsed="false">
      <c r="A879" s="15"/>
      <c r="B879" s="15"/>
      <c r="C879" s="15"/>
      <c r="D879" s="5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 customFormat="false" ht="15.75" hidden="false" customHeight="true" outlineLevel="0" collapsed="false">
      <c r="A880" s="15"/>
      <c r="B880" s="15"/>
      <c r="C880" s="15"/>
      <c r="D880" s="5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 customFormat="false" ht="15.75" hidden="false" customHeight="true" outlineLevel="0" collapsed="false">
      <c r="A881" s="15"/>
      <c r="B881" s="15"/>
      <c r="C881" s="15"/>
      <c r="D881" s="5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 customFormat="false" ht="15.75" hidden="false" customHeight="true" outlineLevel="0" collapsed="false">
      <c r="A882" s="15"/>
      <c r="B882" s="15"/>
      <c r="C882" s="15"/>
      <c r="D882" s="5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 customFormat="false" ht="15.75" hidden="false" customHeight="true" outlineLevel="0" collapsed="false">
      <c r="A883" s="15"/>
      <c r="B883" s="15"/>
      <c r="C883" s="15"/>
      <c r="D883" s="5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 customFormat="false" ht="15.75" hidden="false" customHeight="true" outlineLevel="0" collapsed="false">
      <c r="A884" s="15"/>
      <c r="B884" s="15"/>
      <c r="C884" s="15"/>
      <c r="D884" s="5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 customFormat="false" ht="15.75" hidden="false" customHeight="true" outlineLevel="0" collapsed="false">
      <c r="A885" s="15"/>
      <c r="B885" s="15"/>
      <c r="C885" s="15"/>
      <c r="D885" s="5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 customFormat="false" ht="15.75" hidden="false" customHeight="true" outlineLevel="0" collapsed="false">
      <c r="A886" s="15"/>
      <c r="B886" s="15"/>
      <c r="C886" s="15"/>
      <c r="D886" s="5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 customFormat="false" ht="15.75" hidden="false" customHeight="true" outlineLevel="0" collapsed="false">
      <c r="A887" s="15"/>
      <c r="B887" s="15"/>
      <c r="C887" s="15"/>
      <c r="D887" s="5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 customFormat="false" ht="15.75" hidden="false" customHeight="true" outlineLevel="0" collapsed="false">
      <c r="A888" s="15"/>
      <c r="B888" s="15"/>
      <c r="C888" s="15"/>
      <c r="D888" s="5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 customFormat="false" ht="15.75" hidden="false" customHeight="true" outlineLevel="0" collapsed="false">
      <c r="A889" s="15"/>
      <c r="B889" s="15"/>
      <c r="C889" s="15"/>
      <c r="D889" s="5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 customFormat="false" ht="15.75" hidden="false" customHeight="true" outlineLevel="0" collapsed="false">
      <c r="A890" s="15"/>
      <c r="B890" s="15"/>
      <c r="C890" s="15"/>
      <c r="D890" s="5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 customFormat="false" ht="15.75" hidden="false" customHeight="true" outlineLevel="0" collapsed="false">
      <c r="A891" s="15"/>
      <c r="B891" s="15"/>
      <c r="C891" s="15"/>
      <c r="D891" s="5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 customFormat="false" ht="15.75" hidden="false" customHeight="true" outlineLevel="0" collapsed="false">
      <c r="A892" s="15"/>
      <c r="B892" s="15"/>
      <c r="C892" s="15"/>
      <c r="D892" s="5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 customFormat="false" ht="15.75" hidden="false" customHeight="true" outlineLevel="0" collapsed="false">
      <c r="A893" s="15"/>
      <c r="B893" s="15"/>
      <c r="C893" s="15"/>
      <c r="D893" s="5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 customFormat="false" ht="15.75" hidden="false" customHeight="true" outlineLevel="0" collapsed="false">
      <c r="A894" s="15"/>
      <c r="B894" s="15"/>
      <c r="C894" s="15"/>
      <c r="D894" s="5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 customFormat="false" ht="15.75" hidden="false" customHeight="true" outlineLevel="0" collapsed="false">
      <c r="A895" s="15"/>
      <c r="B895" s="15"/>
      <c r="C895" s="15"/>
      <c r="D895" s="5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 customFormat="false" ht="15.75" hidden="false" customHeight="true" outlineLevel="0" collapsed="false">
      <c r="A896" s="15"/>
      <c r="B896" s="15"/>
      <c r="C896" s="15"/>
      <c r="D896" s="5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 customFormat="false" ht="15.75" hidden="false" customHeight="true" outlineLevel="0" collapsed="false">
      <c r="A897" s="15"/>
      <c r="B897" s="15"/>
      <c r="C897" s="15"/>
      <c r="D897" s="5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 customFormat="false" ht="15.75" hidden="false" customHeight="true" outlineLevel="0" collapsed="false">
      <c r="A898" s="15"/>
      <c r="B898" s="15"/>
      <c r="C898" s="15"/>
      <c r="D898" s="5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 customFormat="false" ht="15.75" hidden="false" customHeight="true" outlineLevel="0" collapsed="false">
      <c r="A899" s="15"/>
      <c r="B899" s="15"/>
      <c r="C899" s="15"/>
      <c r="D899" s="5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 customFormat="false" ht="15.75" hidden="false" customHeight="true" outlineLevel="0" collapsed="false">
      <c r="A900" s="15"/>
      <c r="B900" s="15"/>
      <c r="C900" s="15"/>
      <c r="D900" s="5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 customFormat="false" ht="15.75" hidden="false" customHeight="true" outlineLevel="0" collapsed="false">
      <c r="A901" s="15"/>
      <c r="B901" s="15"/>
      <c r="C901" s="15"/>
      <c r="D901" s="5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 customFormat="false" ht="15.75" hidden="false" customHeight="true" outlineLevel="0" collapsed="false">
      <c r="A902" s="15"/>
      <c r="B902" s="15"/>
      <c r="C902" s="15"/>
      <c r="D902" s="5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 customFormat="false" ht="15.75" hidden="false" customHeight="true" outlineLevel="0" collapsed="false">
      <c r="A903" s="15"/>
      <c r="B903" s="15"/>
      <c r="C903" s="15"/>
      <c r="D903" s="5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 customFormat="false" ht="15.75" hidden="false" customHeight="true" outlineLevel="0" collapsed="false">
      <c r="A904" s="15"/>
      <c r="B904" s="15"/>
      <c r="C904" s="15"/>
      <c r="D904" s="5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 customFormat="false" ht="15.75" hidden="false" customHeight="true" outlineLevel="0" collapsed="false">
      <c r="A905" s="15"/>
      <c r="B905" s="15"/>
      <c r="C905" s="15"/>
      <c r="D905" s="5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 customFormat="false" ht="15.75" hidden="false" customHeight="true" outlineLevel="0" collapsed="false">
      <c r="A906" s="15"/>
      <c r="B906" s="15"/>
      <c r="C906" s="15"/>
      <c r="D906" s="5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 customFormat="false" ht="15.75" hidden="false" customHeight="true" outlineLevel="0" collapsed="false">
      <c r="A907" s="15"/>
      <c r="B907" s="15"/>
      <c r="C907" s="15"/>
      <c r="D907" s="5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 customFormat="false" ht="15.75" hidden="false" customHeight="true" outlineLevel="0" collapsed="false">
      <c r="A908" s="15"/>
      <c r="B908" s="15"/>
      <c r="C908" s="15"/>
      <c r="D908" s="5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 customFormat="false" ht="15.75" hidden="false" customHeight="true" outlineLevel="0" collapsed="false">
      <c r="A909" s="15"/>
      <c r="B909" s="15"/>
      <c r="C909" s="15"/>
      <c r="D909" s="5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 customFormat="false" ht="15.75" hidden="false" customHeight="true" outlineLevel="0" collapsed="false">
      <c r="A910" s="15"/>
      <c r="B910" s="15"/>
      <c r="C910" s="15"/>
      <c r="D910" s="5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 customFormat="false" ht="15.75" hidden="false" customHeight="true" outlineLevel="0" collapsed="false">
      <c r="A911" s="15"/>
      <c r="B911" s="15"/>
      <c r="C911" s="15"/>
      <c r="D911" s="5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 customFormat="false" ht="15.75" hidden="false" customHeight="true" outlineLevel="0" collapsed="false">
      <c r="A912" s="15"/>
      <c r="B912" s="15"/>
      <c r="C912" s="15"/>
      <c r="D912" s="5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 customFormat="false" ht="15.75" hidden="false" customHeight="true" outlineLevel="0" collapsed="false">
      <c r="A913" s="15"/>
      <c r="B913" s="15"/>
      <c r="C913" s="15"/>
      <c r="D913" s="5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 customFormat="false" ht="15.75" hidden="false" customHeight="true" outlineLevel="0" collapsed="false">
      <c r="A914" s="15"/>
      <c r="B914" s="15"/>
      <c r="C914" s="15"/>
      <c r="D914" s="5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 customFormat="false" ht="15.75" hidden="false" customHeight="true" outlineLevel="0" collapsed="false">
      <c r="A915" s="15"/>
      <c r="B915" s="15"/>
      <c r="C915" s="15"/>
      <c r="D915" s="5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 customFormat="false" ht="15.75" hidden="false" customHeight="true" outlineLevel="0" collapsed="false">
      <c r="A916" s="15"/>
      <c r="B916" s="15"/>
      <c r="C916" s="15"/>
      <c r="D916" s="5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 customFormat="false" ht="15.75" hidden="false" customHeight="true" outlineLevel="0" collapsed="false">
      <c r="A917" s="15"/>
      <c r="B917" s="15"/>
      <c r="C917" s="15"/>
      <c r="D917" s="5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 customFormat="false" ht="15.75" hidden="false" customHeight="true" outlineLevel="0" collapsed="false">
      <c r="A918" s="15"/>
      <c r="B918" s="15"/>
      <c r="C918" s="15"/>
      <c r="D918" s="5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 customFormat="false" ht="15.75" hidden="false" customHeight="true" outlineLevel="0" collapsed="false">
      <c r="A919" s="15"/>
      <c r="B919" s="15"/>
      <c r="C919" s="15"/>
      <c r="D919" s="5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 customFormat="false" ht="15.75" hidden="false" customHeight="true" outlineLevel="0" collapsed="false">
      <c r="A920" s="15"/>
      <c r="B920" s="15"/>
      <c r="C920" s="15"/>
      <c r="D920" s="5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 customFormat="false" ht="15.75" hidden="false" customHeight="true" outlineLevel="0" collapsed="false">
      <c r="A921" s="15"/>
      <c r="B921" s="15"/>
      <c r="C921" s="15"/>
      <c r="D921" s="5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 customFormat="false" ht="15.75" hidden="false" customHeight="true" outlineLevel="0" collapsed="false">
      <c r="A922" s="15"/>
      <c r="B922" s="15"/>
      <c r="C922" s="15"/>
      <c r="D922" s="5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 customFormat="false" ht="15.75" hidden="false" customHeight="true" outlineLevel="0" collapsed="false">
      <c r="A923" s="15"/>
      <c r="B923" s="15"/>
      <c r="C923" s="15"/>
      <c r="D923" s="5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 customFormat="false" ht="15.75" hidden="false" customHeight="true" outlineLevel="0" collapsed="false">
      <c r="A924" s="15"/>
      <c r="B924" s="15"/>
      <c r="C924" s="15"/>
      <c r="D924" s="5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 customFormat="false" ht="15.75" hidden="false" customHeight="true" outlineLevel="0" collapsed="false">
      <c r="A925" s="15"/>
      <c r="B925" s="15"/>
      <c r="C925" s="15"/>
      <c r="D925" s="5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 customFormat="false" ht="15.75" hidden="false" customHeight="true" outlineLevel="0" collapsed="false">
      <c r="A926" s="15"/>
      <c r="B926" s="15"/>
      <c r="C926" s="15"/>
      <c r="D926" s="5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 customFormat="false" ht="15.75" hidden="false" customHeight="true" outlineLevel="0" collapsed="false">
      <c r="A927" s="15"/>
      <c r="B927" s="15"/>
      <c r="C927" s="15"/>
      <c r="D927" s="5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 customFormat="false" ht="15.75" hidden="false" customHeight="true" outlineLevel="0" collapsed="false">
      <c r="A928" s="15"/>
      <c r="B928" s="15"/>
      <c r="C928" s="15"/>
      <c r="D928" s="5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 customFormat="false" ht="15.75" hidden="false" customHeight="true" outlineLevel="0" collapsed="false">
      <c r="A929" s="15"/>
      <c r="B929" s="15"/>
      <c r="C929" s="15"/>
      <c r="D929" s="5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 customFormat="false" ht="15.75" hidden="false" customHeight="true" outlineLevel="0" collapsed="false">
      <c r="A930" s="15"/>
      <c r="B930" s="15"/>
      <c r="C930" s="15"/>
      <c r="D930" s="5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 customFormat="false" ht="15.75" hidden="false" customHeight="true" outlineLevel="0" collapsed="false">
      <c r="A931" s="15"/>
      <c r="B931" s="15"/>
      <c r="C931" s="15"/>
      <c r="D931" s="5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 customFormat="false" ht="15.75" hidden="false" customHeight="true" outlineLevel="0" collapsed="false">
      <c r="A932" s="15"/>
      <c r="B932" s="15"/>
      <c r="C932" s="15"/>
      <c r="D932" s="5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 customFormat="false" ht="15.75" hidden="false" customHeight="true" outlineLevel="0" collapsed="false">
      <c r="A933" s="15"/>
      <c r="B933" s="15"/>
      <c r="C933" s="15"/>
      <c r="D933" s="5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 customFormat="false" ht="15.75" hidden="false" customHeight="true" outlineLevel="0" collapsed="false">
      <c r="A934" s="15"/>
      <c r="B934" s="15"/>
      <c r="C934" s="15"/>
      <c r="D934" s="5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 customFormat="false" ht="15.75" hidden="false" customHeight="true" outlineLevel="0" collapsed="false">
      <c r="A935" s="15"/>
      <c r="B935" s="15"/>
      <c r="C935" s="15"/>
      <c r="D935" s="5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 customFormat="false" ht="15.75" hidden="false" customHeight="true" outlineLevel="0" collapsed="false">
      <c r="A936" s="15"/>
      <c r="B936" s="15"/>
      <c r="C936" s="15"/>
      <c r="D936" s="5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 customFormat="false" ht="15.75" hidden="false" customHeight="true" outlineLevel="0" collapsed="false">
      <c r="A937" s="15"/>
      <c r="B937" s="15"/>
      <c r="C937" s="15"/>
      <c r="D937" s="5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 customFormat="false" ht="15.75" hidden="false" customHeight="true" outlineLevel="0" collapsed="false">
      <c r="A938" s="15"/>
      <c r="B938" s="15"/>
      <c r="C938" s="15"/>
      <c r="D938" s="5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 customFormat="false" ht="15.75" hidden="false" customHeight="true" outlineLevel="0" collapsed="false">
      <c r="A939" s="15"/>
      <c r="B939" s="15"/>
      <c r="C939" s="15"/>
      <c r="D939" s="5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 customFormat="false" ht="15.75" hidden="false" customHeight="true" outlineLevel="0" collapsed="false">
      <c r="A940" s="15"/>
      <c r="B940" s="15"/>
      <c r="C940" s="15"/>
      <c r="D940" s="5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 customFormat="false" ht="15.75" hidden="false" customHeight="true" outlineLevel="0" collapsed="false">
      <c r="A941" s="15"/>
      <c r="B941" s="15"/>
      <c r="C941" s="15"/>
      <c r="D941" s="5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 customFormat="false" ht="15.75" hidden="false" customHeight="true" outlineLevel="0" collapsed="false">
      <c r="A942" s="15"/>
      <c r="B942" s="15"/>
      <c r="C942" s="15"/>
      <c r="D942" s="5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 customFormat="false" ht="15.75" hidden="false" customHeight="true" outlineLevel="0" collapsed="false">
      <c r="A943" s="15"/>
      <c r="B943" s="15"/>
      <c r="C943" s="15"/>
      <c r="D943" s="5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 customFormat="false" ht="15.75" hidden="false" customHeight="true" outlineLevel="0" collapsed="false">
      <c r="A944" s="15"/>
      <c r="B944" s="15"/>
      <c r="C944" s="15"/>
      <c r="D944" s="5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 customFormat="false" ht="15.75" hidden="false" customHeight="true" outlineLevel="0" collapsed="false">
      <c r="A945" s="15"/>
      <c r="B945" s="15"/>
      <c r="C945" s="15"/>
      <c r="D945" s="5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 customFormat="false" ht="15.75" hidden="false" customHeight="true" outlineLevel="0" collapsed="false">
      <c r="A946" s="15"/>
      <c r="B946" s="15"/>
      <c r="C946" s="15"/>
      <c r="D946" s="5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 customFormat="false" ht="15.75" hidden="false" customHeight="true" outlineLevel="0" collapsed="false">
      <c r="A947" s="15"/>
      <c r="B947" s="15"/>
      <c r="C947" s="15"/>
      <c r="D947" s="5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 customFormat="false" ht="15.75" hidden="false" customHeight="true" outlineLevel="0" collapsed="false">
      <c r="A948" s="15"/>
      <c r="B948" s="15"/>
      <c r="C948" s="15"/>
      <c r="D948" s="5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 customFormat="false" ht="15.75" hidden="false" customHeight="true" outlineLevel="0" collapsed="false">
      <c r="A949" s="15"/>
      <c r="B949" s="15"/>
      <c r="C949" s="15"/>
      <c r="D949" s="5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 customFormat="false" ht="15.75" hidden="false" customHeight="true" outlineLevel="0" collapsed="false">
      <c r="A950" s="15"/>
      <c r="B950" s="15"/>
      <c r="C950" s="15"/>
      <c r="D950" s="5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 customFormat="false" ht="15.75" hidden="false" customHeight="true" outlineLevel="0" collapsed="false">
      <c r="A951" s="15"/>
      <c r="B951" s="15"/>
      <c r="C951" s="15"/>
      <c r="D951" s="5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 customFormat="false" ht="15.75" hidden="false" customHeight="true" outlineLevel="0" collapsed="false">
      <c r="A952" s="15"/>
      <c r="B952" s="15"/>
      <c r="C952" s="15"/>
      <c r="D952" s="5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 customFormat="false" ht="15.75" hidden="false" customHeight="true" outlineLevel="0" collapsed="false">
      <c r="A953" s="15"/>
      <c r="B953" s="15"/>
      <c r="C953" s="15"/>
      <c r="D953" s="5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 customFormat="false" ht="15.75" hidden="false" customHeight="true" outlineLevel="0" collapsed="false">
      <c r="A954" s="15"/>
      <c r="B954" s="15"/>
      <c r="C954" s="15"/>
      <c r="D954" s="5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 customFormat="false" ht="15.75" hidden="false" customHeight="true" outlineLevel="0" collapsed="false">
      <c r="A955" s="15"/>
      <c r="B955" s="15"/>
      <c r="C955" s="15"/>
      <c r="D955" s="5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 customFormat="false" ht="15.75" hidden="false" customHeight="true" outlineLevel="0" collapsed="false">
      <c r="A956" s="15"/>
      <c r="B956" s="15"/>
      <c r="C956" s="15"/>
      <c r="D956" s="5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 customFormat="false" ht="15.75" hidden="false" customHeight="true" outlineLevel="0" collapsed="false">
      <c r="A957" s="15"/>
      <c r="B957" s="15"/>
      <c r="C957" s="15"/>
      <c r="D957" s="5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 customFormat="false" ht="15.75" hidden="false" customHeight="true" outlineLevel="0" collapsed="false">
      <c r="A958" s="15"/>
      <c r="B958" s="15"/>
      <c r="C958" s="15"/>
      <c r="D958" s="5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 customFormat="false" ht="15.75" hidden="false" customHeight="true" outlineLevel="0" collapsed="false">
      <c r="A959" s="15"/>
      <c r="B959" s="15"/>
      <c r="C959" s="15"/>
      <c r="D959" s="5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 customFormat="false" ht="15.75" hidden="false" customHeight="true" outlineLevel="0" collapsed="false">
      <c r="A960" s="15"/>
      <c r="B960" s="15"/>
      <c r="C960" s="15"/>
      <c r="D960" s="5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 customFormat="false" ht="15.75" hidden="false" customHeight="true" outlineLevel="0" collapsed="false">
      <c r="A961" s="15"/>
      <c r="B961" s="15"/>
      <c r="C961" s="15"/>
      <c r="D961" s="5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 customFormat="false" ht="15.75" hidden="false" customHeight="true" outlineLevel="0" collapsed="false">
      <c r="A962" s="15"/>
      <c r="B962" s="15"/>
      <c r="C962" s="15"/>
      <c r="D962" s="5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 customFormat="false" ht="15.75" hidden="false" customHeight="true" outlineLevel="0" collapsed="false">
      <c r="A963" s="15"/>
      <c r="B963" s="15"/>
      <c r="C963" s="15"/>
      <c r="D963" s="5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 customFormat="false" ht="15.75" hidden="false" customHeight="true" outlineLevel="0" collapsed="false">
      <c r="A964" s="15"/>
      <c r="B964" s="15"/>
      <c r="C964" s="15"/>
      <c r="D964" s="5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 customFormat="false" ht="15.75" hidden="false" customHeight="true" outlineLevel="0" collapsed="false">
      <c r="A965" s="15"/>
      <c r="B965" s="15"/>
      <c r="C965" s="15"/>
      <c r="D965" s="5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 customFormat="false" ht="15.75" hidden="false" customHeight="true" outlineLevel="0" collapsed="false">
      <c r="A966" s="15"/>
      <c r="B966" s="15"/>
      <c r="C966" s="15"/>
      <c r="D966" s="5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 customFormat="false" ht="15.75" hidden="false" customHeight="true" outlineLevel="0" collapsed="false">
      <c r="A967" s="15"/>
      <c r="B967" s="15"/>
      <c r="C967" s="15"/>
      <c r="D967" s="5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 customFormat="false" ht="15.75" hidden="false" customHeight="true" outlineLevel="0" collapsed="false">
      <c r="A968" s="15"/>
      <c r="B968" s="15"/>
      <c r="C968" s="15"/>
      <c r="D968" s="5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 customFormat="false" ht="15.75" hidden="false" customHeight="true" outlineLevel="0" collapsed="false">
      <c r="A969" s="15"/>
      <c r="B969" s="15"/>
      <c r="C969" s="15"/>
      <c r="D969" s="5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 customFormat="false" ht="15.75" hidden="false" customHeight="true" outlineLevel="0" collapsed="false">
      <c r="A970" s="15"/>
      <c r="B970" s="15"/>
      <c r="C970" s="15"/>
      <c r="D970" s="5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 customFormat="false" ht="15.75" hidden="false" customHeight="true" outlineLevel="0" collapsed="false">
      <c r="A971" s="15"/>
      <c r="B971" s="15"/>
      <c r="C971" s="15"/>
      <c r="D971" s="5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 customFormat="false" ht="15.75" hidden="false" customHeight="true" outlineLevel="0" collapsed="false">
      <c r="A972" s="15"/>
      <c r="B972" s="15"/>
      <c r="C972" s="15"/>
      <c r="D972" s="5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 customFormat="false" ht="15.75" hidden="false" customHeight="true" outlineLevel="0" collapsed="false">
      <c r="A973" s="15"/>
      <c r="B973" s="15"/>
      <c r="C973" s="15"/>
      <c r="D973" s="5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 customFormat="false" ht="15.75" hidden="false" customHeight="true" outlineLevel="0" collapsed="false">
      <c r="A974" s="15"/>
      <c r="B974" s="15"/>
      <c r="C974" s="15"/>
      <c r="D974" s="5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 customFormat="false" ht="15.75" hidden="false" customHeight="true" outlineLevel="0" collapsed="false">
      <c r="A975" s="15"/>
      <c r="B975" s="15"/>
      <c r="C975" s="15"/>
      <c r="D975" s="5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 customFormat="false" ht="15.75" hidden="false" customHeight="true" outlineLevel="0" collapsed="false">
      <c r="A976" s="15"/>
      <c r="B976" s="15"/>
      <c r="C976" s="15"/>
      <c r="D976" s="5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 customFormat="false" ht="15.75" hidden="false" customHeight="true" outlineLevel="0" collapsed="false">
      <c r="A977" s="15"/>
      <c r="B977" s="15"/>
      <c r="C977" s="15"/>
      <c r="D977" s="5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 customFormat="false" ht="15.75" hidden="false" customHeight="true" outlineLevel="0" collapsed="false">
      <c r="A978" s="15"/>
      <c r="B978" s="15"/>
      <c r="C978" s="15"/>
      <c r="D978" s="5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 customFormat="false" ht="15.75" hidden="false" customHeight="true" outlineLevel="0" collapsed="false">
      <c r="A979" s="15"/>
      <c r="B979" s="15"/>
      <c r="C979" s="15"/>
      <c r="D979" s="5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 customFormat="false" ht="15.75" hidden="false" customHeight="true" outlineLevel="0" collapsed="false">
      <c r="A980" s="15"/>
      <c r="B980" s="15"/>
      <c r="C980" s="15"/>
      <c r="D980" s="5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 customFormat="false" ht="15.75" hidden="false" customHeight="true" outlineLevel="0" collapsed="false">
      <c r="A981" s="15"/>
      <c r="B981" s="15"/>
      <c r="C981" s="15"/>
      <c r="D981" s="5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 customFormat="false" ht="15.75" hidden="false" customHeight="true" outlineLevel="0" collapsed="false">
      <c r="A982" s="15"/>
      <c r="B982" s="15"/>
      <c r="C982" s="15"/>
      <c r="D982" s="5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 customFormat="false" ht="15.75" hidden="false" customHeight="true" outlineLevel="0" collapsed="false">
      <c r="A983" s="15"/>
      <c r="B983" s="15"/>
      <c r="C983" s="15"/>
      <c r="D983" s="5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 customFormat="false" ht="15.75" hidden="false" customHeight="true" outlineLevel="0" collapsed="false">
      <c r="A984" s="15"/>
      <c r="B984" s="15"/>
      <c r="C984" s="15"/>
      <c r="D984" s="5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 customFormat="false" ht="15.75" hidden="false" customHeight="true" outlineLevel="0" collapsed="false">
      <c r="A985" s="15"/>
      <c r="B985" s="15"/>
      <c r="C985" s="15"/>
      <c r="D985" s="5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 customFormat="false" ht="15.75" hidden="false" customHeight="true" outlineLevel="0" collapsed="false">
      <c r="A986" s="15"/>
      <c r="B986" s="15"/>
      <c r="C986" s="15"/>
      <c r="D986" s="5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 customFormat="false" ht="15.75" hidden="false" customHeight="true" outlineLevel="0" collapsed="false">
      <c r="A987" s="15"/>
      <c r="B987" s="15"/>
      <c r="C987" s="15"/>
      <c r="D987" s="5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 customFormat="false" ht="15.75" hidden="false" customHeight="true" outlineLevel="0" collapsed="false">
      <c r="A988" s="15"/>
      <c r="B988" s="15"/>
      <c r="C988" s="15"/>
      <c r="D988" s="5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 customFormat="false" ht="15.75" hidden="false" customHeight="true" outlineLevel="0" collapsed="false">
      <c r="A989" s="15"/>
      <c r="B989" s="15"/>
      <c r="C989" s="15"/>
      <c r="D989" s="5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 customFormat="false" ht="15.75" hidden="false" customHeight="true" outlineLevel="0" collapsed="false">
      <c r="A990" s="15"/>
      <c r="B990" s="15"/>
      <c r="C990" s="15"/>
      <c r="D990" s="5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 customFormat="false" ht="15.75" hidden="false" customHeight="true" outlineLevel="0" collapsed="false">
      <c r="A991" s="15"/>
      <c r="B991" s="15"/>
      <c r="C991" s="15"/>
      <c r="D991" s="5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 customFormat="false" ht="15.75" hidden="false" customHeight="true" outlineLevel="0" collapsed="false">
      <c r="A992" s="15"/>
      <c r="B992" s="15"/>
      <c r="C992" s="15"/>
      <c r="D992" s="5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 customFormat="false" ht="15.75" hidden="false" customHeight="true" outlineLevel="0" collapsed="false">
      <c r="A993" s="15"/>
      <c r="B993" s="15"/>
      <c r="C993" s="15"/>
      <c r="D993" s="5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 customFormat="false" ht="15.75" hidden="false" customHeight="true" outlineLevel="0" collapsed="false">
      <c r="A994" s="15"/>
      <c r="B994" s="15"/>
      <c r="C994" s="15"/>
      <c r="D994" s="5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 customFormat="false" ht="15.75" hidden="false" customHeight="true" outlineLevel="0" collapsed="false">
      <c r="A995" s="15"/>
      <c r="B995" s="15"/>
      <c r="C995" s="15"/>
      <c r="D995" s="5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 customFormat="false" ht="15.75" hidden="false" customHeight="true" outlineLevel="0" collapsed="false">
      <c r="A996" s="15"/>
      <c r="B996" s="15"/>
      <c r="C996" s="15"/>
      <c r="D996" s="5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 customFormat="false" ht="15.75" hidden="false" customHeight="true" outlineLevel="0" collapsed="false">
      <c r="A997" s="15"/>
      <c r="B997" s="15"/>
      <c r="C997" s="15"/>
      <c r="D997" s="5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</sheetData>
  <conditionalFormatting sqref="F3:F26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:G266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3:H266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:I266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:J266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3:E266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D266">
    <cfRule type="colorScale" priority="8">
      <colorScale>
        <cfvo type="min" val="0"/>
        <cfvo type="percentile" val="50"/>
        <cfvo type="max" val="0"/>
        <color rgb="FF57BB8A"/>
        <color rgb="FFFFD666"/>
        <color rgb="FFE67C7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3" style="0" width="14"/>
    <col collapsed="false" customWidth="true" hidden="false" outlineLevel="0" max="5" min="5" style="0" width="38"/>
  </cols>
  <sheetData>
    <row r="1" customFormat="false" ht="15" hidden="false" customHeight="false" outlineLevel="0" collapsed="false">
      <c r="A1" s="57" t="s">
        <v>2</v>
      </c>
      <c r="B1" s="57" t="s">
        <v>402</v>
      </c>
      <c r="C1" s="57" t="s">
        <v>403</v>
      </c>
      <c r="D1" s="57" t="s">
        <v>404</v>
      </c>
      <c r="E1" s="57" t="s">
        <v>405</v>
      </c>
      <c r="G1" s="58" t="s">
        <v>406</v>
      </c>
    </row>
    <row r="2" customFormat="false" ht="15" hidden="false" customHeight="false" outlineLevel="0" collapsed="false">
      <c r="A2" s="59" t="s">
        <v>124</v>
      </c>
      <c r="B2" s="59" t="s">
        <v>407</v>
      </c>
      <c r="C2" s="60" t="n">
        <v>1269.03</v>
      </c>
      <c r="D2" s="59" t="n">
        <f aca="false">COUNTIFS($A$2:$A$1931,A2,$C$2:$C$1931,"&gt;"&amp;C2)+COUNTIFS($A$2:A2,A2,$C$2:C2,C2)</f>
        <v>1</v>
      </c>
      <c r="E2" s="59" t="str">
        <f aca="false">A2&amp;"|"&amp;D2</f>
        <v>BEL-Khanapur Road|1</v>
      </c>
    </row>
    <row r="3" customFormat="false" ht="15" hidden="false" customHeight="false" outlineLevel="0" collapsed="false">
      <c r="A3" s="59" t="s">
        <v>124</v>
      </c>
      <c r="B3" s="59" t="s">
        <v>408</v>
      </c>
      <c r="C3" s="60" t="n">
        <v>1200.85</v>
      </c>
      <c r="D3" s="59" t="n">
        <f aca="false">COUNTIFS($A$2:$A$1931,A3,$C$2:$C$1931,"&gt;"&amp;C3)+COUNTIFS($A$2:A3,A3,$C$2:C3,C3)</f>
        <v>2</v>
      </c>
      <c r="E3" s="59" t="str">
        <f aca="false">A3&amp;"|"&amp;D3</f>
        <v>BEL-Khanapur Road|2</v>
      </c>
    </row>
    <row r="4" customFormat="false" ht="15" hidden="false" customHeight="false" outlineLevel="0" collapsed="false">
      <c r="A4" s="59" t="s">
        <v>124</v>
      </c>
      <c r="B4" s="59" t="s">
        <v>409</v>
      </c>
      <c r="C4" s="60" t="n">
        <v>858.13</v>
      </c>
      <c r="D4" s="59" t="n">
        <f aca="false">COUNTIFS($A$2:$A$1931,A4,$C$2:$C$1931,"&gt;"&amp;C4)+COUNTIFS($A$2:A4,A4,$C$2:C4,C4)</f>
        <v>3</v>
      </c>
      <c r="E4" s="59" t="str">
        <f aca="false">A4&amp;"|"&amp;D4</f>
        <v>BEL-Khanapur Road|3</v>
      </c>
    </row>
    <row r="5" customFormat="false" ht="15" hidden="false" customHeight="false" outlineLevel="0" collapsed="false">
      <c r="A5" s="59" t="s">
        <v>124</v>
      </c>
      <c r="B5" s="59" t="s">
        <v>410</v>
      </c>
      <c r="C5" s="60" t="n">
        <v>742.05</v>
      </c>
      <c r="D5" s="59" t="n">
        <f aca="false">COUNTIFS($A$2:$A$1931,A5,$C$2:$C$1931,"&gt;"&amp;C5)+COUNTIFS($A$2:A5,A5,$C$2:C5,C5)</f>
        <v>4</v>
      </c>
      <c r="E5" s="59" t="str">
        <f aca="false">A5&amp;"|"&amp;D5</f>
        <v>BEL-Khanapur Road|4</v>
      </c>
    </row>
    <row r="6" customFormat="false" ht="15" hidden="false" customHeight="false" outlineLevel="0" collapsed="false">
      <c r="A6" s="59" t="s">
        <v>124</v>
      </c>
      <c r="B6" s="59" t="s">
        <v>411</v>
      </c>
      <c r="C6" s="60" t="n">
        <v>736.66</v>
      </c>
      <c r="D6" s="59" t="n">
        <f aca="false">COUNTIFS($A$2:$A$1931,A6,$C$2:$C$1931,"&gt;"&amp;C6)+COUNTIFS($A$2:A6,A6,$C$2:C6,C6)</f>
        <v>5</v>
      </c>
      <c r="E6" s="59" t="str">
        <f aca="false">A6&amp;"|"&amp;D6</f>
        <v>BEL-Khanapur Road|5</v>
      </c>
    </row>
    <row r="7" customFormat="false" ht="15" hidden="false" customHeight="false" outlineLevel="0" collapsed="false">
      <c r="A7" s="59" t="s">
        <v>124</v>
      </c>
      <c r="B7" s="59" t="s">
        <v>412</v>
      </c>
      <c r="C7" s="60" t="n">
        <v>719.35</v>
      </c>
      <c r="D7" s="59" t="n">
        <f aca="false">COUNTIFS($A$2:$A$1931,A7,$C$2:$C$1931,"&gt;"&amp;C7)+COUNTIFS($A$2:A7,A7,$C$2:C7,C7)</f>
        <v>6</v>
      </c>
      <c r="E7" s="59" t="str">
        <f aca="false">A7&amp;"|"&amp;D7</f>
        <v>BEL-Khanapur Road|6</v>
      </c>
    </row>
    <row r="8" customFormat="false" ht="15" hidden="false" customHeight="false" outlineLevel="0" collapsed="false">
      <c r="A8" s="59" t="s">
        <v>124</v>
      </c>
      <c r="B8" s="59" t="s">
        <v>413</v>
      </c>
      <c r="C8" s="60" t="n">
        <v>442.56</v>
      </c>
      <c r="D8" s="59" t="n">
        <f aca="false">COUNTIFS($A$2:$A$1931,A8,$C$2:$C$1931,"&gt;"&amp;C8)+COUNTIFS($A$2:A8,A8,$C$2:C8,C8)</f>
        <v>7</v>
      </c>
      <c r="E8" s="59" t="str">
        <f aca="false">A8&amp;"|"&amp;D8</f>
        <v>BEL-Khanapur Road|7</v>
      </c>
    </row>
    <row r="9" customFormat="false" ht="15" hidden="false" customHeight="false" outlineLevel="0" collapsed="false">
      <c r="A9" s="59" t="s">
        <v>124</v>
      </c>
      <c r="B9" s="59" t="s">
        <v>414</v>
      </c>
      <c r="C9" s="60" t="n">
        <v>381.26</v>
      </c>
      <c r="D9" s="59" t="n">
        <f aca="false">COUNTIFS($A$2:$A$1931,A9,$C$2:$C$1931,"&gt;"&amp;C9)+COUNTIFS($A$2:A9,A9,$C$2:C9,C9)</f>
        <v>8</v>
      </c>
      <c r="E9" s="59" t="str">
        <f aca="false">A9&amp;"|"&amp;D9</f>
        <v>BEL-Khanapur Road|8</v>
      </c>
    </row>
    <row r="10" customFormat="false" ht="15" hidden="false" customHeight="false" outlineLevel="0" collapsed="false">
      <c r="A10" s="59" t="s">
        <v>124</v>
      </c>
      <c r="B10" s="59" t="s">
        <v>415</v>
      </c>
      <c r="C10" s="60" t="n">
        <v>289.71</v>
      </c>
      <c r="D10" s="59" t="n">
        <f aca="false">COUNTIFS($A$2:$A$1931,A10,$C$2:$C$1931,"&gt;"&amp;C10)+COUNTIFS($A$2:A10,A10,$C$2:C10,C10)</f>
        <v>9</v>
      </c>
      <c r="E10" s="59" t="str">
        <f aca="false">A10&amp;"|"&amp;D10</f>
        <v>BEL-Khanapur Road|9</v>
      </c>
    </row>
    <row r="11" customFormat="false" ht="15" hidden="false" customHeight="false" outlineLevel="0" collapsed="false">
      <c r="A11" s="59" t="s">
        <v>124</v>
      </c>
      <c r="B11" s="59" t="s">
        <v>416</v>
      </c>
      <c r="C11" s="60" t="n">
        <v>182.28</v>
      </c>
      <c r="D11" s="59" t="n">
        <f aca="false">COUNTIFS($A$2:$A$1931,A11,$C$2:$C$1931,"&gt;"&amp;C11)+COUNTIFS($A$2:A11,A11,$C$2:C11,C11)</f>
        <v>10</v>
      </c>
      <c r="E11" s="59" t="str">
        <f aca="false">A11&amp;"|"&amp;D11</f>
        <v>BEL-Khanapur Road|10</v>
      </c>
    </row>
    <row r="12" customFormat="false" ht="15" hidden="false" customHeight="false" outlineLevel="0" collapsed="false">
      <c r="A12" s="59" t="s">
        <v>124</v>
      </c>
      <c r="B12" s="59" t="s">
        <v>417</v>
      </c>
      <c r="C12" s="60" t="n">
        <v>146.85</v>
      </c>
      <c r="D12" s="59" t="n">
        <f aca="false">COUNTIFS($A$2:$A$1931,A12,$C$2:$C$1931,"&gt;"&amp;C12)+COUNTIFS($A$2:A12,A12,$C$2:C12,C12)</f>
        <v>11</v>
      </c>
      <c r="E12" s="59" t="str">
        <f aca="false">A12&amp;"|"&amp;D12</f>
        <v>BEL-Khanapur Road|11</v>
      </c>
    </row>
    <row r="13" customFormat="false" ht="15" hidden="false" customHeight="false" outlineLevel="0" collapsed="false">
      <c r="A13" s="59" t="s">
        <v>124</v>
      </c>
      <c r="B13" s="59" t="s">
        <v>418</v>
      </c>
      <c r="C13" s="60" t="n">
        <v>49.23</v>
      </c>
      <c r="D13" s="59" t="n">
        <f aca="false">COUNTIFS($A$2:$A$1931,A13,$C$2:$C$1931,"&gt;"&amp;C13)+COUNTIFS($A$2:A13,A13,$C$2:C13,C13)</f>
        <v>12</v>
      </c>
      <c r="E13" s="59" t="str">
        <f aca="false">A13&amp;"|"&amp;D13</f>
        <v>BEL-Khanapur Road|12</v>
      </c>
    </row>
    <row r="14" customFormat="false" ht="15" hidden="false" customHeight="false" outlineLevel="0" collapsed="false">
      <c r="A14" s="59" t="s">
        <v>188</v>
      </c>
      <c r="B14" s="59" t="s">
        <v>417</v>
      </c>
      <c r="C14" s="60" t="n">
        <v>870.79</v>
      </c>
      <c r="D14" s="59" t="n">
        <f aca="false">COUNTIFS($A$2:$A$1931,A14,$C$2:$C$1931,"&gt;"&amp;C14)+COUNTIFS($A$2:A14,A14,$C$2:C14,C14)</f>
        <v>1</v>
      </c>
      <c r="E14" s="59" t="str">
        <f aca="false">A14&amp;"|"&amp;D14</f>
        <v>BEL-Sector 12|1</v>
      </c>
    </row>
    <row r="15" customFormat="false" ht="15" hidden="false" customHeight="false" outlineLevel="0" collapsed="false">
      <c r="A15" s="59" t="s">
        <v>188</v>
      </c>
      <c r="B15" s="59" t="s">
        <v>414</v>
      </c>
      <c r="C15" s="60" t="n">
        <v>438.52</v>
      </c>
      <c r="D15" s="59" t="n">
        <f aca="false">COUNTIFS($A$2:$A$1931,A15,$C$2:$C$1931,"&gt;"&amp;C15)+COUNTIFS($A$2:A15,A15,$C$2:C15,C15)</f>
        <v>2</v>
      </c>
      <c r="E15" s="59" t="str">
        <f aca="false">A15&amp;"|"&amp;D15</f>
        <v>BEL-Sector 12|2</v>
      </c>
    </row>
    <row r="16" customFormat="false" ht="15" hidden="false" customHeight="false" outlineLevel="0" collapsed="false">
      <c r="A16" s="59" t="s">
        <v>188</v>
      </c>
      <c r="B16" s="59" t="s">
        <v>412</v>
      </c>
      <c r="C16" s="60" t="n">
        <v>151.66</v>
      </c>
      <c r="D16" s="59" t="n">
        <f aca="false">COUNTIFS($A$2:$A$1931,A16,$C$2:$C$1931,"&gt;"&amp;C16)+COUNTIFS($A$2:A16,A16,$C$2:C16,C16)</f>
        <v>3</v>
      </c>
      <c r="E16" s="59" t="str">
        <f aca="false">A16&amp;"|"&amp;D16</f>
        <v>BEL-Sector 12|3</v>
      </c>
    </row>
    <row r="17" customFormat="false" ht="15" hidden="false" customHeight="false" outlineLevel="0" collapsed="false">
      <c r="A17" s="59" t="s">
        <v>188</v>
      </c>
      <c r="B17" s="59" t="s">
        <v>419</v>
      </c>
      <c r="C17" s="60" t="n">
        <v>118.22</v>
      </c>
      <c r="D17" s="59" t="n">
        <f aca="false">COUNTIFS($A$2:$A$1931,A17,$C$2:$C$1931,"&gt;"&amp;C17)+COUNTIFS($A$2:A17,A17,$C$2:C17,C17)</f>
        <v>4</v>
      </c>
      <c r="E17" s="59" t="str">
        <f aca="false">A17&amp;"|"&amp;D17</f>
        <v>BEL-Sector 12|4</v>
      </c>
    </row>
    <row r="18" customFormat="false" ht="15" hidden="false" customHeight="false" outlineLevel="0" collapsed="false">
      <c r="A18" s="59" t="s">
        <v>188</v>
      </c>
      <c r="B18" s="59" t="s">
        <v>420</v>
      </c>
      <c r="C18" s="60" t="n">
        <v>110.36</v>
      </c>
      <c r="D18" s="59" t="n">
        <f aca="false">COUNTIFS($A$2:$A$1931,A18,$C$2:$C$1931,"&gt;"&amp;C18)+COUNTIFS($A$2:A18,A18,$C$2:C18,C18)</f>
        <v>5</v>
      </c>
      <c r="E18" s="59" t="str">
        <f aca="false">A18&amp;"|"&amp;D18</f>
        <v>BEL-Sector 12|5</v>
      </c>
    </row>
    <row r="19" customFormat="false" ht="15" hidden="false" customHeight="false" outlineLevel="0" collapsed="false">
      <c r="A19" s="59" t="s">
        <v>188</v>
      </c>
      <c r="B19" s="59" t="s">
        <v>407</v>
      </c>
      <c r="C19" s="60" t="n">
        <v>55.36</v>
      </c>
      <c r="D19" s="59" t="n">
        <f aca="false">COUNTIFS($A$2:$A$1931,A19,$C$2:$C$1931,"&gt;"&amp;C19)+COUNTIFS($A$2:A19,A19,$C$2:C19,C19)</f>
        <v>6</v>
      </c>
      <c r="E19" s="59" t="str">
        <f aca="false">A19&amp;"|"&amp;D19</f>
        <v>BEL-Sector 12|6</v>
      </c>
    </row>
    <row r="20" customFormat="false" ht="15" hidden="false" customHeight="false" outlineLevel="0" collapsed="false">
      <c r="A20" s="59" t="s">
        <v>188</v>
      </c>
      <c r="B20" s="59" t="s">
        <v>413</v>
      </c>
      <c r="C20" s="60" t="n">
        <v>42.42</v>
      </c>
      <c r="D20" s="59" t="n">
        <f aca="false">COUNTIFS($A$2:$A$1931,A20,$C$2:$C$1931,"&gt;"&amp;C20)+COUNTIFS($A$2:A20,A20,$C$2:C20,C20)</f>
        <v>7</v>
      </c>
      <c r="E20" s="59" t="str">
        <f aca="false">A20&amp;"|"&amp;D20</f>
        <v>BEL-Sector 12|7</v>
      </c>
    </row>
    <row r="21" customFormat="false" ht="15" hidden="false" customHeight="false" outlineLevel="0" collapsed="false">
      <c r="A21" s="59" t="s">
        <v>188</v>
      </c>
      <c r="B21" s="59" t="s">
        <v>421</v>
      </c>
      <c r="C21" s="60" t="n">
        <v>26.79</v>
      </c>
      <c r="D21" s="59" t="n">
        <f aca="false">COUNTIFS($A$2:$A$1931,A21,$C$2:$C$1931,"&gt;"&amp;C21)+COUNTIFS($A$2:A21,A21,$C$2:C21,C21)</f>
        <v>8</v>
      </c>
      <c r="E21" s="59" t="str">
        <f aca="false">A21&amp;"|"&amp;D21</f>
        <v>BEL-Sector 12|8</v>
      </c>
    </row>
    <row r="22" customFormat="false" ht="15" hidden="false" customHeight="false" outlineLevel="0" collapsed="false">
      <c r="A22" s="59" t="s">
        <v>188</v>
      </c>
      <c r="B22" s="59" t="s">
        <v>415</v>
      </c>
      <c r="C22" s="60" t="n">
        <v>25.71</v>
      </c>
      <c r="D22" s="59" t="n">
        <f aca="false">COUNTIFS($A$2:$A$1931,A22,$C$2:$C$1931,"&gt;"&amp;C22)+COUNTIFS($A$2:A22,A22,$C$2:C22,C22)</f>
        <v>9</v>
      </c>
      <c r="E22" s="59" t="str">
        <f aca="false">A22&amp;"|"&amp;D22</f>
        <v>BEL-Sector 12|9</v>
      </c>
    </row>
    <row r="23" customFormat="false" ht="15" hidden="false" customHeight="false" outlineLevel="0" collapsed="false">
      <c r="A23" s="59" t="s">
        <v>188</v>
      </c>
      <c r="B23" s="59" t="s">
        <v>411</v>
      </c>
      <c r="C23" s="60" t="n">
        <v>17.93</v>
      </c>
      <c r="D23" s="59" t="n">
        <f aca="false">COUNTIFS($A$2:$A$1931,A23,$C$2:$C$1931,"&gt;"&amp;C23)+COUNTIFS($A$2:A23,A23,$C$2:C23,C23)</f>
        <v>10</v>
      </c>
      <c r="E23" s="59" t="str">
        <f aca="false">A23&amp;"|"&amp;D23</f>
        <v>BEL-Sector 12|10</v>
      </c>
    </row>
    <row r="24" customFormat="false" ht="15" hidden="false" customHeight="false" outlineLevel="0" collapsed="false">
      <c r="A24" s="59" t="s">
        <v>188</v>
      </c>
      <c r="B24" s="59" t="s">
        <v>422</v>
      </c>
      <c r="C24" s="60" t="n">
        <v>14.79</v>
      </c>
      <c r="D24" s="59" t="n">
        <f aca="false">COUNTIFS($A$2:$A$1931,A24,$C$2:$C$1931,"&gt;"&amp;C24)+COUNTIFS($A$2:A24,A24,$C$2:C24,C24)</f>
        <v>11</v>
      </c>
      <c r="E24" s="59" t="str">
        <f aca="false">A24&amp;"|"&amp;D24</f>
        <v>BEL-Sector 12|11</v>
      </c>
    </row>
    <row r="25" customFormat="false" ht="15" hidden="false" customHeight="false" outlineLevel="0" collapsed="false">
      <c r="A25" s="59" t="s">
        <v>292</v>
      </c>
      <c r="B25" s="59" t="s">
        <v>421</v>
      </c>
      <c r="C25" s="60" t="n">
        <v>2332.51</v>
      </c>
      <c r="D25" s="59" t="n">
        <f aca="false">COUNTIFS($A$2:$A$1931,A25,$C$2:$C$1931,"&gt;"&amp;C25)+COUNTIFS($A$2:A25,A25,$C$2:C25,C25)</f>
        <v>1</v>
      </c>
      <c r="E25" s="59" t="str">
        <f aca="false">A25&amp;"|"&amp;D25</f>
        <v>BLR - Bhadrappa Layout|1</v>
      </c>
    </row>
    <row r="26" customFormat="false" ht="15" hidden="false" customHeight="false" outlineLevel="0" collapsed="false">
      <c r="A26" s="59" t="s">
        <v>292</v>
      </c>
      <c r="B26" s="59" t="s">
        <v>423</v>
      </c>
      <c r="C26" s="60" t="n">
        <v>312.08</v>
      </c>
      <c r="D26" s="59" t="n">
        <f aca="false">COUNTIFS($A$2:$A$1931,A26,$C$2:$C$1931,"&gt;"&amp;C26)+COUNTIFS($A$2:A26,A26,$C$2:C26,C26)</f>
        <v>2</v>
      </c>
      <c r="E26" s="59" t="str">
        <f aca="false">A26&amp;"|"&amp;D26</f>
        <v>BLR - Bhadrappa Layout|2</v>
      </c>
    </row>
    <row r="27" customFormat="false" ht="15" hidden="false" customHeight="false" outlineLevel="0" collapsed="false">
      <c r="A27" s="59" t="s">
        <v>211</v>
      </c>
      <c r="B27" s="59" t="s">
        <v>420</v>
      </c>
      <c r="C27" s="60" t="n">
        <v>2921.67</v>
      </c>
      <c r="D27" s="59" t="n">
        <f aca="false">COUNTIFS($A$2:$A$1931,A27,$C$2:$C$1931,"&gt;"&amp;C27)+COUNTIFS($A$2:A27,A27,$C$2:C27,C27)</f>
        <v>1</v>
      </c>
      <c r="E27" s="59" t="str">
        <f aca="false">A27&amp;"|"&amp;D27</f>
        <v>BLR- Brookefield SS|1</v>
      </c>
    </row>
    <row r="28" customFormat="false" ht="15" hidden="false" customHeight="false" outlineLevel="0" collapsed="false">
      <c r="A28" s="59" t="s">
        <v>211</v>
      </c>
      <c r="B28" s="59" t="s">
        <v>418</v>
      </c>
      <c r="C28" s="60" t="n">
        <v>1271.29</v>
      </c>
      <c r="D28" s="59" t="n">
        <f aca="false">COUNTIFS($A$2:$A$1931,A28,$C$2:$C$1931,"&gt;"&amp;C28)+COUNTIFS($A$2:A28,A28,$C$2:C28,C28)</f>
        <v>2</v>
      </c>
      <c r="E28" s="59" t="str">
        <f aca="false">A28&amp;"|"&amp;D28</f>
        <v>BLR- Brookefield SS|2</v>
      </c>
    </row>
    <row r="29" customFormat="false" ht="15" hidden="false" customHeight="false" outlineLevel="0" collapsed="false">
      <c r="A29" s="59" t="s">
        <v>211</v>
      </c>
      <c r="B29" s="59" t="s">
        <v>424</v>
      </c>
      <c r="C29" s="60" t="n">
        <v>1003.19</v>
      </c>
      <c r="D29" s="59" t="n">
        <f aca="false">COUNTIFS($A$2:$A$1931,A29,$C$2:$C$1931,"&gt;"&amp;C29)+COUNTIFS($A$2:A29,A29,$C$2:C29,C29)</f>
        <v>3</v>
      </c>
      <c r="E29" s="59" t="str">
        <f aca="false">A29&amp;"|"&amp;D29</f>
        <v>BLR- Brookefield SS|3</v>
      </c>
    </row>
    <row r="30" customFormat="false" ht="15" hidden="false" customHeight="false" outlineLevel="0" collapsed="false">
      <c r="A30" s="59" t="s">
        <v>211</v>
      </c>
      <c r="B30" s="59" t="s">
        <v>425</v>
      </c>
      <c r="C30" s="60" t="n">
        <v>725.16</v>
      </c>
      <c r="D30" s="59" t="n">
        <f aca="false">COUNTIFS($A$2:$A$1931,A30,$C$2:$C$1931,"&gt;"&amp;C30)+COUNTIFS($A$2:A30,A30,$C$2:C30,C30)</f>
        <v>4</v>
      </c>
      <c r="E30" s="59" t="str">
        <f aca="false">A30&amp;"|"&amp;D30</f>
        <v>BLR- Brookefield SS|4</v>
      </c>
    </row>
    <row r="31" customFormat="false" ht="15" hidden="false" customHeight="false" outlineLevel="0" collapsed="false">
      <c r="A31" s="59" t="s">
        <v>211</v>
      </c>
      <c r="B31" s="59" t="s">
        <v>409</v>
      </c>
      <c r="C31" s="60" t="n">
        <v>531.98</v>
      </c>
      <c r="D31" s="59" t="n">
        <f aca="false">COUNTIFS($A$2:$A$1931,A31,$C$2:$C$1931,"&gt;"&amp;C31)+COUNTIFS($A$2:A31,A31,$C$2:C31,C31)</f>
        <v>5</v>
      </c>
      <c r="E31" s="59" t="str">
        <f aca="false">A31&amp;"|"&amp;D31</f>
        <v>BLR- Brookefield SS|5</v>
      </c>
    </row>
    <row r="32" customFormat="false" ht="15" hidden="false" customHeight="false" outlineLevel="0" collapsed="false">
      <c r="A32" s="59" t="s">
        <v>211</v>
      </c>
      <c r="B32" s="59" t="s">
        <v>411</v>
      </c>
      <c r="C32" s="60" t="n">
        <v>485.77</v>
      </c>
      <c r="D32" s="59" t="n">
        <f aca="false">COUNTIFS($A$2:$A$1931,A32,$C$2:$C$1931,"&gt;"&amp;C32)+COUNTIFS($A$2:A32,A32,$C$2:C32,C32)</f>
        <v>6</v>
      </c>
      <c r="E32" s="59" t="str">
        <f aca="false">A32&amp;"|"&amp;D32</f>
        <v>BLR- Brookefield SS|6</v>
      </c>
    </row>
    <row r="33" customFormat="false" ht="15" hidden="false" customHeight="false" outlineLevel="0" collapsed="false">
      <c r="A33" s="59" t="s">
        <v>211</v>
      </c>
      <c r="B33" s="59" t="s">
        <v>426</v>
      </c>
      <c r="C33" s="60" t="n">
        <v>387.13</v>
      </c>
      <c r="D33" s="59" t="n">
        <f aca="false">COUNTIFS($A$2:$A$1931,A33,$C$2:$C$1931,"&gt;"&amp;C33)+COUNTIFS($A$2:A33,A33,$C$2:C33,C33)</f>
        <v>7</v>
      </c>
      <c r="E33" s="59" t="str">
        <f aca="false">A33&amp;"|"&amp;D33</f>
        <v>BLR- Brookefield SS|7</v>
      </c>
    </row>
    <row r="34" customFormat="false" ht="15" hidden="false" customHeight="false" outlineLevel="0" collapsed="false">
      <c r="A34" s="59" t="s">
        <v>211</v>
      </c>
      <c r="B34" s="59" t="s">
        <v>412</v>
      </c>
      <c r="C34" s="60" t="n">
        <v>218.7</v>
      </c>
      <c r="D34" s="59" t="n">
        <f aca="false">COUNTIFS($A$2:$A$1931,A34,$C$2:$C$1931,"&gt;"&amp;C34)+COUNTIFS($A$2:A34,A34,$C$2:C34,C34)</f>
        <v>8</v>
      </c>
      <c r="E34" s="59" t="str">
        <f aca="false">A34&amp;"|"&amp;D34</f>
        <v>BLR- Brookefield SS|8</v>
      </c>
    </row>
    <row r="35" customFormat="false" ht="15" hidden="false" customHeight="false" outlineLevel="0" collapsed="false">
      <c r="A35" s="59" t="s">
        <v>211</v>
      </c>
      <c r="B35" s="59" t="s">
        <v>427</v>
      </c>
      <c r="C35" s="60" t="n">
        <v>152.74</v>
      </c>
      <c r="D35" s="59" t="n">
        <f aca="false">COUNTIFS($A$2:$A$1931,A35,$C$2:$C$1931,"&gt;"&amp;C35)+COUNTIFS($A$2:A35,A35,$C$2:C35,C35)</f>
        <v>9</v>
      </c>
      <c r="E35" s="59" t="str">
        <f aca="false">A35&amp;"|"&amp;D35</f>
        <v>BLR- Brookefield SS|9</v>
      </c>
    </row>
    <row r="36" customFormat="false" ht="15" hidden="false" customHeight="false" outlineLevel="0" collapsed="false">
      <c r="A36" s="59" t="s">
        <v>211</v>
      </c>
      <c r="B36" s="59" t="s">
        <v>428</v>
      </c>
      <c r="C36" s="60" t="n">
        <v>106.57</v>
      </c>
      <c r="D36" s="59" t="n">
        <f aca="false">COUNTIFS($A$2:$A$1931,A36,$C$2:$C$1931,"&gt;"&amp;C36)+COUNTIFS($A$2:A36,A36,$C$2:C36,C36)</f>
        <v>10</v>
      </c>
      <c r="E36" s="59" t="str">
        <f aca="false">A36&amp;"|"&amp;D36</f>
        <v>BLR- Brookefield SS|10</v>
      </c>
    </row>
    <row r="37" customFormat="false" ht="15" hidden="false" customHeight="false" outlineLevel="0" collapsed="false">
      <c r="A37" s="59" t="s">
        <v>211</v>
      </c>
      <c r="B37" s="59" t="s">
        <v>429</v>
      </c>
      <c r="C37" s="60" t="n">
        <v>78.38</v>
      </c>
      <c r="D37" s="59" t="n">
        <f aca="false">COUNTIFS($A$2:$A$1931,A37,$C$2:$C$1931,"&gt;"&amp;C37)+COUNTIFS($A$2:A37,A37,$C$2:C37,C37)</f>
        <v>11</v>
      </c>
      <c r="E37" s="59" t="str">
        <f aca="false">A37&amp;"|"&amp;D37</f>
        <v>BLR- Brookefield SS|11</v>
      </c>
    </row>
    <row r="38" customFormat="false" ht="15" hidden="false" customHeight="false" outlineLevel="0" collapsed="false">
      <c r="A38" s="59" t="s">
        <v>211</v>
      </c>
      <c r="B38" s="59" t="s">
        <v>430</v>
      </c>
      <c r="C38" s="60" t="n">
        <v>45.2</v>
      </c>
      <c r="D38" s="59" t="n">
        <f aca="false">COUNTIFS($A$2:$A$1931,A38,$C$2:$C$1931,"&gt;"&amp;C38)+COUNTIFS($A$2:A38,A38,$C$2:C38,C38)</f>
        <v>12</v>
      </c>
      <c r="E38" s="59" t="str">
        <f aca="false">A38&amp;"|"&amp;D38</f>
        <v>BLR- Brookefield SS|12</v>
      </c>
    </row>
    <row r="39" customFormat="false" ht="15" hidden="false" customHeight="false" outlineLevel="0" collapsed="false">
      <c r="A39" s="59" t="s">
        <v>240</v>
      </c>
      <c r="B39" s="59" t="s">
        <v>417</v>
      </c>
      <c r="C39" s="60" t="n">
        <v>4346.24</v>
      </c>
      <c r="D39" s="59" t="n">
        <f aca="false">COUNTIFS($A$2:$A$1931,A39,$C$2:$C$1931,"&gt;"&amp;C39)+COUNTIFS($A$2:A39,A39,$C$2:C39,C39)</f>
        <v>1</v>
      </c>
      <c r="E39" s="59" t="str">
        <f aca="false">A39&amp;"|"&amp;D39</f>
        <v>BLR- Sonnenahalli New|1</v>
      </c>
    </row>
    <row r="40" customFormat="false" ht="15" hidden="false" customHeight="false" outlineLevel="0" collapsed="false">
      <c r="A40" s="59" t="s">
        <v>240</v>
      </c>
      <c r="B40" s="59" t="s">
        <v>408</v>
      </c>
      <c r="C40" s="60" t="n">
        <v>349.71</v>
      </c>
      <c r="D40" s="59" t="n">
        <f aca="false">COUNTIFS($A$2:$A$1931,A40,$C$2:$C$1931,"&gt;"&amp;C40)+COUNTIFS($A$2:A40,A40,$C$2:C40,C40)</f>
        <v>2</v>
      </c>
      <c r="E40" s="59" t="str">
        <f aca="false">A40&amp;"|"&amp;D40</f>
        <v>BLR- Sonnenahalli New|2</v>
      </c>
    </row>
    <row r="41" customFormat="false" ht="15" hidden="false" customHeight="false" outlineLevel="0" collapsed="false">
      <c r="A41" s="59" t="s">
        <v>240</v>
      </c>
      <c r="B41" s="59" t="s">
        <v>423</v>
      </c>
      <c r="C41" s="60" t="n">
        <v>281.84</v>
      </c>
      <c r="D41" s="59" t="n">
        <f aca="false">COUNTIFS($A$2:$A$1931,A41,$C$2:$C$1931,"&gt;"&amp;C41)+COUNTIFS($A$2:A41,A41,$C$2:C41,C41)</f>
        <v>3</v>
      </c>
      <c r="E41" s="59" t="str">
        <f aca="false">A41&amp;"|"&amp;D41</f>
        <v>BLR- Sonnenahalli New|3</v>
      </c>
    </row>
    <row r="42" customFormat="false" ht="15" hidden="false" customHeight="false" outlineLevel="0" collapsed="false">
      <c r="A42" s="59" t="s">
        <v>240</v>
      </c>
      <c r="B42" s="59" t="s">
        <v>424</v>
      </c>
      <c r="C42" s="60" t="n">
        <v>277.69</v>
      </c>
      <c r="D42" s="59" t="n">
        <f aca="false">COUNTIFS($A$2:$A$1931,A42,$C$2:$C$1931,"&gt;"&amp;C42)+COUNTIFS($A$2:A42,A42,$C$2:C42,C42)</f>
        <v>4</v>
      </c>
      <c r="E42" s="59" t="str">
        <f aca="false">A42&amp;"|"&amp;D42</f>
        <v>BLR- Sonnenahalli New|4</v>
      </c>
    </row>
    <row r="43" customFormat="false" ht="15" hidden="false" customHeight="false" outlineLevel="0" collapsed="false">
      <c r="A43" s="59" t="s">
        <v>240</v>
      </c>
      <c r="B43" s="59" t="s">
        <v>431</v>
      </c>
      <c r="C43" s="60" t="n">
        <v>241.22</v>
      </c>
      <c r="D43" s="59" t="n">
        <f aca="false">COUNTIFS($A$2:$A$1931,A43,$C$2:$C$1931,"&gt;"&amp;C43)+COUNTIFS($A$2:A43,A43,$C$2:C43,C43)</f>
        <v>5</v>
      </c>
      <c r="E43" s="59" t="str">
        <f aca="false">A43&amp;"|"&amp;D43</f>
        <v>BLR- Sonnenahalli New|5</v>
      </c>
    </row>
    <row r="44" customFormat="false" ht="15" hidden="false" customHeight="false" outlineLevel="0" collapsed="false">
      <c r="A44" s="59" t="s">
        <v>240</v>
      </c>
      <c r="B44" s="59" t="s">
        <v>432</v>
      </c>
      <c r="C44" s="60" t="n">
        <v>56.24</v>
      </c>
      <c r="D44" s="59" t="n">
        <f aca="false">COUNTIFS($A$2:$A$1931,A44,$C$2:$C$1931,"&gt;"&amp;C44)+COUNTIFS($A$2:A44,A44,$C$2:C44,C44)</f>
        <v>6</v>
      </c>
      <c r="E44" s="59" t="str">
        <f aca="false">A44&amp;"|"&amp;D44</f>
        <v>BLR- Sonnenahalli New|6</v>
      </c>
    </row>
    <row r="45" customFormat="false" ht="15" hidden="false" customHeight="false" outlineLevel="0" collapsed="false">
      <c r="A45" s="59" t="s">
        <v>285</v>
      </c>
      <c r="B45" s="59" t="s">
        <v>408</v>
      </c>
      <c r="C45" s="60" t="n">
        <v>4656.71</v>
      </c>
      <c r="D45" s="59" t="n">
        <f aca="false">COUNTIFS($A$2:$A$1931,A45,$C$2:$C$1931,"&gt;"&amp;C45)+COUNTIFS($A$2:A45,A45,$C$2:C45,C45)</f>
        <v>1</v>
      </c>
      <c r="E45" s="59" t="str">
        <f aca="false">A45&amp;"|"&amp;D45</f>
        <v>BLR-27th Main Road|1</v>
      </c>
    </row>
    <row r="46" customFormat="false" ht="15" hidden="false" customHeight="false" outlineLevel="0" collapsed="false">
      <c r="A46" s="59" t="s">
        <v>285</v>
      </c>
      <c r="B46" s="59" t="s">
        <v>415</v>
      </c>
      <c r="C46" s="60" t="n">
        <v>1030.25</v>
      </c>
      <c r="D46" s="59" t="n">
        <f aca="false">COUNTIFS($A$2:$A$1931,A46,$C$2:$C$1931,"&gt;"&amp;C46)+COUNTIFS($A$2:A46,A46,$C$2:C46,C46)</f>
        <v>2</v>
      </c>
      <c r="E46" s="59" t="str">
        <f aca="false">A46&amp;"|"&amp;D46</f>
        <v>BLR-27th Main Road|2</v>
      </c>
    </row>
    <row r="47" customFormat="false" ht="15" hidden="false" customHeight="false" outlineLevel="0" collapsed="false">
      <c r="A47" s="59" t="s">
        <v>285</v>
      </c>
      <c r="B47" s="59" t="s">
        <v>413</v>
      </c>
      <c r="C47" s="60" t="n">
        <v>717.09</v>
      </c>
      <c r="D47" s="59" t="n">
        <f aca="false">COUNTIFS($A$2:$A$1931,A47,$C$2:$C$1931,"&gt;"&amp;C47)+COUNTIFS($A$2:A47,A47,$C$2:C47,C47)</f>
        <v>3</v>
      </c>
      <c r="E47" s="59" t="str">
        <f aca="false">A47&amp;"|"&amp;D47</f>
        <v>BLR-27th Main Road|3</v>
      </c>
    </row>
    <row r="48" customFormat="false" ht="15" hidden="false" customHeight="false" outlineLevel="0" collapsed="false">
      <c r="A48" s="59" t="s">
        <v>285</v>
      </c>
      <c r="B48" s="59" t="s">
        <v>431</v>
      </c>
      <c r="C48" s="60" t="n">
        <v>319.49</v>
      </c>
      <c r="D48" s="59" t="n">
        <f aca="false">COUNTIFS($A$2:$A$1931,A48,$C$2:$C$1931,"&gt;"&amp;C48)+COUNTIFS($A$2:A48,A48,$C$2:C48,C48)</f>
        <v>4</v>
      </c>
      <c r="E48" s="59" t="str">
        <f aca="false">A48&amp;"|"&amp;D48</f>
        <v>BLR-27th Main Road|4</v>
      </c>
    </row>
    <row r="49" customFormat="false" ht="15" hidden="false" customHeight="false" outlineLevel="0" collapsed="false">
      <c r="A49" s="59" t="s">
        <v>285</v>
      </c>
      <c r="B49" s="59" t="s">
        <v>424</v>
      </c>
      <c r="C49" s="60" t="n">
        <v>174.7</v>
      </c>
      <c r="D49" s="59" t="n">
        <f aca="false">COUNTIFS($A$2:$A$1931,A49,$C$2:$C$1931,"&gt;"&amp;C49)+COUNTIFS($A$2:A49,A49,$C$2:C49,C49)</f>
        <v>5</v>
      </c>
      <c r="E49" s="59" t="str">
        <f aca="false">A49&amp;"|"&amp;D49</f>
        <v>BLR-27th Main Road|5</v>
      </c>
    </row>
    <row r="50" customFormat="false" ht="15" hidden="false" customHeight="false" outlineLevel="0" collapsed="false">
      <c r="A50" s="59" t="s">
        <v>285</v>
      </c>
      <c r="B50" s="59" t="s">
        <v>432</v>
      </c>
      <c r="C50" s="60" t="n">
        <v>61.66</v>
      </c>
      <c r="D50" s="59" t="n">
        <f aca="false">COUNTIFS($A$2:$A$1931,A50,$C$2:$C$1931,"&gt;"&amp;C50)+COUNTIFS($A$2:A50,A50,$C$2:C50,C50)</f>
        <v>6</v>
      </c>
      <c r="E50" s="59" t="str">
        <f aca="false">A50&amp;"|"&amp;D50</f>
        <v>BLR-27th Main Road|6</v>
      </c>
    </row>
    <row r="51" customFormat="false" ht="15" hidden="false" customHeight="false" outlineLevel="0" collapsed="false">
      <c r="A51" s="59" t="s">
        <v>265</v>
      </c>
      <c r="B51" s="59" t="s">
        <v>412</v>
      </c>
      <c r="C51" s="60" t="n">
        <v>1187.67</v>
      </c>
      <c r="D51" s="59" t="n">
        <f aca="false">COUNTIFS($A$2:$A$1931,A51,$C$2:$C$1931,"&gt;"&amp;C51)+COUNTIFS($A$2:A51,A51,$C$2:C51,C51)</f>
        <v>1</v>
      </c>
      <c r="E51" s="59" t="str">
        <f aca="false">A51&amp;"|"&amp;D51</f>
        <v>BLR-Abbigere|1</v>
      </c>
    </row>
    <row r="52" customFormat="false" ht="15" hidden="false" customHeight="false" outlineLevel="0" collapsed="false">
      <c r="A52" s="59" t="s">
        <v>265</v>
      </c>
      <c r="B52" s="59" t="s">
        <v>423</v>
      </c>
      <c r="C52" s="60" t="n">
        <v>1030.8</v>
      </c>
      <c r="D52" s="59" t="n">
        <f aca="false">COUNTIFS($A$2:$A$1931,A52,$C$2:$C$1931,"&gt;"&amp;C52)+COUNTIFS($A$2:A52,A52,$C$2:C52,C52)</f>
        <v>2</v>
      </c>
      <c r="E52" s="59" t="str">
        <f aca="false">A52&amp;"|"&amp;D52</f>
        <v>BLR-Abbigere|2</v>
      </c>
    </row>
    <row r="53" customFormat="false" ht="15" hidden="false" customHeight="false" outlineLevel="0" collapsed="false">
      <c r="A53" s="59" t="s">
        <v>265</v>
      </c>
      <c r="B53" s="59" t="s">
        <v>413</v>
      </c>
      <c r="C53" s="60" t="n">
        <v>411.11</v>
      </c>
      <c r="D53" s="59" t="n">
        <f aca="false">COUNTIFS($A$2:$A$1931,A53,$C$2:$C$1931,"&gt;"&amp;C53)+COUNTIFS($A$2:A53,A53,$C$2:C53,C53)</f>
        <v>3</v>
      </c>
      <c r="E53" s="59" t="str">
        <f aca="false">A53&amp;"|"&amp;D53</f>
        <v>BLR-Abbigere|3</v>
      </c>
    </row>
    <row r="54" customFormat="false" ht="15" hidden="false" customHeight="false" outlineLevel="0" collapsed="false">
      <c r="A54" s="59" t="s">
        <v>265</v>
      </c>
      <c r="B54" s="59" t="s">
        <v>432</v>
      </c>
      <c r="C54" s="60" t="n">
        <v>224.18</v>
      </c>
      <c r="D54" s="59" t="n">
        <f aca="false">COUNTIFS($A$2:$A$1931,A54,$C$2:$C$1931,"&gt;"&amp;C54)+COUNTIFS($A$2:A54,A54,$C$2:C54,C54)</f>
        <v>4</v>
      </c>
      <c r="E54" s="59" t="str">
        <f aca="false">A54&amp;"|"&amp;D54</f>
        <v>BLR-Abbigere|4</v>
      </c>
    </row>
    <row r="55" customFormat="false" ht="15" hidden="false" customHeight="false" outlineLevel="0" collapsed="false">
      <c r="A55" s="59" t="s">
        <v>265</v>
      </c>
      <c r="B55" s="59" t="s">
        <v>409</v>
      </c>
      <c r="C55" s="60" t="n">
        <v>173.73</v>
      </c>
      <c r="D55" s="59" t="n">
        <f aca="false">COUNTIFS($A$2:$A$1931,A55,$C$2:$C$1931,"&gt;"&amp;C55)+COUNTIFS($A$2:A55,A55,$C$2:C55,C55)</f>
        <v>5</v>
      </c>
      <c r="E55" s="59" t="str">
        <f aca="false">A55&amp;"|"&amp;D55</f>
        <v>BLR-Abbigere|5</v>
      </c>
    </row>
    <row r="56" customFormat="false" ht="15" hidden="false" customHeight="false" outlineLevel="0" collapsed="false">
      <c r="A56" s="59" t="s">
        <v>295</v>
      </c>
      <c r="B56" s="59" t="s">
        <v>418</v>
      </c>
      <c r="C56" s="60" t="n">
        <v>2070.74</v>
      </c>
      <c r="D56" s="59" t="n">
        <f aca="false">COUNTIFS($A$2:$A$1931,A56,$C$2:$C$1931,"&gt;"&amp;C56)+COUNTIFS($A$2:A56,A56,$C$2:C56,C56)</f>
        <v>1</v>
      </c>
      <c r="E56" s="59" t="str">
        <f aca="false">A56&amp;"|"&amp;D56</f>
        <v>BLR-Agrahara Road|1</v>
      </c>
    </row>
    <row r="57" customFormat="false" ht="15" hidden="false" customHeight="false" outlineLevel="0" collapsed="false">
      <c r="A57" s="59" t="s">
        <v>295</v>
      </c>
      <c r="B57" s="59" t="s">
        <v>423</v>
      </c>
      <c r="C57" s="60" t="n">
        <v>924.24</v>
      </c>
      <c r="D57" s="59" t="n">
        <f aca="false">COUNTIFS($A$2:$A$1931,A57,$C$2:$C$1931,"&gt;"&amp;C57)+COUNTIFS($A$2:A57,A57,$C$2:C57,C57)</f>
        <v>2</v>
      </c>
      <c r="E57" s="59" t="str">
        <f aca="false">A57&amp;"|"&amp;D57</f>
        <v>BLR-Agrahara Road|2</v>
      </c>
    </row>
    <row r="58" customFormat="false" ht="15" hidden="false" customHeight="false" outlineLevel="0" collapsed="false">
      <c r="A58" s="59" t="s">
        <v>295</v>
      </c>
      <c r="B58" s="59" t="s">
        <v>407</v>
      </c>
      <c r="C58" s="60" t="n">
        <v>468.03</v>
      </c>
      <c r="D58" s="59" t="n">
        <f aca="false">COUNTIFS($A$2:$A$1931,A58,$C$2:$C$1931,"&gt;"&amp;C58)+COUNTIFS($A$2:A58,A58,$C$2:C58,C58)</f>
        <v>3</v>
      </c>
      <c r="E58" s="59" t="str">
        <f aca="false">A58&amp;"|"&amp;D58</f>
        <v>BLR-Agrahara Road|3</v>
      </c>
    </row>
    <row r="59" customFormat="false" ht="15" hidden="false" customHeight="false" outlineLevel="0" collapsed="false">
      <c r="A59" s="59" t="s">
        <v>295</v>
      </c>
      <c r="B59" s="59" t="s">
        <v>420</v>
      </c>
      <c r="C59" s="60" t="n">
        <v>152.53</v>
      </c>
      <c r="D59" s="59" t="n">
        <f aca="false">COUNTIFS($A$2:$A$1931,A59,$C$2:$C$1931,"&gt;"&amp;C59)+COUNTIFS($A$2:A59,A59,$C$2:C59,C59)</f>
        <v>4</v>
      </c>
      <c r="E59" s="59" t="str">
        <f aca="false">A59&amp;"|"&amp;D59</f>
        <v>BLR-Agrahara Road|4</v>
      </c>
    </row>
    <row r="60" customFormat="false" ht="15" hidden="false" customHeight="false" outlineLevel="0" collapsed="false">
      <c r="A60" s="59" t="s">
        <v>160</v>
      </c>
      <c r="B60" s="59" t="s">
        <v>419</v>
      </c>
      <c r="C60" s="60" t="n">
        <v>4989.51</v>
      </c>
      <c r="D60" s="59" t="n">
        <f aca="false">COUNTIFS($A$2:$A$1931,A60,$C$2:$C$1931,"&gt;"&amp;C60)+COUNTIFS($A$2:A60,A60,$C$2:C60,C60)</f>
        <v>1</v>
      </c>
      <c r="E60" s="59" t="str">
        <f aca="false">A60&amp;"|"&amp;D60</f>
        <v>BLR-Anjanapura|1</v>
      </c>
    </row>
    <row r="61" customFormat="false" ht="15" hidden="false" customHeight="false" outlineLevel="0" collapsed="false">
      <c r="A61" s="59" t="s">
        <v>160</v>
      </c>
      <c r="B61" s="59" t="s">
        <v>431</v>
      </c>
      <c r="C61" s="60" t="n">
        <v>1692.22</v>
      </c>
      <c r="D61" s="59" t="n">
        <f aca="false">COUNTIFS($A$2:$A$1931,A61,$C$2:$C$1931,"&gt;"&amp;C61)+COUNTIFS($A$2:A61,A61,$C$2:C61,C61)</f>
        <v>2</v>
      </c>
      <c r="E61" s="59" t="str">
        <f aca="false">A61&amp;"|"&amp;D61</f>
        <v>BLR-Anjanapura|2</v>
      </c>
    </row>
    <row r="62" customFormat="false" ht="15" hidden="false" customHeight="false" outlineLevel="0" collapsed="false">
      <c r="A62" s="59" t="s">
        <v>160</v>
      </c>
      <c r="B62" s="59" t="s">
        <v>426</v>
      </c>
      <c r="C62" s="60" t="n">
        <v>1005.24</v>
      </c>
      <c r="D62" s="59" t="n">
        <f aca="false">COUNTIFS($A$2:$A$1931,A62,$C$2:$C$1931,"&gt;"&amp;C62)+COUNTIFS($A$2:A62,A62,$C$2:C62,C62)</f>
        <v>3</v>
      </c>
      <c r="E62" s="59" t="str">
        <f aca="false">A62&amp;"|"&amp;D62</f>
        <v>BLR-Anjanapura|3</v>
      </c>
    </row>
    <row r="63" customFormat="false" ht="15" hidden="false" customHeight="false" outlineLevel="0" collapsed="false">
      <c r="A63" s="59" t="s">
        <v>160</v>
      </c>
      <c r="B63" s="59" t="s">
        <v>420</v>
      </c>
      <c r="C63" s="60" t="n">
        <v>692.18</v>
      </c>
      <c r="D63" s="59" t="n">
        <f aca="false">COUNTIFS($A$2:$A$1931,A63,$C$2:$C$1931,"&gt;"&amp;C63)+COUNTIFS($A$2:A63,A63,$C$2:C63,C63)</f>
        <v>4</v>
      </c>
      <c r="E63" s="59" t="str">
        <f aca="false">A63&amp;"|"&amp;D63</f>
        <v>BLR-Anjanapura|4</v>
      </c>
    </row>
    <row r="64" customFormat="false" ht="15" hidden="false" customHeight="false" outlineLevel="0" collapsed="false">
      <c r="A64" s="59" t="s">
        <v>160</v>
      </c>
      <c r="B64" s="59" t="s">
        <v>418</v>
      </c>
      <c r="C64" s="60" t="n">
        <v>314.3</v>
      </c>
      <c r="D64" s="59" t="n">
        <f aca="false">COUNTIFS($A$2:$A$1931,A64,$C$2:$C$1931,"&gt;"&amp;C64)+COUNTIFS($A$2:A64,A64,$C$2:C64,C64)</f>
        <v>5</v>
      </c>
      <c r="E64" s="59" t="str">
        <f aca="false">A64&amp;"|"&amp;D64</f>
        <v>BLR-Anjanapura|5</v>
      </c>
    </row>
    <row r="65" customFormat="false" ht="15" hidden="false" customHeight="false" outlineLevel="0" collapsed="false">
      <c r="A65" s="59" t="s">
        <v>160</v>
      </c>
      <c r="B65" s="59" t="s">
        <v>412</v>
      </c>
      <c r="C65" s="60" t="n">
        <v>133.56</v>
      </c>
      <c r="D65" s="59" t="n">
        <f aca="false">COUNTIFS($A$2:$A$1931,A65,$C$2:$C$1931,"&gt;"&amp;C65)+COUNTIFS($A$2:A65,A65,$C$2:C65,C65)</f>
        <v>6</v>
      </c>
      <c r="E65" s="59" t="str">
        <f aca="false">A65&amp;"|"&amp;D65</f>
        <v>BLR-Anjanapura|6</v>
      </c>
    </row>
    <row r="66" customFormat="false" ht="15" hidden="false" customHeight="false" outlineLevel="0" collapsed="false">
      <c r="A66" s="59" t="s">
        <v>160</v>
      </c>
      <c r="B66" s="59" t="s">
        <v>410</v>
      </c>
      <c r="C66" s="60" t="n">
        <v>31.46</v>
      </c>
      <c r="D66" s="59" t="n">
        <f aca="false">COUNTIFS($A$2:$A$1931,A66,$C$2:$C$1931,"&gt;"&amp;C66)+COUNTIFS($A$2:A66,A66,$C$2:C66,C66)</f>
        <v>7</v>
      </c>
      <c r="E66" s="59" t="str">
        <f aca="false">A66&amp;"|"&amp;D66</f>
        <v>BLR-Anjanapura|7</v>
      </c>
    </row>
    <row r="67" customFormat="false" ht="15" hidden="false" customHeight="false" outlineLevel="0" collapsed="false">
      <c r="A67" s="59" t="s">
        <v>160</v>
      </c>
      <c r="B67" s="59" t="s">
        <v>416</v>
      </c>
      <c r="C67" s="60" t="n">
        <v>23.66</v>
      </c>
      <c r="D67" s="59" t="n">
        <f aca="false">COUNTIFS($A$2:$A$1931,A67,$C$2:$C$1931,"&gt;"&amp;C67)+COUNTIFS($A$2:A67,A67,$C$2:C67,C67)</f>
        <v>8</v>
      </c>
      <c r="E67" s="59" t="str">
        <f aca="false">A67&amp;"|"&amp;D67</f>
        <v>BLR-Anjanapura|8</v>
      </c>
    </row>
    <row r="68" customFormat="false" ht="15" hidden="false" customHeight="false" outlineLevel="0" collapsed="false">
      <c r="A68" s="59" t="s">
        <v>93</v>
      </c>
      <c r="B68" s="59" t="s">
        <v>413</v>
      </c>
      <c r="C68" s="60" t="n">
        <v>11762.05</v>
      </c>
      <c r="D68" s="59" t="n">
        <f aca="false">COUNTIFS($A$2:$A$1931,A68,$C$2:$C$1931,"&gt;"&amp;C68)+COUNTIFS($A$2:A68,A68,$C$2:C68,C68)</f>
        <v>1</v>
      </c>
      <c r="E68" s="59" t="str">
        <f aca="false">A68&amp;"|"&amp;D68</f>
        <v>BLR-Arekere|1</v>
      </c>
    </row>
    <row r="69" customFormat="false" ht="15" hidden="false" customHeight="false" outlineLevel="0" collapsed="false">
      <c r="A69" s="59" t="s">
        <v>93</v>
      </c>
      <c r="B69" s="59" t="s">
        <v>431</v>
      </c>
      <c r="C69" s="60" t="n">
        <v>7003.54</v>
      </c>
      <c r="D69" s="59" t="n">
        <f aca="false">COUNTIFS($A$2:$A$1931,A69,$C$2:$C$1931,"&gt;"&amp;C69)+COUNTIFS($A$2:A69,A69,$C$2:C69,C69)</f>
        <v>2</v>
      </c>
      <c r="E69" s="59" t="str">
        <f aca="false">A69&amp;"|"&amp;D69</f>
        <v>BLR-Arekere|2</v>
      </c>
    </row>
    <row r="70" customFormat="false" ht="15" hidden="false" customHeight="false" outlineLevel="0" collapsed="false">
      <c r="A70" s="59" t="s">
        <v>93</v>
      </c>
      <c r="B70" s="59" t="s">
        <v>415</v>
      </c>
      <c r="C70" s="60" t="n">
        <v>4896.03</v>
      </c>
      <c r="D70" s="59" t="n">
        <f aca="false">COUNTIFS($A$2:$A$1931,A70,$C$2:$C$1931,"&gt;"&amp;C70)+COUNTIFS($A$2:A70,A70,$C$2:C70,C70)</f>
        <v>3</v>
      </c>
      <c r="E70" s="59" t="str">
        <f aca="false">A70&amp;"|"&amp;D70</f>
        <v>BLR-Arekere|3</v>
      </c>
    </row>
    <row r="71" customFormat="false" ht="15" hidden="false" customHeight="false" outlineLevel="0" collapsed="false">
      <c r="A71" s="59" t="s">
        <v>93</v>
      </c>
      <c r="B71" s="59" t="s">
        <v>424</v>
      </c>
      <c r="C71" s="60" t="n">
        <v>1705.87</v>
      </c>
      <c r="D71" s="59" t="n">
        <f aca="false">COUNTIFS($A$2:$A$1931,A71,$C$2:$C$1931,"&gt;"&amp;C71)+COUNTIFS($A$2:A71,A71,$C$2:C71,C71)</f>
        <v>4</v>
      </c>
      <c r="E71" s="59" t="str">
        <f aca="false">A71&amp;"|"&amp;D71</f>
        <v>BLR-Arekere|4</v>
      </c>
    </row>
    <row r="72" customFormat="false" ht="15" hidden="false" customHeight="false" outlineLevel="0" collapsed="false">
      <c r="A72" s="59" t="s">
        <v>93</v>
      </c>
      <c r="B72" s="59" t="s">
        <v>410</v>
      </c>
      <c r="C72" s="60" t="n">
        <v>1535.9</v>
      </c>
      <c r="D72" s="59" t="n">
        <f aca="false">COUNTIFS($A$2:$A$1931,A72,$C$2:$C$1931,"&gt;"&amp;C72)+COUNTIFS($A$2:A72,A72,$C$2:C72,C72)</f>
        <v>5</v>
      </c>
      <c r="E72" s="59" t="str">
        <f aca="false">A72&amp;"|"&amp;D72</f>
        <v>BLR-Arekere|5</v>
      </c>
    </row>
    <row r="73" customFormat="false" ht="15" hidden="false" customHeight="false" outlineLevel="0" collapsed="false">
      <c r="A73" s="59" t="s">
        <v>93</v>
      </c>
      <c r="B73" s="59" t="s">
        <v>420</v>
      </c>
      <c r="C73" s="60" t="n">
        <v>1240.04</v>
      </c>
      <c r="D73" s="59" t="n">
        <f aca="false">COUNTIFS($A$2:$A$1931,A73,$C$2:$C$1931,"&gt;"&amp;C73)+COUNTIFS($A$2:A73,A73,$C$2:C73,C73)</f>
        <v>6</v>
      </c>
      <c r="E73" s="59" t="str">
        <f aca="false">A73&amp;"|"&amp;D73</f>
        <v>BLR-Arekere|6</v>
      </c>
    </row>
    <row r="74" customFormat="false" ht="15" hidden="false" customHeight="false" outlineLevel="0" collapsed="false">
      <c r="A74" s="59" t="s">
        <v>93</v>
      </c>
      <c r="B74" s="59" t="s">
        <v>423</v>
      </c>
      <c r="C74" s="60" t="n">
        <v>529.81</v>
      </c>
      <c r="D74" s="59" t="n">
        <f aca="false">COUNTIFS($A$2:$A$1931,A74,$C$2:$C$1931,"&gt;"&amp;C74)+COUNTIFS($A$2:A74,A74,$C$2:C74,C74)</f>
        <v>7</v>
      </c>
      <c r="E74" s="59" t="str">
        <f aca="false">A74&amp;"|"&amp;D74</f>
        <v>BLR-Arekere|7</v>
      </c>
    </row>
    <row r="75" customFormat="false" ht="15" hidden="false" customHeight="false" outlineLevel="0" collapsed="false">
      <c r="A75" s="59" t="s">
        <v>296</v>
      </c>
      <c r="B75" s="59" t="s">
        <v>418</v>
      </c>
      <c r="C75" s="60" t="n">
        <v>479.26</v>
      </c>
      <c r="D75" s="59" t="n">
        <f aca="false">COUNTIFS($A$2:$A$1931,A75,$C$2:$C$1931,"&gt;"&amp;C75)+COUNTIFS($A$2:A75,A75,$C$2:C75,C75)</f>
        <v>1</v>
      </c>
      <c r="E75" s="59" t="str">
        <f aca="false">A75&amp;"|"&amp;D75</f>
        <v>BLR-Aswath Nagar|1</v>
      </c>
    </row>
    <row r="76" customFormat="false" ht="15" hidden="false" customHeight="false" outlineLevel="0" collapsed="false">
      <c r="A76" s="59" t="s">
        <v>299</v>
      </c>
      <c r="B76" s="59" t="s">
        <v>417</v>
      </c>
      <c r="C76" s="60" t="n">
        <v>18715.15</v>
      </c>
      <c r="D76" s="59" t="n">
        <f aca="false">COUNTIFS($A$2:$A$1931,A76,$C$2:$C$1931,"&gt;"&amp;C76)+COUNTIFS($A$2:A76,A76,$C$2:C76,C76)</f>
        <v>1</v>
      </c>
      <c r="E76" s="59" t="str">
        <f aca="false">A76&amp;"|"&amp;D76</f>
        <v>BLR-Attibele|1</v>
      </c>
    </row>
    <row r="77" customFormat="false" ht="15" hidden="false" customHeight="false" outlineLevel="0" collapsed="false">
      <c r="A77" s="59" t="s">
        <v>111</v>
      </c>
      <c r="B77" s="59" t="s">
        <v>431</v>
      </c>
      <c r="C77" s="60" t="n">
        <v>19921.53</v>
      </c>
      <c r="D77" s="59" t="n">
        <f aca="false">COUNTIFS($A$2:$A$1931,A77,$C$2:$C$1931,"&gt;"&amp;C77)+COUNTIFS($A$2:A77,A77,$C$2:C77,C77)</f>
        <v>1</v>
      </c>
      <c r="E77" s="59" t="str">
        <f aca="false">A77&amp;"|"&amp;D77</f>
        <v>BLR-Avalahalli Main|1</v>
      </c>
    </row>
    <row r="78" customFormat="false" ht="15" hidden="false" customHeight="false" outlineLevel="0" collapsed="false">
      <c r="A78" s="59" t="s">
        <v>111</v>
      </c>
      <c r="B78" s="59" t="s">
        <v>412</v>
      </c>
      <c r="C78" s="60" t="n">
        <v>8236.25</v>
      </c>
      <c r="D78" s="59" t="n">
        <f aca="false">COUNTIFS($A$2:$A$1931,A78,$C$2:$C$1931,"&gt;"&amp;C78)+COUNTIFS($A$2:A78,A78,$C$2:C78,C78)</f>
        <v>2</v>
      </c>
      <c r="E78" s="59" t="str">
        <f aca="false">A78&amp;"|"&amp;D78</f>
        <v>BLR-Avalahalli Main|2</v>
      </c>
    </row>
    <row r="79" customFormat="false" ht="15" hidden="false" customHeight="false" outlineLevel="0" collapsed="false">
      <c r="A79" s="59" t="s">
        <v>111</v>
      </c>
      <c r="B79" s="59" t="s">
        <v>424</v>
      </c>
      <c r="C79" s="60" t="n">
        <v>6284.06</v>
      </c>
      <c r="D79" s="59" t="n">
        <f aca="false">COUNTIFS($A$2:$A$1931,A79,$C$2:$C$1931,"&gt;"&amp;C79)+COUNTIFS($A$2:A79,A79,$C$2:C79,C79)</f>
        <v>3</v>
      </c>
      <c r="E79" s="59" t="str">
        <f aca="false">A79&amp;"|"&amp;D79</f>
        <v>BLR-Avalahalli Main|3</v>
      </c>
    </row>
    <row r="80" customFormat="false" ht="15" hidden="false" customHeight="false" outlineLevel="0" collapsed="false">
      <c r="A80" s="59" t="s">
        <v>111</v>
      </c>
      <c r="B80" s="59" t="s">
        <v>419</v>
      </c>
      <c r="C80" s="60" t="n">
        <v>3805.63</v>
      </c>
      <c r="D80" s="59" t="n">
        <f aca="false">COUNTIFS($A$2:$A$1931,A80,$C$2:$C$1931,"&gt;"&amp;C80)+COUNTIFS($A$2:A80,A80,$C$2:C80,C80)</f>
        <v>4</v>
      </c>
      <c r="E80" s="59" t="str">
        <f aca="false">A80&amp;"|"&amp;D80</f>
        <v>BLR-Avalahalli Main|4</v>
      </c>
    </row>
    <row r="81" customFormat="false" ht="15" hidden="false" customHeight="false" outlineLevel="0" collapsed="false">
      <c r="A81" s="59" t="s">
        <v>111</v>
      </c>
      <c r="B81" s="59" t="s">
        <v>420</v>
      </c>
      <c r="C81" s="60" t="n">
        <v>2161.49</v>
      </c>
      <c r="D81" s="59" t="n">
        <f aca="false">COUNTIFS($A$2:$A$1931,A81,$C$2:$C$1931,"&gt;"&amp;C81)+COUNTIFS($A$2:A81,A81,$C$2:C81,C81)</f>
        <v>5</v>
      </c>
      <c r="E81" s="59" t="str">
        <f aca="false">A81&amp;"|"&amp;D81</f>
        <v>BLR-Avalahalli Main|5</v>
      </c>
    </row>
    <row r="82" customFormat="false" ht="15" hidden="false" customHeight="false" outlineLevel="0" collapsed="false">
      <c r="A82" s="59" t="s">
        <v>111</v>
      </c>
      <c r="B82" s="59" t="s">
        <v>426</v>
      </c>
      <c r="C82" s="60" t="n">
        <v>1589.83</v>
      </c>
      <c r="D82" s="59" t="n">
        <f aca="false">COUNTIFS($A$2:$A$1931,A82,$C$2:$C$1931,"&gt;"&amp;C82)+COUNTIFS($A$2:A82,A82,$C$2:C82,C82)</f>
        <v>6</v>
      </c>
      <c r="E82" s="59" t="str">
        <f aca="false">A82&amp;"|"&amp;D82</f>
        <v>BLR-Avalahalli Main|6</v>
      </c>
    </row>
    <row r="83" customFormat="false" ht="15" hidden="false" customHeight="false" outlineLevel="0" collapsed="false">
      <c r="A83" s="59" t="s">
        <v>111</v>
      </c>
      <c r="B83" s="59" t="s">
        <v>417</v>
      </c>
      <c r="C83" s="60" t="n">
        <v>1540.95</v>
      </c>
      <c r="D83" s="59" t="n">
        <f aca="false">COUNTIFS($A$2:$A$1931,A83,$C$2:$C$1931,"&gt;"&amp;C83)+COUNTIFS($A$2:A83,A83,$C$2:C83,C83)</f>
        <v>7</v>
      </c>
      <c r="E83" s="59" t="str">
        <f aca="false">A83&amp;"|"&amp;D83</f>
        <v>BLR-Avalahalli Main|7</v>
      </c>
    </row>
    <row r="84" customFormat="false" ht="15" hidden="false" customHeight="false" outlineLevel="0" collapsed="false">
      <c r="A84" s="59" t="s">
        <v>111</v>
      </c>
      <c r="B84" s="59" t="s">
        <v>415</v>
      </c>
      <c r="C84" s="60" t="n">
        <v>1283.1</v>
      </c>
      <c r="D84" s="59" t="n">
        <f aca="false">COUNTIFS($A$2:$A$1931,A84,$C$2:$C$1931,"&gt;"&amp;C84)+COUNTIFS($A$2:A84,A84,$C$2:C84,C84)</f>
        <v>8</v>
      </c>
      <c r="E84" s="59" t="str">
        <f aca="false">A84&amp;"|"&amp;D84</f>
        <v>BLR-Avalahalli Main|8</v>
      </c>
    </row>
    <row r="85" customFormat="false" ht="15" hidden="false" customHeight="false" outlineLevel="0" collapsed="false">
      <c r="A85" s="59" t="s">
        <v>111</v>
      </c>
      <c r="B85" s="59" t="s">
        <v>409</v>
      </c>
      <c r="C85" s="60" t="n">
        <v>1191.8</v>
      </c>
      <c r="D85" s="59" t="n">
        <f aca="false">COUNTIFS($A$2:$A$1931,A85,$C$2:$C$1931,"&gt;"&amp;C85)+COUNTIFS($A$2:A85,A85,$C$2:C85,C85)</f>
        <v>9</v>
      </c>
      <c r="E85" s="59" t="str">
        <f aca="false">A85&amp;"|"&amp;D85</f>
        <v>BLR-Avalahalli Main|9</v>
      </c>
    </row>
    <row r="86" customFormat="false" ht="15" hidden="false" customHeight="false" outlineLevel="0" collapsed="false">
      <c r="A86" s="59" t="s">
        <v>111</v>
      </c>
      <c r="B86" s="59" t="s">
        <v>410</v>
      </c>
      <c r="C86" s="60" t="n">
        <v>1041.31</v>
      </c>
      <c r="D86" s="59" t="n">
        <f aca="false">COUNTIFS($A$2:$A$1931,A86,$C$2:$C$1931,"&gt;"&amp;C86)+COUNTIFS($A$2:A86,A86,$C$2:C86,C86)</f>
        <v>10</v>
      </c>
      <c r="E86" s="59" t="str">
        <f aca="false">A86&amp;"|"&amp;D86</f>
        <v>BLR-Avalahalli Main|10</v>
      </c>
    </row>
    <row r="87" customFormat="false" ht="15" hidden="false" customHeight="false" outlineLevel="0" collapsed="false">
      <c r="A87" s="59" t="s">
        <v>111</v>
      </c>
      <c r="B87" s="59" t="s">
        <v>418</v>
      </c>
      <c r="C87" s="60" t="n">
        <v>875.72</v>
      </c>
      <c r="D87" s="59" t="n">
        <f aca="false">COUNTIFS($A$2:$A$1931,A87,$C$2:$C$1931,"&gt;"&amp;C87)+COUNTIFS($A$2:A87,A87,$C$2:C87,C87)</f>
        <v>11</v>
      </c>
      <c r="E87" s="59" t="str">
        <f aca="false">A87&amp;"|"&amp;D87</f>
        <v>BLR-Avalahalli Main|11</v>
      </c>
    </row>
    <row r="88" customFormat="false" ht="15" hidden="false" customHeight="false" outlineLevel="0" collapsed="false">
      <c r="A88" s="59" t="s">
        <v>111</v>
      </c>
      <c r="B88" s="59" t="s">
        <v>408</v>
      </c>
      <c r="C88" s="60" t="n">
        <v>633.83</v>
      </c>
      <c r="D88" s="59" t="n">
        <f aca="false">COUNTIFS($A$2:$A$1931,A88,$C$2:$C$1931,"&gt;"&amp;C88)+COUNTIFS($A$2:A88,A88,$C$2:C88,C88)</f>
        <v>12</v>
      </c>
      <c r="E88" s="59" t="str">
        <f aca="false">A88&amp;"|"&amp;D88</f>
        <v>BLR-Avalahalli Main|12</v>
      </c>
    </row>
    <row r="89" customFormat="false" ht="15" hidden="false" customHeight="false" outlineLevel="0" collapsed="false">
      <c r="A89" s="59" t="s">
        <v>111</v>
      </c>
      <c r="B89" s="59" t="s">
        <v>416</v>
      </c>
      <c r="C89" s="60" t="n">
        <v>410.46</v>
      </c>
      <c r="D89" s="59" t="n">
        <f aca="false">COUNTIFS($A$2:$A$1931,A89,$C$2:$C$1931,"&gt;"&amp;C89)+COUNTIFS($A$2:A89,A89,$C$2:C89,C89)</f>
        <v>13</v>
      </c>
      <c r="E89" s="59" t="str">
        <f aca="false">A89&amp;"|"&amp;D89</f>
        <v>BLR-Avalahalli Main|13</v>
      </c>
    </row>
    <row r="90" customFormat="false" ht="15" hidden="false" customHeight="false" outlineLevel="0" collapsed="false">
      <c r="A90" s="59" t="s">
        <v>111</v>
      </c>
      <c r="B90" s="59" t="s">
        <v>413</v>
      </c>
      <c r="C90" s="60" t="n">
        <v>290.52</v>
      </c>
      <c r="D90" s="59" t="n">
        <f aca="false">COUNTIFS($A$2:$A$1931,A90,$C$2:$C$1931,"&gt;"&amp;C90)+COUNTIFS($A$2:A90,A90,$C$2:C90,C90)</f>
        <v>14</v>
      </c>
      <c r="E90" s="59" t="str">
        <f aca="false">A90&amp;"|"&amp;D90</f>
        <v>BLR-Avalahalli Main|14</v>
      </c>
    </row>
    <row r="91" customFormat="false" ht="15" hidden="false" customHeight="false" outlineLevel="0" collapsed="false">
      <c r="A91" s="59" t="s">
        <v>111</v>
      </c>
      <c r="B91" s="59" t="s">
        <v>432</v>
      </c>
      <c r="C91" s="60" t="n">
        <v>227.12</v>
      </c>
      <c r="D91" s="59" t="n">
        <f aca="false">COUNTIFS($A$2:$A$1931,A91,$C$2:$C$1931,"&gt;"&amp;C91)+COUNTIFS($A$2:A91,A91,$C$2:C91,C91)</f>
        <v>15</v>
      </c>
      <c r="E91" s="59" t="str">
        <f aca="false">A91&amp;"|"&amp;D91</f>
        <v>BLR-Avalahalli Main|15</v>
      </c>
    </row>
    <row r="92" customFormat="false" ht="15" hidden="false" customHeight="false" outlineLevel="0" collapsed="false">
      <c r="A92" s="59" t="s">
        <v>150</v>
      </c>
      <c r="B92" s="59" t="s">
        <v>410</v>
      </c>
      <c r="C92" s="60" t="n">
        <v>3604.18</v>
      </c>
      <c r="D92" s="59" t="n">
        <f aca="false">COUNTIFS($A$2:$A$1931,A92,$C$2:$C$1931,"&gt;"&amp;C92)+COUNTIFS($A$2:A92,A92,$C$2:C92,C92)</f>
        <v>1</v>
      </c>
      <c r="E92" s="59" t="str">
        <f aca="false">A92&amp;"|"&amp;D92</f>
        <v>BLR-BANNERGHATTA|1</v>
      </c>
    </row>
    <row r="93" customFormat="false" ht="15" hidden="false" customHeight="false" outlineLevel="0" collapsed="false">
      <c r="A93" s="59" t="s">
        <v>150</v>
      </c>
      <c r="B93" s="59" t="s">
        <v>415</v>
      </c>
      <c r="C93" s="60" t="n">
        <v>2601.3</v>
      </c>
      <c r="D93" s="59" t="n">
        <f aca="false">COUNTIFS($A$2:$A$1931,A93,$C$2:$C$1931,"&gt;"&amp;C93)+COUNTIFS($A$2:A93,A93,$C$2:C93,C93)</f>
        <v>2</v>
      </c>
      <c r="E93" s="59" t="str">
        <f aca="false">A93&amp;"|"&amp;D93</f>
        <v>BLR-BANNERGHATTA|2</v>
      </c>
    </row>
    <row r="94" customFormat="false" ht="15" hidden="false" customHeight="false" outlineLevel="0" collapsed="false">
      <c r="A94" s="59" t="s">
        <v>150</v>
      </c>
      <c r="B94" s="59" t="s">
        <v>408</v>
      </c>
      <c r="C94" s="60" t="n">
        <v>1121.43</v>
      </c>
      <c r="D94" s="59" t="n">
        <f aca="false">COUNTIFS($A$2:$A$1931,A94,$C$2:$C$1931,"&gt;"&amp;C94)+COUNTIFS($A$2:A94,A94,$C$2:C94,C94)</f>
        <v>3</v>
      </c>
      <c r="E94" s="59" t="str">
        <f aca="false">A94&amp;"|"&amp;D94</f>
        <v>BLR-BANNERGHATTA|3</v>
      </c>
    </row>
    <row r="95" customFormat="false" ht="15" hidden="false" customHeight="false" outlineLevel="0" collapsed="false">
      <c r="A95" s="59" t="s">
        <v>150</v>
      </c>
      <c r="B95" s="59" t="s">
        <v>431</v>
      </c>
      <c r="C95" s="60" t="n">
        <v>752.07</v>
      </c>
      <c r="D95" s="59" t="n">
        <f aca="false">COUNTIFS($A$2:$A$1931,A95,$C$2:$C$1931,"&gt;"&amp;C95)+COUNTIFS($A$2:A95,A95,$C$2:C95,C95)</f>
        <v>4</v>
      </c>
      <c r="E95" s="59" t="str">
        <f aca="false">A95&amp;"|"&amp;D95</f>
        <v>BLR-BANNERGHATTA|4</v>
      </c>
    </row>
    <row r="96" customFormat="false" ht="15" hidden="false" customHeight="false" outlineLevel="0" collapsed="false">
      <c r="A96" s="59" t="s">
        <v>150</v>
      </c>
      <c r="B96" s="59" t="s">
        <v>417</v>
      </c>
      <c r="C96" s="60" t="n">
        <v>448.65</v>
      </c>
      <c r="D96" s="59" t="n">
        <f aca="false">COUNTIFS($A$2:$A$1931,A96,$C$2:$C$1931,"&gt;"&amp;C96)+COUNTIFS($A$2:A96,A96,$C$2:C96,C96)</f>
        <v>5</v>
      </c>
      <c r="E96" s="59" t="str">
        <f aca="false">A96&amp;"|"&amp;D96</f>
        <v>BLR-BANNERGHATTA|5</v>
      </c>
    </row>
    <row r="97" customFormat="false" ht="15" hidden="false" customHeight="false" outlineLevel="0" collapsed="false">
      <c r="A97" s="59" t="s">
        <v>150</v>
      </c>
      <c r="B97" s="59" t="s">
        <v>423</v>
      </c>
      <c r="C97" s="60" t="n">
        <v>267.61</v>
      </c>
      <c r="D97" s="59" t="n">
        <f aca="false">COUNTIFS($A$2:$A$1931,A97,$C$2:$C$1931,"&gt;"&amp;C97)+COUNTIFS($A$2:A97,A97,$C$2:C97,C97)</f>
        <v>6</v>
      </c>
      <c r="E97" s="59" t="str">
        <f aca="false">A97&amp;"|"&amp;D97</f>
        <v>BLR-BANNERGHATTA|6</v>
      </c>
    </row>
    <row r="98" customFormat="false" ht="15" hidden="false" customHeight="false" outlineLevel="0" collapsed="false">
      <c r="A98" s="59" t="s">
        <v>150</v>
      </c>
      <c r="B98" s="59" t="s">
        <v>412</v>
      </c>
      <c r="C98" s="60" t="n">
        <v>213.76</v>
      </c>
      <c r="D98" s="59" t="n">
        <f aca="false">COUNTIFS($A$2:$A$1931,A98,$C$2:$C$1931,"&gt;"&amp;C98)+COUNTIFS($A$2:A98,A98,$C$2:C98,C98)</f>
        <v>7</v>
      </c>
      <c r="E98" s="59" t="str">
        <f aca="false">A98&amp;"|"&amp;D98</f>
        <v>BLR-BANNERGHATTA|7</v>
      </c>
    </row>
    <row r="99" customFormat="false" ht="15" hidden="false" customHeight="false" outlineLevel="0" collapsed="false">
      <c r="A99" s="59" t="s">
        <v>150</v>
      </c>
      <c r="B99" s="59" t="s">
        <v>413</v>
      </c>
      <c r="C99" s="60" t="n">
        <v>71.73</v>
      </c>
      <c r="D99" s="59" t="n">
        <f aca="false">COUNTIFS($A$2:$A$1931,A99,$C$2:$C$1931,"&gt;"&amp;C99)+COUNTIFS($A$2:A99,A99,$C$2:C99,C99)</f>
        <v>8</v>
      </c>
      <c r="E99" s="59" t="str">
        <f aca="false">A99&amp;"|"&amp;D99</f>
        <v>BLR-BANNERGHATTA|8</v>
      </c>
    </row>
    <row r="100" customFormat="false" ht="15" hidden="false" customHeight="false" outlineLevel="0" collapsed="false">
      <c r="A100" s="59" t="s">
        <v>86</v>
      </c>
      <c r="B100" s="59" t="s">
        <v>431</v>
      </c>
      <c r="C100" s="60" t="n">
        <v>12105.46</v>
      </c>
      <c r="D100" s="59" t="n">
        <f aca="false">COUNTIFS($A$2:$A$1931,A100,$C$2:$C$1931,"&gt;"&amp;C100)+COUNTIFS($A$2:A100,A100,$C$2:C100,C100)</f>
        <v>1</v>
      </c>
      <c r="E100" s="59" t="str">
        <f aca="false">A100&amp;"|"&amp;D100</f>
        <v>BLR-BASAVANAPURA|1</v>
      </c>
    </row>
    <row r="101" customFormat="false" ht="15" hidden="false" customHeight="false" outlineLevel="0" collapsed="false">
      <c r="A101" s="59" t="s">
        <v>86</v>
      </c>
      <c r="B101" s="59" t="s">
        <v>424</v>
      </c>
      <c r="C101" s="60" t="n">
        <v>6536.31</v>
      </c>
      <c r="D101" s="59" t="n">
        <f aca="false">COUNTIFS($A$2:$A$1931,A101,$C$2:$C$1931,"&gt;"&amp;C101)+COUNTIFS($A$2:A101,A101,$C$2:C101,C101)</f>
        <v>2</v>
      </c>
      <c r="E101" s="59" t="str">
        <f aca="false">A101&amp;"|"&amp;D101</f>
        <v>BLR-BASAVANAPURA|2</v>
      </c>
    </row>
    <row r="102" customFormat="false" ht="15" hidden="false" customHeight="false" outlineLevel="0" collapsed="false">
      <c r="A102" s="59" t="s">
        <v>86</v>
      </c>
      <c r="B102" s="59" t="s">
        <v>417</v>
      </c>
      <c r="C102" s="60" t="n">
        <v>6301.56</v>
      </c>
      <c r="D102" s="59" t="n">
        <f aca="false">COUNTIFS($A$2:$A$1931,A102,$C$2:$C$1931,"&gt;"&amp;C102)+COUNTIFS($A$2:A102,A102,$C$2:C102,C102)</f>
        <v>3</v>
      </c>
      <c r="E102" s="59" t="str">
        <f aca="false">A102&amp;"|"&amp;D102</f>
        <v>BLR-BASAVANAPURA|3</v>
      </c>
    </row>
    <row r="103" customFormat="false" ht="15" hidden="false" customHeight="false" outlineLevel="0" collapsed="false">
      <c r="A103" s="59" t="s">
        <v>86</v>
      </c>
      <c r="B103" s="59" t="s">
        <v>415</v>
      </c>
      <c r="C103" s="60" t="n">
        <v>2957.22</v>
      </c>
      <c r="D103" s="59" t="n">
        <f aca="false">COUNTIFS($A$2:$A$1931,A103,$C$2:$C$1931,"&gt;"&amp;C103)+COUNTIFS($A$2:A103,A103,$C$2:C103,C103)</f>
        <v>4</v>
      </c>
      <c r="E103" s="59" t="str">
        <f aca="false">A103&amp;"|"&amp;D103</f>
        <v>BLR-BASAVANAPURA|4</v>
      </c>
    </row>
    <row r="104" customFormat="false" ht="15" hidden="false" customHeight="false" outlineLevel="0" collapsed="false">
      <c r="A104" s="59" t="s">
        <v>86</v>
      </c>
      <c r="B104" s="59" t="s">
        <v>408</v>
      </c>
      <c r="C104" s="60" t="n">
        <v>2871.09</v>
      </c>
      <c r="D104" s="59" t="n">
        <f aca="false">COUNTIFS($A$2:$A$1931,A104,$C$2:$C$1931,"&gt;"&amp;C104)+COUNTIFS($A$2:A104,A104,$C$2:C104,C104)</f>
        <v>5</v>
      </c>
      <c r="E104" s="59" t="str">
        <f aca="false">A104&amp;"|"&amp;D104</f>
        <v>BLR-BASAVANAPURA|5</v>
      </c>
    </row>
    <row r="105" customFormat="false" ht="15" hidden="false" customHeight="false" outlineLevel="0" collapsed="false">
      <c r="A105" s="59" t="s">
        <v>86</v>
      </c>
      <c r="B105" s="59" t="s">
        <v>418</v>
      </c>
      <c r="C105" s="60" t="n">
        <v>2038.01</v>
      </c>
      <c r="D105" s="59" t="n">
        <f aca="false">COUNTIFS($A$2:$A$1931,A105,$C$2:$C$1931,"&gt;"&amp;C105)+COUNTIFS($A$2:A105,A105,$C$2:C105,C105)</f>
        <v>6</v>
      </c>
      <c r="E105" s="59" t="str">
        <f aca="false">A105&amp;"|"&amp;D105</f>
        <v>BLR-BASAVANAPURA|6</v>
      </c>
    </row>
    <row r="106" customFormat="false" ht="15" hidden="false" customHeight="false" outlineLevel="0" collapsed="false">
      <c r="A106" s="59" t="s">
        <v>86</v>
      </c>
      <c r="B106" s="59" t="s">
        <v>412</v>
      </c>
      <c r="C106" s="60" t="n">
        <v>1676.24</v>
      </c>
      <c r="D106" s="59" t="n">
        <f aca="false">COUNTIFS($A$2:$A$1931,A106,$C$2:$C$1931,"&gt;"&amp;C106)+COUNTIFS($A$2:A106,A106,$C$2:C106,C106)</f>
        <v>7</v>
      </c>
      <c r="E106" s="59" t="str">
        <f aca="false">A106&amp;"|"&amp;D106</f>
        <v>BLR-BASAVANAPURA|7</v>
      </c>
    </row>
    <row r="107" customFormat="false" ht="15" hidden="false" customHeight="false" outlineLevel="0" collapsed="false">
      <c r="A107" s="59" t="s">
        <v>86</v>
      </c>
      <c r="B107" s="59" t="s">
        <v>427</v>
      </c>
      <c r="C107" s="60" t="n">
        <v>297.32</v>
      </c>
      <c r="D107" s="59" t="n">
        <f aca="false">COUNTIFS($A$2:$A$1931,A107,$C$2:$C$1931,"&gt;"&amp;C107)+COUNTIFS($A$2:A107,A107,$C$2:C107,C107)</f>
        <v>8</v>
      </c>
      <c r="E107" s="59" t="str">
        <f aca="false">A107&amp;"|"&amp;D107</f>
        <v>BLR-BASAVANAPURA|8</v>
      </c>
    </row>
    <row r="108" customFormat="false" ht="15" hidden="false" customHeight="false" outlineLevel="0" collapsed="false">
      <c r="A108" s="59" t="s">
        <v>86</v>
      </c>
      <c r="B108" s="59" t="s">
        <v>426</v>
      </c>
      <c r="C108" s="60" t="n">
        <v>134.72</v>
      </c>
      <c r="D108" s="59" t="n">
        <f aca="false">COUNTIFS($A$2:$A$1931,A108,$C$2:$C$1931,"&gt;"&amp;C108)+COUNTIFS($A$2:A108,A108,$C$2:C108,C108)</f>
        <v>9</v>
      </c>
      <c r="E108" s="59" t="str">
        <f aca="false">A108&amp;"|"&amp;D108</f>
        <v>BLR-BASAVANAPURA|9</v>
      </c>
    </row>
    <row r="109" customFormat="false" ht="15" hidden="false" customHeight="false" outlineLevel="0" collapsed="false">
      <c r="A109" s="59" t="s">
        <v>34</v>
      </c>
      <c r="B109" s="59" t="s">
        <v>420</v>
      </c>
      <c r="C109" s="60" t="n">
        <v>17353.5</v>
      </c>
      <c r="D109" s="59" t="n">
        <f aca="false">COUNTIFS($A$2:$A$1931,A109,$C$2:$C$1931,"&gt;"&amp;C109)+COUNTIFS($A$2:A109,A109,$C$2:C109,C109)</f>
        <v>1</v>
      </c>
      <c r="E109" s="59" t="str">
        <f aca="false">A109&amp;"|"&amp;D109</f>
        <v>BLR-BASAVANAPURA NETWORK 2|1</v>
      </c>
    </row>
    <row r="110" customFormat="false" ht="15" hidden="false" customHeight="false" outlineLevel="0" collapsed="false">
      <c r="A110" s="59" t="s">
        <v>34</v>
      </c>
      <c r="B110" s="59" t="s">
        <v>408</v>
      </c>
      <c r="C110" s="60" t="n">
        <v>14552.69</v>
      </c>
      <c r="D110" s="59" t="n">
        <f aca="false">COUNTIFS($A$2:$A$1931,A110,$C$2:$C$1931,"&gt;"&amp;C110)+COUNTIFS($A$2:A110,A110,$C$2:C110,C110)</f>
        <v>2</v>
      </c>
      <c r="E110" s="59" t="str">
        <f aca="false">A110&amp;"|"&amp;D110</f>
        <v>BLR-BASAVANAPURA NETWORK 2|2</v>
      </c>
    </row>
    <row r="111" customFormat="false" ht="15" hidden="false" customHeight="false" outlineLevel="0" collapsed="false">
      <c r="A111" s="59" t="s">
        <v>34</v>
      </c>
      <c r="B111" s="59" t="s">
        <v>417</v>
      </c>
      <c r="C111" s="60" t="n">
        <v>11491.31</v>
      </c>
      <c r="D111" s="59" t="n">
        <f aca="false">COUNTIFS($A$2:$A$1931,A111,$C$2:$C$1931,"&gt;"&amp;C111)+COUNTIFS($A$2:A111,A111,$C$2:C111,C111)</f>
        <v>3</v>
      </c>
      <c r="E111" s="59" t="str">
        <f aca="false">A111&amp;"|"&amp;D111</f>
        <v>BLR-BASAVANAPURA NETWORK 2|3</v>
      </c>
    </row>
    <row r="112" customFormat="false" ht="15" hidden="false" customHeight="false" outlineLevel="0" collapsed="false">
      <c r="A112" s="59" t="s">
        <v>34</v>
      </c>
      <c r="B112" s="59" t="s">
        <v>409</v>
      </c>
      <c r="C112" s="60" t="n">
        <v>6989.24</v>
      </c>
      <c r="D112" s="59" t="n">
        <f aca="false">COUNTIFS($A$2:$A$1931,A112,$C$2:$C$1931,"&gt;"&amp;C112)+COUNTIFS($A$2:A112,A112,$C$2:C112,C112)</f>
        <v>4</v>
      </c>
      <c r="E112" s="59" t="str">
        <f aca="false">A112&amp;"|"&amp;D112</f>
        <v>BLR-BASAVANAPURA NETWORK 2|4</v>
      </c>
    </row>
    <row r="113" customFormat="false" ht="15" hidden="false" customHeight="false" outlineLevel="0" collapsed="false">
      <c r="A113" s="59" t="s">
        <v>34</v>
      </c>
      <c r="B113" s="59" t="s">
        <v>412</v>
      </c>
      <c r="C113" s="60" t="n">
        <v>4253.81</v>
      </c>
      <c r="D113" s="59" t="n">
        <f aca="false">COUNTIFS($A$2:$A$1931,A113,$C$2:$C$1931,"&gt;"&amp;C113)+COUNTIFS($A$2:A113,A113,$C$2:C113,C113)</f>
        <v>5</v>
      </c>
      <c r="E113" s="59" t="str">
        <f aca="false">A113&amp;"|"&amp;D113</f>
        <v>BLR-BASAVANAPURA NETWORK 2|5</v>
      </c>
    </row>
    <row r="114" customFormat="false" ht="15" hidden="false" customHeight="false" outlineLevel="0" collapsed="false">
      <c r="A114" s="59" t="s">
        <v>34</v>
      </c>
      <c r="B114" s="59" t="s">
        <v>413</v>
      </c>
      <c r="C114" s="60" t="n">
        <v>4065.92</v>
      </c>
      <c r="D114" s="59" t="n">
        <f aca="false">COUNTIFS($A$2:$A$1931,A114,$C$2:$C$1931,"&gt;"&amp;C114)+COUNTIFS($A$2:A114,A114,$C$2:C114,C114)</f>
        <v>6</v>
      </c>
      <c r="E114" s="59" t="str">
        <f aca="false">A114&amp;"|"&amp;D114</f>
        <v>BLR-BASAVANAPURA NETWORK 2|6</v>
      </c>
    </row>
    <row r="115" customFormat="false" ht="15" hidden="false" customHeight="false" outlineLevel="0" collapsed="false">
      <c r="A115" s="59" t="s">
        <v>34</v>
      </c>
      <c r="B115" s="59" t="s">
        <v>431</v>
      </c>
      <c r="C115" s="60" t="n">
        <v>3674.48</v>
      </c>
      <c r="D115" s="59" t="n">
        <f aca="false">COUNTIFS($A$2:$A$1931,A115,$C$2:$C$1931,"&gt;"&amp;C115)+COUNTIFS($A$2:A115,A115,$C$2:C115,C115)</f>
        <v>7</v>
      </c>
      <c r="E115" s="59" t="str">
        <f aca="false">A115&amp;"|"&amp;D115</f>
        <v>BLR-BASAVANAPURA NETWORK 2|7</v>
      </c>
    </row>
    <row r="116" customFormat="false" ht="15" hidden="false" customHeight="false" outlineLevel="0" collapsed="false">
      <c r="A116" s="59" t="s">
        <v>34</v>
      </c>
      <c r="B116" s="59" t="s">
        <v>427</v>
      </c>
      <c r="C116" s="60" t="n">
        <v>1495.25</v>
      </c>
      <c r="D116" s="59" t="n">
        <f aca="false">COUNTIFS($A$2:$A$1931,A116,$C$2:$C$1931,"&gt;"&amp;C116)+COUNTIFS($A$2:A116,A116,$C$2:C116,C116)</f>
        <v>8</v>
      </c>
      <c r="E116" s="59" t="str">
        <f aca="false">A116&amp;"|"&amp;D116</f>
        <v>BLR-BASAVANAPURA NETWORK 2|8</v>
      </c>
    </row>
    <row r="117" customFormat="false" ht="15" hidden="false" customHeight="false" outlineLevel="0" collapsed="false">
      <c r="A117" s="59" t="s">
        <v>34</v>
      </c>
      <c r="B117" s="59" t="s">
        <v>410</v>
      </c>
      <c r="C117" s="60" t="n">
        <v>1214.95</v>
      </c>
      <c r="D117" s="59" t="n">
        <f aca="false">COUNTIFS($A$2:$A$1931,A117,$C$2:$C$1931,"&gt;"&amp;C117)+COUNTIFS($A$2:A117,A117,$C$2:C117,C117)</f>
        <v>9</v>
      </c>
      <c r="E117" s="59" t="str">
        <f aca="false">A117&amp;"|"&amp;D117</f>
        <v>BLR-BASAVANAPURA NETWORK 2|9</v>
      </c>
    </row>
    <row r="118" customFormat="false" ht="15" hidden="false" customHeight="false" outlineLevel="0" collapsed="false">
      <c r="A118" s="59" t="s">
        <v>34</v>
      </c>
      <c r="B118" s="59" t="s">
        <v>418</v>
      </c>
      <c r="C118" s="60" t="n">
        <v>890.59</v>
      </c>
      <c r="D118" s="59" t="n">
        <f aca="false">COUNTIFS($A$2:$A$1931,A118,$C$2:$C$1931,"&gt;"&amp;C118)+COUNTIFS($A$2:A118,A118,$C$2:C118,C118)</f>
        <v>10</v>
      </c>
      <c r="E118" s="59" t="str">
        <f aca="false">A118&amp;"|"&amp;D118</f>
        <v>BLR-BASAVANAPURA NETWORK 2|10</v>
      </c>
    </row>
    <row r="119" customFormat="false" ht="15" hidden="false" customHeight="false" outlineLevel="0" collapsed="false">
      <c r="A119" s="59" t="s">
        <v>34</v>
      </c>
      <c r="B119" s="59" t="s">
        <v>424</v>
      </c>
      <c r="C119" s="60" t="n">
        <v>367.04</v>
      </c>
      <c r="D119" s="59" t="n">
        <f aca="false">COUNTIFS($A$2:$A$1931,A119,$C$2:$C$1931,"&gt;"&amp;C119)+COUNTIFS($A$2:A119,A119,$C$2:C119,C119)</f>
        <v>11</v>
      </c>
      <c r="E119" s="59" t="str">
        <f aca="false">A119&amp;"|"&amp;D119</f>
        <v>BLR-BASAVANAPURA NETWORK 2|11</v>
      </c>
    </row>
    <row r="120" customFormat="false" ht="15" hidden="false" customHeight="false" outlineLevel="0" collapsed="false">
      <c r="A120" s="59" t="s">
        <v>34</v>
      </c>
      <c r="B120" s="59" t="s">
        <v>423</v>
      </c>
      <c r="C120" s="60" t="n">
        <v>305.11</v>
      </c>
      <c r="D120" s="59" t="n">
        <f aca="false">COUNTIFS($A$2:$A$1931,A120,$C$2:$C$1931,"&gt;"&amp;C120)+COUNTIFS($A$2:A120,A120,$C$2:C120,C120)</f>
        <v>12</v>
      </c>
      <c r="E120" s="59" t="str">
        <f aca="false">A120&amp;"|"&amp;D120</f>
        <v>BLR-BASAVANAPURA NETWORK 2|12</v>
      </c>
    </row>
    <row r="121" customFormat="false" ht="15" hidden="false" customHeight="false" outlineLevel="0" collapsed="false">
      <c r="A121" s="59" t="s">
        <v>103</v>
      </c>
      <c r="B121" s="59" t="s">
        <v>410</v>
      </c>
      <c r="C121" s="60" t="n">
        <v>3407.82</v>
      </c>
      <c r="D121" s="59" t="n">
        <f aca="false">COUNTIFS($A$2:$A$1931,A121,$C$2:$C$1931,"&gt;"&amp;C121)+COUNTIFS($A$2:A121,A121,$C$2:C121,C121)</f>
        <v>1</v>
      </c>
      <c r="E121" s="59" t="str">
        <f aca="false">A121&amp;"|"&amp;D121</f>
        <v>BLR-BASAVANAPURA SS|1</v>
      </c>
    </row>
    <row r="122" customFormat="false" ht="15" hidden="false" customHeight="false" outlineLevel="0" collapsed="false">
      <c r="A122" s="59" t="s">
        <v>103</v>
      </c>
      <c r="B122" s="59" t="s">
        <v>424</v>
      </c>
      <c r="C122" s="60" t="n">
        <v>1715.73</v>
      </c>
      <c r="D122" s="59" t="n">
        <f aca="false">COUNTIFS($A$2:$A$1931,A122,$C$2:$C$1931,"&gt;"&amp;C122)+COUNTIFS($A$2:A122,A122,$C$2:C122,C122)</f>
        <v>2</v>
      </c>
      <c r="E122" s="59" t="str">
        <f aca="false">A122&amp;"|"&amp;D122</f>
        <v>BLR-BASAVANAPURA SS|2</v>
      </c>
    </row>
    <row r="123" customFormat="false" ht="15" hidden="false" customHeight="false" outlineLevel="0" collapsed="false">
      <c r="A123" s="59" t="s">
        <v>103</v>
      </c>
      <c r="B123" s="59" t="s">
        <v>433</v>
      </c>
      <c r="C123" s="60" t="n">
        <v>1408.87</v>
      </c>
      <c r="D123" s="59" t="n">
        <f aca="false">COUNTIFS($A$2:$A$1931,A123,$C$2:$C$1931,"&gt;"&amp;C123)+COUNTIFS($A$2:A123,A123,$C$2:C123,C123)</f>
        <v>3</v>
      </c>
      <c r="E123" s="59" t="str">
        <f aca="false">A123&amp;"|"&amp;D123</f>
        <v>BLR-BASAVANAPURA SS|3</v>
      </c>
    </row>
    <row r="124" customFormat="false" ht="15" hidden="false" customHeight="false" outlineLevel="0" collapsed="false">
      <c r="A124" s="59" t="s">
        <v>103</v>
      </c>
      <c r="B124" s="59" t="s">
        <v>417</v>
      </c>
      <c r="C124" s="60" t="n">
        <v>1204.07</v>
      </c>
      <c r="D124" s="59" t="n">
        <f aca="false">COUNTIFS($A$2:$A$1931,A124,$C$2:$C$1931,"&gt;"&amp;C124)+COUNTIFS($A$2:A124,A124,$C$2:C124,C124)</f>
        <v>4</v>
      </c>
      <c r="E124" s="59" t="str">
        <f aca="false">A124&amp;"|"&amp;D124</f>
        <v>BLR-BASAVANAPURA SS|4</v>
      </c>
    </row>
    <row r="125" customFormat="false" ht="15" hidden="false" customHeight="false" outlineLevel="0" collapsed="false">
      <c r="A125" s="59" t="s">
        <v>103</v>
      </c>
      <c r="B125" s="59" t="s">
        <v>409</v>
      </c>
      <c r="C125" s="60" t="n">
        <v>267.01</v>
      </c>
      <c r="D125" s="59" t="n">
        <f aca="false">COUNTIFS($A$2:$A$1931,A125,$C$2:$C$1931,"&gt;"&amp;C125)+COUNTIFS($A$2:A125,A125,$C$2:C125,C125)</f>
        <v>5</v>
      </c>
      <c r="E125" s="59" t="str">
        <f aca="false">A125&amp;"|"&amp;D125</f>
        <v>BLR-BASAVANAPURA SS|5</v>
      </c>
    </row>
    <row r="126" customFormat="false" ht="15" hidden="false" customHeight="false" outlineLevel="0" collapsed="false">
      <c r="A126" s="59" t="s">
        <v>103</v>
      </c>
      <c r="B126" s="59" t="s">
        <v>420</v>
      </c>
      <c r="C126" s="60" t="n">
        <v>183.07</v>
      </c>
      <c r="D126" s="59" t="n">
        <f aca="false">COUNTIFS($A$2:$A$1931,A126,$C$2:$C$1931,"&gt;"&amp;C126)+COUNTIFS($A$2:A126,A126,$C$2:C126,C126)</f>
        <v>6</v>
      </c>
      <c r="E126" s="59" t="str">
        <f aca="false">A126&amp;"|"&amp;D126</f>
        <v>BLR-BASAVANAPURA SS|6</v>
      </c>
    </row>
    <row r="127" customFormat="false" ht="15" hidden="false" customHeight="false" outlineLevel="0" collapsed="false">
      <c r="A127" s="59" t="s">
        <v>103</v>
      </c>
      <c r="B127" s="59" t="s">
        <v>434</v>
      </c>
      <c r="C127" s="60" t="n">
        <v>169.56</v>
      </c>
      <c r="D127" s="59" t="n">
        <f aca="false">COUNTIFS($A$2:$A$1931,A127,$C$2:$C$1931,"&gt;"&amp;C127)+COUNTIFS($A$2:A127,A127,$C$2:C127,C127)</f>
        <v>7</v>
      </c>
      <c r="E127" s="59" t="str">
        <f aca="false">A127&amp;"|"&amp;D127</f>
        <v>BLR-BASAVANAPURA SS|7</v>
      </c>
    </row>
    <row r="128" customFormat="false" ht="15" hidden="false" customHeight="false" outlineLevel="0" collapsed="false">
      <c r="A128" s="59" t="s">
        <v>103</v>
      </c>
      <c r="B128" s="59" t="s">
        <v>430</v>
      </c>
      <c r="C128" s="60" t="n">
        <v>130.61</v>
      </c>
      <c r="D128" s="59" t="n">
        <f aca="false">COUNTIFS($A$2:$A$1931,A128,$C$2:$C$1931,"&gt;"&amp;C128)+COUNTIFS($A$2:A128,A128,$C$2:C128,C128)</f>
        <v>8</v>
      </c>
      <c r="E128" s="59" t="str">
        <f aca="false">A128&amp;"|"&amp;D128</f>
        <v>BLR-BASAVANAPURA SS|8</v>
      </c>
    </row>
    <row r="129" customFormat="false" ht="15" hidden="false" customHeight="false" outlineLevel="0" collapsed="false">
      <c r="A129" s="59" t="s">
        <v>103</v>
      </c>
      <c r="B129" s="59" t="s">
        <v>408</v>
      </c>
      <c r="C129" s="60" t="n">
        <v>113.77</v>
      </c>
      <c r="D129" s="59" t="n">
        <f aca="false">COUNTIFS($A$2:$A$1931,A129,$C$2:$C$1931,"&gt;"&amp;C129)+COUNTIFS($A$2:A129,A129,$C$2:C129,C129)</f>
        <v>9</v>
      </c>
      <c r="E129" s="59" t="str">
        <f aca="false">A129&amp;"|"&amp;D129</f>
        <v>BLR-BASAVANAPURA SS|9</v>
      </c>
    </row>
    <row r="130" customFormat="false" ht="15" hidden="false" customHeight="false" outlineLevel="0" collapsed="false">
      <c r="A130" s="59" t="s">
        <v>149</v>
      </c>
      <c r="B130" s="59" t="s">
        <v>415</v>
      </c>
      <c r="C130" s="60" t="n">
        <v>5731.65</v>
      </c>
      <c r="D130" s="59" t="n">
        <f aca="false">COUNTIFS($A$2:$A$1931,A130,$C$2:$C$1931,"&gt;"&amp;C130)+COUNTIFS($A$2:A130,A130,$C$2:C130,C130)</f>
        <v>1</v>
      </c>
      <c r="E130" s="59" t="str">
        <f aca="false">A130&amp;"|"&amp;D130</f>
        <v>BLR-BELLANDUR - 2|1</v>
      </c>
    </row>
    <row r="131" customFormat="false" ht="15" hidden="false" customHeight="false" outlineLevel="0" collapsed="false">
      <c r="A131" s="59" t="s">
        <v>149</v>
      </c>
      <c r="B131" s="59" t="s">
        <v>408</v>
      </c>
      <c r="C131" s="60" t="n">
        <v>1419.79</v>
      </c>
      <c r="D131" s="59" t="n">
        <f aca="false">COUNTIFS($A$2:$A$1931,A131,$C$2:$C$1931,"&gt;"&amp;C131)+COUNTIFS($A$2:A131,A131,$C$2:C131,C131)</f>
        <v>2</v>
      </c>
      <c r="E131" s="59" t="str">
        <f aca="false">A131&amp;"|"&amp;D131</f>
        <v>BLR-BELLANDUR - 2|2</v>
      </c>
    </row>
    <row r="132" customFormat="false" ht="15" hidden="false" customHeight="false" outlineLevel="0" collapsed="false">
      <c r="A132" s="59" t="s">
        <v>149</v>
      </c>
      <c r="B132" s="59" t="s">
        <v>407</v>
      </c>
      <c r="C132" s="60" t="n">
        <v>693.28</v>
      </c>
      <c r="D132" s="59" t="n">
        <f aca="false">COUNTIFS($A$2:$A$1931,A132,$C$2:$C$1931,"&gt;"&amp;C132)+COUNTIFS($A$2:A132,A132,$C$2:C132,C132)</f>
        <v>3</v>
      </c>
      <c r="E132" s="59" t="str">
        <f aca="false">A132&amp;"|"&amp;D132</f>
        <v>BLR-BELLANDUR - 2|3</v>
      </c>
    </row>
    <row r="133" customFormat="false" ht="15" hidden="false" customHeight="false" outlineLevel="0" collapsed="false">
      <c r="A133" s="59" t="s">
        <v>149</v>
      </c>
      <c r="B133" s="59" t="s">
        <v>435</v>
      </c>
      <c r="C133" s="60" t="n">
        <v>442.39</v>
      </c>
      <c r="D133" s="59" t="n">
        <f aca="false">COUNTIFS($A$2:$A$1931,A133,$C$2:$C$1931,"&gt;"&amp;C133)+COUNTIFS($A$2:A133,A133,$C$2:C133,C133)</f>
        <v>4</v>
      </c>
      <c r="E133" s="59" t="str">
        <f aca="false">A133&amp;"|"&amp;D133</f>
        <v>BLR-BELLANDUR - 2|4</v>
      </c>
    </row>
    <row r="134" customFormat="false" ht="15" hidden="false" customHeight="false" outlineLevel="0" collapsed="false">
      <c r="A134" s="59" t="s">
        <v>73</v>
      </c>
      <c r="B134" s="59" t="s">
        <v>412</v>
      </c>
      <c r="C134" s="60" t="n">
        <v>8037.89</v>
      </c>
      <c r="D134" s="59" t="n">
        <f aca="false">COUNTIFS($A$2:$A$1931,A134,$C$2:$C$1931,"&gt;"&amp;C134)+COUNTIFS($A$2:A134,A134,$C$2:C134,C134)</f>
        <v>1</v>
      </c>
      <c r="E134" s="59" t="str">
        <f aca="false">A134&amp;"|"&amp;D134</f>
        <v>BLR-BELLANDUR-4|1</v>
      </c>
    </row>
    <row r="135" customFormat="false" ht="15" hidden="false" customHeight="false" outlineLevel="0" collapsed="false">
      <c r="A135" s="59" t="s">
        <v>73</v>
      </c>
      <c r="B135" s="59" t="s">
        <v>424</v>
      </c>
      <c r="C135" s="60" t="n">
        <v>6631.39</v>
      </c>
      <c r="D135" s="59" t="n">
        <f aca="false">COUNTIFS($A$2:$A$1931,A135,$C$2:$C$1931,"&gt;"&amp;C135)+COUNTIFS($A$2:A135,A135,$C$2:C135,C135)</f>
        <v>2</v>
      </c>
      <c r="E135" s="59" t="str">
        <f aca="false">A135&amp;"|"&amp;D135</f>
        <v>BLR-BELLANDUR-4|2</v>
      </c>
    </row>
    <row r="136" customFormat="false" ht="15" hidden="false" customHeight="false" outlineLevel="0" collapsed="false">
      <c r="A136" s="59" t="s">
        <v>73</v>
      </c>
      <c r="B136" s="59" t="s">
        <v>418</v>
      </c>
      <c r="C136" s="60" t="n">
        <v>6319.57</v>
      </c>
      <c r="D136" s="59" t="n">
        <f aca="false">COUNTIFS($A$2:$A$1931,A136,$C$2:$C$1931,"&gt;"&amp;C136)+COUNTIFS($A$2:A136,A136,$C$2:C136,C136)</f>
        <v>3</v>
      </c>
      <c r="E136" s="59" t="str">
        <f aca="false">A136&amp;"|"&amp;D136</f>
        <v>BLR-BELLANDUR-4|3</v>
      </c>
    </row>
    <row r="137" customFormat="false" ht="15" hidden="false" customHeight="false" outlineLevel="0" collapsed="false">
      <c r="A137" s="59" t="s">
        <v>73</v>
      </c>
      <c r="B137" s="59" t="s">
        <v>408</v>
      </c>
      <c r="C137" s="60" t="n">
        <v>3072.34</v>
      </c>
      <c r="D137" s="59" t="n">
        <f aca="false">COUNTIFS($A$2:$A$1931,A137,$C$2:$C$1931,"&gt;"&amp;C137)+COUNTIFS($A$2:A137,A137,$C$2:C137,C137)</f>
        <v>4</v>
      </c>
      <c r="E137" s="59" t="str">
        <f aca="false">A137&amp;"|"&amp;D137</f>
        <v>BLR-BELLANDUR-4|4</v>
      </c>
    </row>
    <row r="138" customFormat="false" ht="15" hidden="false" customHeight="false" outlineLevel="0" collapsed="false">
      <c r="A138" s="59" t="s">
        <v>73</v>
      </c>
      <c r="B138" s="59" t="s">
        <v>420</v>
      </c>
      <c r="C138" s="60" t="n">
        <v>857.37</v>
      </c>
      <c r="D138" s="59" t="n">
        <f aca="false">COUNTIFS($A$2:$A$1931,A138,$C$2:$C$1931,"&gt;"&amp;C138)+COUNTIFS($A$2:A138,A138,$C$2:C138,C138)</f>
        <v>5</v>
      </c>
      <c r="E138" s="59" t="str">
        <f aca="false">A138&amp;"|"&amp;D138</f>
        <v>BLR-BELLANDUR-4|5</v>
      </c>
    </row>
    <row r="139" customFormat="false" ht="15" hidden="false" customHeight="false" outlineLevel="0" collapsed="false">
      <c r="A139" s="59" t="s">
        <v>73</v>
      </c>
      <c r="B139" s="59" t="s">
        <v>415</v>
      </c>
      <c r="C139" s="60" t="n">
        <v>837.1</v>
      </c>
      <c r="D139" s="59" t="n">
        <f aca="false">COUNTIFS($A$2:$A$1931,A139,$C$2:$C$1931,"&gt;"&amp;C139)+COUNTIFS($A$2:A139,A139,$C$2:C139,C139)</f>
        <v>6</v>
      </c>
      <c r="E139" s="59" t="str">
        <f aca="false">A139&amp;"|"&amp;D139</f>
        <v>BLR-BELLANDUR-4|6</v>
      </c>
    </row>
    <row r="140" customFormat="false" ht="15" hidden="false" customHeight="false" outlineLevel="0" collapsed="false">
      <c r="A140" s="59" t="s">
        <v>73</v>
      </c>
      <c r="B140" s="59" t="s">
        <v>407</v>
      </c>
      <c r="C140" s="60" t="n">
        <v>726.36</v>
      </c>
      <c r="D140" s="59" t="n">
        <f aca="false">COUNTIFS($A$2:$A$1931,A140,$C$2:$C$1931,"&gt;"&amp;C140)+COUNTIFS($A$2:A140,A140,$C$2:C140,C140)</f>
        <v>7</v>
      </c>
      <c r="E140" s="59" t="str">
        <f aca="false">A140&amp;"|"&amp;D140</f>
        <v>BLR-BELLANDUR-4|7</v>
      </c>
    </row>
    <row r="141" customFormat="false" ht="15" hidden="false" customHeight="false" outlineLevel="0" collapsed="false">
      <c r="A141" s="59" t="s">
        <v>73</v>
      </c>
      <c r="B141" s="59" t="s">
        <v>410</v>
      </c>
      <c r="C141" s="60" t="n">
        <v>424.69</v>
      </c>
      <c r="D141" s="59" t="n">
        <f aca="false">COUNTIFS($A$2:$A$1931,A141,$C$2:$C$1931,"&gt;"&amp;C141)+COUNTIFS($A$2:A141,A141,$C$2:C141,C141)</f>
        <v>8</v>
      </c>
      <c r="E141" s="59" t="str">
        <f aca="false">A141&amp;"|"&amp;D141</f>
        <v>BLR-BELLANDUR-4|8</v>
      </c>
    </row>
    <row r="142" customFormat="false" ht="15" hidden="false" customHeight="false" outlineLevel="0" collapsed="false">
      <c r="A142" s="59" t="s">
        <v>73</v>
      </c>
      <c r="B142" s="59" t="s">
        <v>413</v>
      </c>
      <c r="C142" s="60" t="n">
        <v>73.65</v>
      </c>
      <c r="D142" s="59" t="n">
        <f aca="false">COUNTIFS($A$2:$A$1931,A142,$C$2:$C$1931,"&gt;"&amp;C142)+COUNTIFS($A$2:A142,A142,$C$2:C142,C142)</f>
        <v>9</v>
      </c>
      <c r="E142" s="59" t="str">
        <f aca="false">A142&amp;"|"&amp;D142</f>
        <v>BLR-BELLANDUR-4|9</v>
      </c>
    </row>
    <row r="143" customFormat="false" ht="15" hidden="false" customHeight="false" outlineLevel="0" collapsed="false">
      <c r="A143" s="59" t="s">
        <v>73</v>
      </c>
      <c r="B143" s="59" t="s">
        <v>423</v>
      </c>
      <c r="C143" s="60" t="n">
        <v>49.55</v>
      </c>
      <c r="D143" s="59" t="n">
        <f aca="false">COUNTIFS($A$2:$A$1931,A143,$C$2:$C$1931,"&gt;"&amp;C143)+COUNTIFS($A$2:A143,A143,$C$2:C143,C143)</f>
        <v>10</v>
      </c>
      <c r="E143" s="59" t="str">
        <f aca="false">A143&amp;"|"&amp;D143</f>
        <v>BLR-BELLANDUR-4|10</v>
      </c>
    </row>
    <row r="144" customFormat="false" ht="15" hidden="false" customHeight="false" outlineLevel="0" collapsed="false">
      <c r="A144" s="59" t="s">
        <v>73</v>
      </c>
      <c r="B144" s="59" t="s">
        <v>431</v>
      </c>
      <c r="C144" s="60" t="n">
        <v>7.94</v>
      </c>
      <c r="D144" s="59" t="n">
        <f aca="false">COUNTIFS($A$2:$A$1931,A144,$C$2:$C$1931,"&gt;"&amp;C144)+COUNTIFS($A$2:A144,A144,$C$2:C144,C144)</f>
        <v>11</v>
      </c>
      <c r="E144" s="59" t="str">
        <f aca="false">A144&amp;"|"&amp;D144</f>
        <v>BLR-BELLANDUR-4|11</v>
      </c>
    </row>
    <row r="145" customFormat="false" ht="15" hidden="false" customHeight="false" outlineLevel="0" collapsed="false">
      <c r="A145" s="59" t="s">
        <v>283</v>
      </c>
      <c r="B145" s="59" t="s">
        <v>413</v>
      </c>
      <c r="C145" s="60" t="n">
        <v>691.12</v>
      </c>
      <c r="D145" s="59" t="n">
        <f aca="false">COUNTIFS($A$2:$A$1931,A145,$C$2:$C$1931,"&gt;"&amp;C145)+COUNTIFS($A$2:A145,A145,$C$2:C145,C145)</f>
        <v>1</v>
      </c>
      <c r="E145" s="59" t="str">
        <f aca="false">A145&amp;"|"&amp;D145</f>
        <v>BLR-BEML Layout|1</v>
      </c>
    </row>
    <row r="146" customFormat="false" ht="15" hidden="false" customHeight="false" outlineLevel="0" collapsed="false">
      <c r="A146" s="59" t="s">
        <v>283</v>
      </c>
      <c r="B146" s="59" t="s">
        <v>423</v>
      </c>
      <c r="C146" s="60" t="n">
        <v>289.49</v>
      </c>
      <c r="D146" s="59" t="n">
        <f aca="false">COUNTIFS($A$2:$A$1931,A146,$C$2:$C$1931,"&gt;"&amp;C146)+COUNTIFS($A$2:A146,A146,$C$2:C146,C146)</f>
        <v>2</v>
      </c>
      <c r="E146" s="59" t="str">
        <f aca="false">A146&amp;"|"&amp;D146</f>
        <v>BLR-BEML Layout|2</v>
      </c>
    </row>
    <row r="147" customFormat="false" ht="15" hidden="false" customHeight="false" outlineLevel="0" collapsed="false">
      <c r="A147" s="59" t="s">
        <v>283</v>
      </c>
      <c r="B147" s="59" t="s">
        <v>408</v>
      </c>
      <c r="C147" s="60" t="n">
        <v>70.93</v>
      </c>
      <c r="D147" s="59" t="n">
        <f aca="false">COUNTIFS($A$2:$A$1931,A147,$C$2:$C$1931,"&gt;"&amp;C147)+COUNTIFS($A$2:A147,A147,$C$2:C147,C147)</f>
        <v>3</v>
      </c>
      <c r="E147" s="59" t="str">
        <f aca="false">A147&amp;"|"&amp;D147</f>
        <v>BLR-BEML Layout|3</v>
      </c>
    </row>
    <row r="148" customFormat="false" ht="15" hidden="false" customHeight="false" outlineLevel="0" collapsed="false">
      <c r="A148" s="59" t="s">
        <v>70</v>
      </c>
      <c r="B148" s="59" t="s">
        <v>415</v>
      </c>
      <c r="C148" s="60" t="n">
        <v>24148.17</v>
      </c>
      <c r="D148" s="59" t="n">
        <f aca="false">COUNTIFS($A$2:$A$1931,A148,$C$2:$C$1931,"&gt;"&amp;C148)+COUNTIFS($A$2:A148,A148,$C$2:C148,C148)</f>
        <v>1</v>
      </c>
      <c r="E148" s="59" t="str">
        <f aca="false">A148&amp;"|"&amp;D148</f>
        <v>BLR-BHADRAPPA LAYOUT NETWORK|1</v>
      </c>
    </row>
    <row r="149" customFormat="false" ht="15" hidden="false" customHeight="false" outlineLevel="0" collapsed="false">
      <c r="A149" s="59" t="s">
        <v>70</v>
      </c>
      <c r="B149" s="59" t="s">
        <v>424</v>
      </c>
      <c r="C149" s="60" t="n">
        <v>4264.48</v>
      </c>
      <c r="D149" s="59" t="n">
        <f aca="false">COUNTIFS($A$2:$A$1931,A149,$C$2:$C$1931,"&gt;"&amp;C149)+COUNTIFS($A$2:A149,A149,$C$2:C149,C149)</f>
        <v>2</v>
      </c>
      <c r="E149" s="59" t="str">
        <f aca="false">A149&amp;"|"&amp;D149</f>
        <v>BLR-BHADRAPPA LAYOUT NETWORK|2</v>
      </c>
    </row>
    <row r="150" customFormat="false" ht="15" hidden="false" customHeight="false" outlineLevel="0" collapsed="false">
      <c r="A150" s="59" t="s">
        <v>70</v>
      </c>
      <c r="B150" s="59" t="s">
        <v>419</v>
      </c>
      <c r="C150" s="60" t="n">
        <v>4001</v>
      </c>
      <c r="D150" s="59" t="n">
        <f aca="false">COUNTIFS($A$2:$A$1931,A150,$C$2:$C$1931,"&gt;"&amp;C150)+COUNTIFS($A$2:A150,A150,$C$2:C150,C150)</f>
        <v>3</v>
      </c>
      <c r="E150" s="59" t="str">
        <f aca="false">A150&amp;"|"&amp;D150</f>
        <v>BLR-BHADRAPPA LAYOUT NETWORK|3</v>
      </c>
    </row>
    <row r="151" customFormat="false" ht="15" hidden="false" customHeight="false" outlineLevel="0" collapsed="false">
      <c r="A151" s="59" t="s">
        <v>70</v>
      </c>
      <c r="B151" s="59" t="s">
        <v>431</v>
      </c>
      <c r="C151" s="60" t="n">
        <v>2932.42</v>
      </c>
      <c r="D151" s="59" t="n">
        <f aca="false">COUNTIFS($A$2:$A$1931,A151,$C$2:$C$1931,"&gt;"&amp;C151)+COUNTIFS($A$2:A151,A151,$C$2:C151,C151)</f>
        <v>4</v>
      </c>
      <c r="E151" s="59" t="str">
        <f aca="false">A151&amp;"|"&amp;D151</f>
        <v>BLR-BHADRAPPA LAYOUT NETWORK|4</v>
      </c>
    </row>
    <row r="152" customFormat="false" ht="15" hidden="false" customHeight="false" outlineLevel="0" collapsed="false">
      <c r="A152" s="59" t="s">
        <v>70</v>
      </c>
      <c r="B152" s="59" t="s">
        <v>408</v>
      </c>
      <c r="C152" s="60" t="n">
        <v>1574.17</v>
      </c>
      <c r="D152" s="59" t="n">
        <f aca="false">COUNTIFS($A$2:$A$1931,A152,$C$2:$C$1931,"&gt;"&amp;C152)+COUNTIFS($A$2:A152,A152,$C$2:C152,C152)</f>
        <v>5</v>
      </c>
      <c r="E152" s="59" t="str">
        <f aca="false">A152&amp;"|"&amp;D152</f>
        <v>BLR-BHADRAPPA LAYOUT NETWORK|5</v>
      </c>
    </row>
    <row r="153" customFormat="false" ht="15" hidden="false" customHeight="false" outlineLevel="0" collapsed="false">
      <c r="A153" s="59" t="s">
        <v>70</v>
      </c>
      <c r="B153" s="59" t="s">
        <v>417</v>
      </c>
      <c r="C153" s="60" t="n">
        <v>1497.73</v>
      </c>
      <c r="D153" s="59" t="n">
        <f aca="false">COUNTIFS($A$2:$A$1931,A153,$C$2:$C$1931,"&gt;"&amp;C153)+COUNTIFS($A$2:A153,A153,$C$2:C153,C153)</f>
        <v>6</v>
      </c>
      <c r="E153" s="59" t="str">
        <f aca="false">A153&amp;"|"&amp;D153</f>
        <v>BLR-BHADRAPPA LAYOUT NETWORK|6</v>
      </c>
    </row>
    <row r="154" customFormat="false" ht="15" hidden="false" customHeight="false" outlineLevel="0" collapsed="false">
      <c r="A154" s="59" t="s">
        <v>70</v>
      </c>
      <c r="B154" s="59" t="s">
        <v>426</v>
      </c>
      <c r="C154" s="60" t="n">
        <v>1497.45</v>
      </c>
      <c r="D154" s="59" t="n">
        <f aca="false">COUNTIFS($A$2:$A$1931,A154,$C$2:$C$1931,"&gt;"&amp;C154)+COUNTIFS($A$2:A154,A154,$C$2:C154,C154)</f>
        <v>7</v>
      </c>
      <c r="E154" s="59" t="str">
        <f aca="false">A154&amp;"|"&amp;D154</f>
        <v>BLR-BHADRAPPA LAYOUT NETWORK|7</v>
      </c>
    </row>
    <row r="155" customFormat="false" ht="15" hidden="false" customHeight="false" outlineLevel="0" collapsed="false">
      <c r="A155" s="59" t="s">
        <v>70</v>
      </c>
      <c r="B155" s="59" t="s">
        <v>416</v>
      </c>
      <c r="C155" s="60" t="n">
        <v>1446.23</v>
      </c>
      <c r="D155" s="59" t="n">
        <f aca="false">COUNTIFS($A$2:$A$1931,A155,$C$2:$C$1931,"&gt;"&amp;C155)+COUNTIFS($A$2:A155,A155,$C$2:C155,C155)</f>
        <v>8</v>
      </c>
      <c r="E155" s="59" t="str">
        <f aca="false">A155&amp;"|"&amp;D155</f>
        <v>BLR-BHADRAPPA LAYOUT NETWORK|8</v>
      </c>
    </row>
    <row r="156" customFormat="false" ht="15" hidden="false" customHeight="false" outlineLevel="0" collapsed="false">
      <c r="A156" s="59" t="s">
        <v>70</v>
      </c>
      <c r="B156" s="59" t="s">
        <v>412</v>
      </c>
      <c r="C156" s="60" t="n">
        <v>1099.54</v>
      </c>
      <c r="D156" s="59" t="n">
        <f aca="false">COUNTIFS($A$2:$A$1931,A156,$C$2:$C$1931,"&gt;"&amp;C156)+COUNTIFS($A$2:A156,A156,$C$2:C156,C156)</f>
        <v>9</v>
      </c>
      <c r="E156" s="59" t="str">
        <f aca="false">A156&amp;"|"&amp;D156</f>
        <v>BLR-BHADRAPPA LAYOUT NETWORK|9</v>
      </c>
    </row>
    <row r="157" customFormat="false" ht="15" hidden="false" customHeight="false" outlineLevel="0" collapsed="false">
      <c r="A157" s="59" t="s">
        <v>70</v>
      </c>
      <c r="B157" s="59" t="s">
        <v>423</v>
      </c>
      <c r="C157" s="60" t="n">
        <v>53.33</v>
      </c>
      <c r="D157" s="59" t="n">
        <f aca="false">COUNTIFS($A$2:$A$1931,A157,$C$2:$C$1931,"&gt;"&amp;C157)+COUNTIFS($A$2:A157,A157,$C$2:C157,C157)</f>
        <v>10</v>
      </c>
      <c r="E157" s="59" t="str">
        <f aca="false">A157&amp;"|"&amp;D157</f>
        <v>BLR-BHADRAPPA LAYOUT NETWORK|10</v>
      </c>
    </row>
    <row r="158" customFormat="false" ht="15" hidden="false" customHeight="false" outlineLevel="0" collapsed="false">
      <c r="A158" s="59" t="s">
        <v>181</v>
      </c>
      <c r="B158" s="59" t="s">
        <v>426</v>
      </c>
      <c r="C158" s="60" t="n">
        <v>2744.53</v>
      </c>
      <c r="D158" s="59" t="n">
        <f aca="false">COUNTIFS($A$2:$A$1931,A158,$C$2:$C$1931,"&gt;"&amp;C158)+COUNTIFS($A$2:A158,A158,$C$2:C158,C158)</f>
        <v>1</v>
      </c>
      <c r="E158" s="59" t="str">
        <f aca="false">A158&amp;"|"&amp;D158</f>
        <v>BLR-BTM LAYOUT NEW|1</v>
      </c>
    </row>
    <row r="159" customFormat="false" ht="15" hidden="false" customHeight="false" outlineLevel="0" collapsed="false">
      <c r="A159" s="59" t="s">
        <v>181</v>
      </c>
      <c r="B159" s="59" t="s">
        <v>417</v>
      </c>
      <c r="C159" s="60" t="n">
        <v>2080.59</v>
      </c>
      <c r="D159" s="59" t="n">
        <f aca="false">COUNTIFS($A$2:$A$1931,A159,$C$2:$C$1931,"&gt;"&amp;C159)+COUNTIFS($A$2:A159,A159,$C$2:C159,C159)</f>
        <v>2</v>
      </c>
      <c r="E159" s="59" t="str">
        <f aca="false">A159&amp;"|"&amp;D159</f>
        <v>BLR-BTM LAYOUT NEW|2</v>
      </c>
    </row>
    <row r="160" customFormat="false" ht="15" hidden="false" customHeight="false" outlineLevel="0" collapsed="false">
      <c r="A160" s="59" t="s">
        <v>181</v>
      </c>
      <c r="B160" s="59" t="s">
        <v>418</v>
      </c>
      <c r="C160" s="60" t="n">
        <v>2010.69</v>
      </c>
      <c r="D160" s="59" t="n">
        <f aca="false">COUNTIFS($A$2:$A$1931,A160,$C$2:$C$1931,"&gt;"&amp;C160)+COUNTIFS($A$2:A160,A160,$C$2:C160,C160)</f>
        <v>3</v>
      </c>
      <c r="E160" s="59" t="str">
        <f aca="false">A160&amp;"|"&amp;D160</f>
        <v>BLR-BTM LAYOUT NEW|3</v>
      </c>
    </row>
    <row r="161" customFormat="false" ht="15" hidden="false" customHeight="false" outlineLevel="0" collapsed="false">
      <c r="A161" s="59" t="s">
        <v>181</v>
      </c>
      <c r="B161" s="59" t="s">
        <v>413</v>
      </c>
      <c r="C161" s="60" t="n">
        <v>1779.06</v>
      </c>
      <c r="D161" s="59" t="n">
        <f aca="false">COUNTIFS($A$2:$A$1931,A161,$C$2:$C$1931,"&gt;"&amp;C161)+COUNTIFS($A$2:A161,A161,$C$2:C161,C161)</f>
        <v>4</v>
      </c>
      <c r="E161" s="59" t="str">
        <f aca="false">A161&amp;"|"&amp;D161</f>
        <v>BLR-BTM LAYOUT NEW|4</v>
      </c>
    </row>
    <row r="162" customFormat="false" ht="15" hidden="false" customHeight="false" outlineLevel="0" collapsed="false">
      <c r="A162" s="59" t="s">
        <v>181</v>
      </c>
      <c r="B162" s="59" t="s">
        <v>409</v>
      </c>
      <c r="C162" s="60" t="n">
        <v>1584.87</v>
      </c>
      <c r="D162" s="59" t="n">
        <f aca="false">COUNTIFS($A$2:$A$1931,A162,$C$2:$C$1931,"&gt;"&amp;C162)+COUNTIFS($A$2:A162,A162,$C$2:C162,C162)</f>
        <v>5</v>
      </c>
      <c r="E162" s="59" t="str">
        <f aca="false">A162&amp;"|"&amp;D162</f>
        <v>BLR-BTM LAYOUT NEW|5</v>
      </c>
    </row>
    <row r="163" customFormat="false" ht="15" hidden="false" customHeight="false" outlineLevel="0" collapsed="false">
      <c r="A163" s="59" t="s">
        <v>181</v>
      </c>
      <c r="B163" s="59" t="s">
        <v>423</v>
      </c>
      <c r="C163" s="60" t="n">
        <v>286.57</v>
      </c>
      <c r="D163" s="59" t="n">
        <f aca="false">COUNTIFS($A$2:$A$1931,A163,$C$2:$C$1931,"&gt;"&amp;C163)+COUNTIFS($A$2:A163,A163,$C$2:C163,C163)</f>
        <v>6</v>
      </c>
      <c r="E163" s="59" t="str">
        <f aca="false">A163&amp;"|"&amp;D163</f>
        <v>BLR-BTM LAYOUT NEW|6</v>
      </c>
    </row>
    <row r="164" customFormat="false" ht="15" hidden="false" customHeight="false" outlineLevel="0" collapsed="false">
      <c r="A164" s="59" t="s">
        <v>181</v>
      </c>
      <c r="B164" s="59" t="s">
        <v>414</v>
      </c>
      <c r="C164" s="60" t="n">
        <v>247.38</v>
      </c>
      <c r="D164" s="59" t="n">
        <f aca="false">COUNTIFS($A$2:$A$1931,A164,$C$2:$C$1931,"&gt;"&amp;C164)+COUNTIFS($A$2:A164,A164,$C$2:C164,C164)</f>
        <v>7</v>
      </c>
      <c r="E164" s="59" t="str">
        <f aca="false">A164&amp;"|"&amp;D164</f>
        <v>BLR-BTM LAYOUT NEW|7</v>
      </c>
    </row>
    <row r="165" customFormat="false" ht="15" hidden="false" customHeight="false" outlineLevel="0" collapsed="false">
      <c r="A165" s="59" t="s">
        <v>181</v>
      </c>
      <c r="B165" s="59" t="s">
        <v>419</v>
      </c>
      <c r="C165" s="60" t="n">
        <v>85.48</v>
      </c>
      <c r="D165" s="59" t="n">
        <f aca="false">COUNTIFS($A$2:$A$1931,A165,$C$2:$C$1931,"&gt;"&amp;C165)+COUNTIFS($A$2:A165,A165,$C$2:C165,C165)</f>
        <v>8</v>
      </c>
      <c r="E165" s="59" t="str">
        <f aca="false">A165&amp;"|"&amp;D165</f>
        <v>BLR-BTM LAYOUT NEW|8</v>
      </c>
    </row>
    <row r="166" customFormat="false" ht="15" hidden="false" customHeight="false" outlineLevel="0" collapsed="false">
      <c r="A166" s="59" t="s">
        <v>121</v>
      </c>
      <c r="B166" s="59" t="s">
        <v>418</v>
      </c>
      <c r="C166" s="60" t="n">
        <v>5931.2</v>
      </c>
      <c r="D166" s="59" t="n">
        <f aca="false">COUNTIFS($A$2:$A$1931,A166,$C$2:$C$1931,"&gt;"&amp;C166)+COUNTIFS($A$2:A166,A166,$C$2:C166,C166)</f>
        <v>1</v>
      </c>
      <c r="E166" s="59" t="str">
        <f aca="false">A166&amp;"|"&amp;D166</f>
        <v>BLR-BTM Layout Network-3|1</v>
      </c>
    </row>
    <row r="167" customFormat="false" ht="15" hidden="false" customHeight="false" outlineLevel="0" collapsed="false">
      <c r="A167" s="59" t="s">
        <v>121</v>
      </c>
      <c r="B167" s="59" t="s">
        <v>420</v>
      </c>
      <c r="C167" s="60" t="n">
        <v>5571.33</v>
      </c>
      <c r="D167" s="59" t="n">
        <f aca="false">COUNTIFS($A$2:$A$1931,A167,$C$2:$C$1931,"&gt;"&amp;C167)+COUNTIFS($A$2:A167,A167,$C$2:C167,C167)</f>
        <v>2</v>
      </c>
      <c r="E167" s="59" t="str">
        <f aca="false">A167&amp;"|"&amp;D167</f>
        <v>BLR-BTM Layout Network-3|2</v>
      </c>
    </row>
    <row r="168" customFormat="false" ht="15" hidden="false" customHeight="false" outlineLevel="0" collapsed="false">
      <c r="A168" s="59" t="s">
        <v>121</v>
      </c>
      <c r="B168" s="59" t="s">
        <v>409</v>
      </c>
      <c r="C168" s="60" t="n">
        <v>5168.34</v>
      </c>
      <c r="D168" s="59" t="n">
        <f aca="false">COUNTIFS($A$2:$A$1931,A168,$C$2:$C$1931,"&gt;"&amp;C168)+COUNTIFS($A$2:A168,A168,$C$2:C168,C168)</f>
        <v>3</v>
      </c>
      <c r="E168" s="59" t="str">
        <f aca="false">A168&amp;"|"&amp;D168</f>
        <v>BLR-BTM Layout Network-3|3</v>
      </c>
    </row>
    <row r="169" customFormat="false" ht="15" hidden="false" customHeight="false" outlineLevel="0" collapsed="false">
      <c r="A169" s="59" t="s">
        <v>121</v>
      </c>
      <c r="B169" s="59" t="s">
        <v>424</v>
      </c>
      <c r="C169" s="60" t="n">
        <v>4356.16</v>
      </c>
      <c r="D169" s="59" t="n">
        <f aca="false">COUNTIFS($A$2:$A$1931,A169,$C$2:$C$1931,"&gt;"&amp;C169)+COUNTIFS($A$2:A169,A169,$C$2:C169,C169)</f>
        <v>4</v>
      </c>
      <c r="E169" s="59" t="str">
        <f aca="false">A169&amp;"|"&amp;D169</f>
        <v>BLR-BTM Layout Network-3|4</v>
      </c>
    </row>
    <row r="170" customFormat="false" ht="15" hidden="false" customHeight="false" outlineLevel="0" collapsed="false">
      <c r="A170" s="59" t="s">
        <v>121</v>
      </c>
      <c r="B170" s="59" t="s">
        <v>415</v>
      </c>
      <c r="C170" s="60" t="n">
        <v>3108.74</v>
      </c>
      <c r="D170" s="59" t="n">
        <f aca="false">COUNTIFS($A$2:$A$1931,A170,$C$2:$C$1931,"&gt;"&amp;C170)+COUNTIFS($A$2:A170,A170,$C$2:C170,C170)</f>
        <v>5</v>
      </c>
      <c r="E170" s="59" t="str">
        <f aca="false">A170&amp;"|"&amp;D170</f>
        <v>BLR-BTM Layout Network-3|5</v>
      </c>
    </row>
    <row r="171" customFormat="false" ht="15" hidden="false" customHeight="false" outlineLevel="0" collapsed="false">
      <c r="A171" s="59" t="s">
        <v>121</v>
      </c>
      <c r="B171" s="59" t="s">
        <v>431</v>
      </c>
      <c r="C171" s="60" t="n">
        <v>2237.7</v>
      </c>
      <c r="D171" s="59" t="n">
        <f aca="false">COUNTIFS($A$2:$A$1931,A171,$C$2:$C$1931,"&gt;"&amp;C171)+COUNTIFS($A$2:A171,A171,$C$2:C171,C171)</f>
        <v>6</v>
      </c>
      <c r="E171" s="59" t="str">
        <f aca="false">A171&amp;"|"&amp;D171</f>
        <v>BLR-BTM Layout Network-3|6</v>
      </c>
    </row>
    <row r="172" customFormat="false" ht="15" hidden="false" customHeight="false" outlineLevel="0" collapsed="false">
      <c r="A172" s="59" t="s">
        <v>121</v>
      </c>
      <c r="B172" s="59" t="s">
        <v>417</v>
      </c>
      <c r="C172" s="60" t="n">
        <v>1423.62</v>
      </c>
      <c r="D172" s="59" t="n">
        <f aca="false">COUNTIFS($A$2:$A$1931,A172,$C$2:$C$1931,"&gt;"&amp;C172)+COUNTIFS($A$2:A172,A172,$C$2:C172,C172)</f>
        <v>7</v>
      </c>
      <c r="E172" s="59" t="str">
        <f aca="false">A172&amp;"|"&amp;D172</f>
        <v>BLR-BTM Layout Network-3|7</v>
      </c>
    </row>
    <row r="173" customFormat="false" ht="15" hidden="false" customHeight="false" outlineLevel="0" collapsed="false">
      <c r="A173" s="59" t="s">
        <v>121</v>
      </c>
      <c r="B173" s="59" t="s">
        <v>423</v>
      </c>
      <c r="C173" s="60" t="n">
        <v>970.73</v>
      </c>
      <c r="D173" s="59" t="n">
        <f aca="false">COUNTIFS($A$2:$A$1931,A173,$C$2:$C$1931,"&gt;"&amp;C173)+COUNTIFS($A$2:A173,A173,$C$2:C173,C173)</f>
        <v>8</v>
      </c>
      <c r="E173" s="59" t="str">
        <f aca="false">A173&amp;"|"&amp;D173</f>
        <v>BLR-BTM Layout Network-3|8</v>
      </c>
    </row>
    <row r="174" customFormat="false" ht="15" hidden="false" customHeight="false" outlineLevel="0" collapsed="false">
      <c r="A174" s="59" t="s">
        <v>282</v>
      </c>
      <c r="B174" s="59" t="s">
        <v>417</v>
      </c>
      <c r="C174" s="60" t="n">
        <v>868.39</v>
      </c>
      <c r="D174" s="59" t="n">
        <f aca="false">COUNTIFS($A$2:$A$1931,A174,$C$2:$C$1931,"&gt;"&amp;C174)+COUNTIFS($A$2:A174,A174,$C$2:C174,C174)</f>
        <v>1</v>
      </c>
      <c r="E174" s="59" t="str">
        <f aca="false">A174&amp;"|"&amp;D174</f>
        <v>BLR-BTM-2 New|1</v>
      </c>
    </row>
    <row r="175" customFormat="false" ht="15" hidden="false" customHeight="false" outlineLevel="0" collapsed="false">
      <c r="A175" s="59" t="s">
        <v>282</v>
      </c>
      <c r="B175" s="59" t="s">
        <v>426</v>
      </c>
      <c r="C175" s="60" t="n">
        <v>853.2</v>
      </c>
      <c r="D175" s="59" t="n">
        <f aca="false">COUNTIFS($A$2:$A$1931,A175,$C$2:$C$1931,"&gt;"&amp;C175)+COUNTIFS($A$2:A175,A175,$C$2:C175,C175)</f>
        <v>2</v>
      </c>
      <c r="E175" s="59" t="str">
        <f aca="false">A175&amp;"|"&amp;D175</f>
        <v>BLR-BTM-2 New|2</v>
      </c>
    </row>
    <row r="176" customFormat="false" ht="15" hidden="false" customHeight="false" outlineLevel="0" collapsed="false">
      <c r="A176" s="59" t="s">
        <v>282</v>
      </c>
      <c r="B176" s="59" t="s">
        <v>420</v>
      </c>
      <c r="C176" s="60" t="n">
        <v>435.72</v>
      </c>
      <c r="D176" s="59" t="n">
        <f aca="false">COUNTIFS($A$2:$A$1931,A176,$C$2:$C$1931,"&gt;"&amp;C176)+COUNTIFS($A$2:A176,A176,$C$2:C176,C176)</f>
        <v>3</v>
      </c>
      <c r="E176" s="59" t="str">
        <f aca="false">A176&amp;"|"&amp;D176</f>
        <v>BLR-BTM-2 New|3</v>
      </c>
    </row>
    <row r="177" customFormat="false" ht="15" hidden="false" customHeight="false" outlineLevel="0" collapsed="false">
      <c r="A177" s="59" t="s">
        <v>282</v>
      </c>
      <c r="B177" s="59" t="s">
        <v>410</v>
      </c>
      <c r="C177" s="60" t="n">
        <v>210.9</v>
      </c>
      <c r="D177" s="59" t="n">
        <f aca="false">COUNTIFS($A$2:$A$1931,A177,$C$2:$C$1931,"&gt;"&amp;C177)+COUNTIFS($A$2:A177,A177,$C$2:C177,C177)</f>
        <v>4</v>
      </c>
      <c r="E177" s="59" t="str">
        <f aca="false">A177&amp;"|"&amp;D177</f>
        <v>BLR-BTM-2 New|4</v>
      </c>
    </row>
    <row r="178" customFormat="false" ht="15" hidden="false" customHeight="false" outlineLevel="0" collapsed="false">
      <c r="A178" s="59" t="s">
        <v>206</v>
      </c>
      <c r="B178" s="59" t="s">
        <v>418</v>
      </c>
      <c r="C178" s="60" t="n">
        <v>5743.74</v>
      </c>
      <c r="D178" s="59" t="n">
        <f aca="false">COUNTIFS($A$2:$A$1931,A178,$C$2:$C$1931,"&gt;"&amp;C178)+COUNTIFS($A$2:A178,A178,$C$2:C178,C178)</f>
        <v>1</v>
      </c>
      <c r="E178" s="59" t="str">
        <f aca="false">A178&amp;"|"&amp;D178</f>
        <v>BLR-BTM-3|1</v>
      </c>
    </row>
    <row r="179" customFormat="false" ht="15" hidden="false" customHeight="false" outlineLevel="0" collapsed="false">
      <c r="A179" s="59" t="s">
        <v>206</v>
      </c>
      <c r="B179" s="59" t="s">
        <v>415</v>
      </c>
      <c r="C179" s="60" t="n">
        <v>1062.55</v>
      </c>
      <c r="D179" s="59" t="n">
        <f aca="false">COUNTIFS($A$2:$A$1931,A179,$C$2:$C$1931,"&gt;"&amp;C179)+COUNTIFS($A$2:A179,A179,$C$2:C179,C179)</f>
        <v>2</v>
      </c>
      <c r="E179" s="59" t="str">
        <f aca="false">A179&amp;"|"&amp;D179</f>
        <v>BLR-BTM-3|2</v>
      </c>
    </row>
    <row r="180" customFormat="false" ht="15" hidden="false" customHeight="false" outlineLevel="0" collapsed="false">
      <c r="A180" s="59" t="s">
        <v>206</v>
      </c>
      <c r="B180" s="59" t="s">
        <v>408</v>
      </c>
      <c r="C180" s="60" t="n">
        <v>896.78</v>
      </c>
      <c r="D180" s="59" t="n">
        <f aca="false">COUNTIFS($A$2:$A$1931,A180,$C$2:$C$1931,"&gt;"&amp;C180)+COUNTIFS($A$2:A180,A180,$C$2:C180,C180)</f>
        <v>3</v>
      </c>
      <c r="E180" s="59" t="str">
        <f aca="false">A180&amp;"|"&amp;D180</f>
        <v>BLR-BTM-3|3</v>
      </c>
    </row>
    <row r="181" customFormat="false" ht="15" hidden="false" customHeight="false" outlineLevel="0" collapsed="false">
      <c r="A181" s="59" t="s">
        <v>206</v>
      </c>
      <c r="B181" s="59" t="s">
        <v>424</v>
      </c>
      <c r="C181" s="60" t="n">
        <v>654.55</v>
      </c>
      <c r="D181" s="59" t="n">
        <f aca="false">COUNTIFS($A$2:$A$1931,A181,$C$2:$C$1931,"&gt;"&amp;C181)+COUNTIFS($A$2:A181,A181,$C$2:C181,C181)</f>
        <v>4</v>
      </c>
      <c r="E181" s="59" t="str">
        <f aca="false">A181&amp;"|"&amp;D181</f>
        <v>BLR-BTM-3|4</v>
      </c>
    </row>
    <row r="182" customFormat="false" ht="15" hidden="false" customHeight="false" outlineLevel="0" collapsed="false">
      <c r="A182" s="59" t="s">
        <v>206</v>
      </c>
      <c r="B182" s="59" t="s">
        <v>410</v>
      </c>
      <c r="C182" s="60" t="n">
        <v>585.31</v>
      </c>
      <c r="D182" s="59" t="n">
        <f aca="false">COUNTIFS($A$2:$A$1931,A182,$C$2:$C$1931,"&gt;"&amp;C182)+COUNTIFS($A$2:A182,A182,$C$2:C182,C182)</f>
        <v>5</v>
      </c>
      <c r="E182" s="59" t="str">
        <f aca="false">A182&amp;"|"&amp;D182</f>
        <v>BLR-BTM-3|5</v>
      </c>
    </row>
    <row r="183" customFormat="false" ht="15" hidden="false" customHeight="false" outlineLevel="0" collapsed="false">
      <c r="A183" s="59" t="s">
        <v>206</v>
      </c>
      <c r="B183" s="59" t="s">
        <v>417</v>
      </c>
      <c r="C183" s="60" t="n">
        <v>506.73</v>
      </c>
      <c r="D183" s="59" t="n">
        <f aca="false">COUNTIFS($A$2:$A$1931,A183,$C$2:$C$1931,"&gt;"&amp;C183)+COUNTIFS($A$2:A183,A183,$C$2:C183,C183)</f>
        <v>6</v>
      </c>
      <c r="E183" s="59" t="str">
        <f aca="false">A183&amp;"|"&amp;D183</f>
        <v>BLR-BTM-3|6</v>
      </c>
    </row>
    <row r="184" customFormat="false" ht="15" hidden="false" customHeight="false" outlineLevel="0" collapsed="false">
      <c r="A184" s="59" t="s">
        <v>80</v>
      </c>
      <c r="B184" s="59" t="s">
        <v>413</v>
      </c>
      <c r="C184" s="60" t="n">
        <v>9046.16</v>
      </c>
      <c r="D184" s="59" t="n">
        <f aca="false">COUNTIFS($A$2:$A$1931,A184,$C$2:$C$1931,"&gt;"&amp;C184)+COUNTIFS($A$2:A184,A184,$C$2:C184,C184)</f>
        <v>1</v>
      </c>
      <c r="E184" s="59" t="str">
        <f aca="false">A184&amp;"|"&amp;D184</f>
        <v>BLR-Bagalakunte|1</v>
      </c>
    </row>
    <row r="185" customFormat="false" ht="15" hidden="false" customHeight="false" outlineLevel="0" collapsed="false">
      <c r="A185" s="59" t="s">
        <v>80</v>
      </c>
      <c r="B185" s="59" t="s">
        <v>426</v>
      </c>
      <c r="C185" s="60" t="n">
        <v>7952.71</v>
      </c>
      <c r="D185" s="59" t="n">
        <f aca="false">COUNTIFS($A$2:$A$1931,A185,$C$2:$C$1931,"&gt;"&amp;C185)+COUNTIFS($A$2:A185,A185,$C$2:C185,C185)</f>
        <v>2</v>
      </c>
      <c r="E185" s="59" t="str">
        <f aca="false">A185&amp;"|"&amp;D185</f>
        <v>BLR-Bagalakunte|2</v>
      </c>
    </row>
    <row r="186" customFormat="false" ht="15" hidden="false" customHeight="false" outlineLevel="0" collapsed="false">
      <c r="A186" s="59" t="s">
        <v>80</v>
      </c>
      <c r="B186" s="59" t="s">
        <v>409</v>
      </c>
      <c r="C186" s="60" t="n">
        <v>3032.74</v>
      </c>
      <c r="D186" s="59" t="n">
        <f aca="false">COUNTIFS($A$2:$A$1931,A186,$C$2:$C$1931,"&gt;"&amp;C186)+COUNTIFS($A$2:A186,A186,$C$2:C186,C186)</f>
        <v>3</v>
      </c>
      <c r="E186" s="59" t="str">
        <f aca="false">A186&amp;"|"&amp;D186</f>
        <v>BLR-Bagalakunte|3</v>
      </c>
    </row>
    <row r="187" customFormat="false" ht="15" hidden="false" customHeight="false" outlineLevel="0" collapsed="false">
      <c r="A187" s="59" t="s">
        <v>80</v>
      </c>
      <c r="B187" s="59" t="s">
        <v>424</v>
      </c>
      <c r="C187" s="60" t="n">
        <v>2423.67</v>
      </c>
      <c r="D187" s="59" t="n">
        <f aca="false">COUNTIFS($A$2:$A$1931,A187,$C$2:$C$1931,"&gt;"&amp;C187)+COUNTIFS($A$2:A187,A187,$C$2:C187,C187)</f>
        <v>4</v>
      </c>
      <c r="E187" s="59" t="str">
        <f aca="false">A187&amp;"|"&amp;D187</f>
        <v>BLR-Bagalakunte|4</v>
      </c>
    </row>
    <row r="188" customFormat="false" ht="15" hidden="false" customHeight="false" outlineLevel="0" collapsed="false">
      <c r="A188" s="59" t="s">
        <v>80</v>
      </c>
      <c r="B188" s="59" t="s">
        <v>420</v>
      </c>
      <c r="C188" s="60" t="n">
        <v>1813.69</v>
      </c>
      <c r="D188" s="59" t="n">
        <f aca="false">COUNTIFS($A$2:$A$1931,A188,$C$2:$C$1931,"&gt;"&amp;C188)+COUNTIFS($A$2:A188,A188,$C$2:C188,C188)</f>
        <v>5</v>
      </c>
      <c r="E188" s="59" t="str">
        <f aca="false">A188&amp;"|"&amp;D188</f>
        <v>BLR-Bagalakunte|5</v>
      </c>
    </row>
    <row r="189" customFormat="false" ht="15" hidden="false" customHeight="false" outlineLevel="0" collapsed="false">
      <c r="A189" s="59" t="s">
        <v>80</v>
      </c>
      <c r="B189" s="59" t="s">
        <v>407</v>
      </c>
      <c r="C189" s="60" t="n">
        <v>1320.65</v>
      </c>
      <c r="D189" s="59" t="n">
        <f aca="false">COUNTIFS($A$2:$A$1931,A189,$C$2:$C$1931,"&gt;"&amp;C189)+COUNTIFS($A$2:A189,A189,$C$2:C189,C189)</f>
        <v>6</v>
      </c>
      <c r="E189" s="59" t="str">
        <f aca="false">A189&amp;"|"&amp;D189</f>
        <v>BLR-Bagalakunte|6</v>
      </c>
    </row>
    <row r="190" customFormat="false" ht="15" hidden="false" customHeight="false" outlineLevel="0" collapsed="false">
      <c r="A190" s="59" t="s">
        <v>80</v>
      </c>
      <c r="B190" s="59" t="s">
        <v>431</v>
      </c>
      <c r="C190" s="60" t="n">
        <v>1214.66</v>
      </c>
      <c r="D190" s="59" t="n">
        <f aca="false">COUNTIFS($A$2:$A$1931,A190,$C$2:$C$1931,"&gt;"&amp;C190)+COUNTIFS($A$2:A190,A190,$C$2:C190,C190)</f>
        <v>7</v>
      </c>
      <c r="E190" s="59" t="str">
        <f aca="false">A190&amp;"|"&amp;D190</f>
        <v>BLR-Bagalakunte|7</v>
      </c>
    </row>
    <row r="191" customFormat="false" ht="15" hidden="false" customHeight="false" outlineLevel="0" collapsed="false">
      <c r="A191" s="59" t="s">
        <v>80</v>
      </c>
      <c r="B191" s="59" t="s">
        <v>416</v>
      </c>
      <c r="C191" s="60" t="n">
        <v>1151.59</v>
      </c>
      <c r="D191" s="59" t="n">
        <f aca="false">COUNTIFS($A$2:$A$1931,A191,$C$2:$C$1931,"&gt;"&amp;C191)+COUNTIFS($A$2:A191,A191,$C$2:C191,C191)</f>
        <v>8</v>
      </c>
      <c r="E191" s="59" t="str">
        <f aca="false">A191&amp;"|"&amp;D191</f>
        <v>BLR-Bagalakunte|8</v>
      </c>
    </row>
    <row r="192" customFormat="false" ht="15" hidden="false" customHeight="false" outlineLevel="0" collapsed="false">
      <c r="A192" s="59" t="s">
        <v>80</v>
      </c>
      <c r="B192" s="59" t="s">
        <v>419</v>
      </c>
      <c r="C192" s="60" t="n">
        <v>607.91</v>
      </c>
      <c r="D192" s="59" t="n">
        <f aca="false">COUNTIFS($A$2:$A$1931,A192,$C$2:$C$1931,"&gt;"&amp;C192)+COUNTIFS($A$2:A192,A192,$C$2:C192,C192)</f>
        <v>9</v>
      </c>
      <c r="E192" s="59" t="str">
        <f aca="false">A192&amp;"|"&amp;D192</f>
        <v>BLR-Bagalakunte|9</v>
      </c>
    </row>
    <row r="193" customFormat="false" ht="15" hidden="false" customHeight="false" outlineLevel="0" collapsed="false">
      <c r="A193" s="59" t="s">
        <v>80</v>
      </c>
      <c r="B193" s="59" t="s">
        <v>415</v>
      </c>
      <c r="C193" s="60" t="n">
        <v>548.9</v>
      </c>
      <c r="D193" s="59" t="n">
        <f aca="false">COUNTIFS($A$2:$A$1931,A193,$C$2:$C$1931,"&gt;"&amp;C193)+COUNTIFS($A$2:A193,A193,$C$2:C193,C193)</f>
        <v>10</v>
      </c>
      <c r="E193" s="59" t="str">
        <f aca="false">A193&amp;"|"&amp;D193</f>
        <v>BLR-Bagalakunte|10</v>
      </c>
    </row>
    <row r="194" customFormat="false" ht="15" hidden="false" customHeight="false" outlineLevel="0" collapsed="false">
      <c r="A194" s="59" t="s">
        <v>80</v>
      </c>
      <c r="B194" s="59" t="s">
        <v>417</v>
      </c>
      <c r="C194" s="60" t="n">
        <v>159.49</v>
      </c>
      <c r="D194" s="59" t="n">
        <f aca="false">COUNTIFS($A$2:$A$1931,A194,$C$2:$C$1931,"&gt;"&amp;C194)+COUNTIFS($A$2:A194,A194,$C$2:C194,C194)</f>
        <v>11</v>
      </c>
      <c r="E194" s="59" t="str">
        <f aca="false">A194&amp;"|"&amp;D194</f>
        <v>BLR-Bagalakunte|11</v>
      </c>
    </row>
    <row r="195" customFormat="false" ht="15" hidden="false" customHeight="false" outlineLevel="0" collapsed="false">
      <c r="A195" s="59" t="s">
        <v>80</v>
      </c>
      <c r="B195" s="59" t="s">
        <v>408</v>
      </c>
      <c r="C195" s="60" t="n">
        <v>57.84</v>
      </c>
      <c r="D195" s="59" t="n">
        <f aca="false">COUNTIFS($A$2:$A$1931,A195,$C$2:$C$1931,"&gt;"&amp;C195)+COUNTIFS($A$2:A195,A195,$C$2:C195,C195)</f>
        <v>12</v>
      </c>
      <c r="E195" s="59" t="str">
        <f aca="false">A195&amp;"|"&amp;D195</f>
        <v>BLR-Bagalakunte|12</v>
      </c>
    </row>
    <row r="196" customFormat="false" ht="15" hidden="false" customHeight="false" outlineLevel="0" collapsed="false">
      <c r="A196" s="59" t="s">
        <v>80</v>
      </c>
      <c r="B196" s="59" t="s">
        <v>412</v>
      </c>
      <c r="C196" s="60" t="n">
        <v>40.04</v>
      </c>
      <c r="D196" s="59" t="n">
        <f aca="false">COUNTIFS($A$2:$A$1931,A196,$C$2:$C$1931,"&gt;"&amp;C196)+COUNTIFS($A$2:A196,A196,$C$2:C196,C196)</f>
        <v>13</v>
      </c>
      <c r="E196" s="59" t="str">
        <f aca="false">A196&amp;"|"&amp;D196</f>
        <v>BLR-Bagalakunte|13</v>
      </c>
    </row>
    <row r="197" customFormat="false" ht="15" hidden="false" customHeight="false" outlineLevel="0" collapsed="false">
      <c r="A197" s="59" t="s">
        <v>80</v>
      </c>
      <c r="B197" s="59" t="s">
        <v>423</v>
      </c>
      <c r="C197" s="60" t="n">
        <v>22.02</v>
      </c>
      <c r="D197" s="59" t="n">
        <f aca="false">COUNTIFS($A$2:$A$1931,A197,$C$2:$C$1931,"&gt;"&amp;C197)+COUNTIFS($A$2:A197,A197,$C$2:C197,C197)</f>
        <v>14</v>
      </c>
      <c r="E197" s="59" t="str">
        <f aca="false">A197&amp;"|"&amp;D197</f>
        <v>BLR-Bagalakunte|14</v>
      </c>
    </row>
    <row r="198" customFormat="false" ht="15" hidden="false" customHeight="false" outlineLevel="0" collapsed="false">
      <c r="A198" s="59" t="s">
        <v>116</v>
      </c>
      <c r="B198" s="59" t="s">
        <v>413</v>
      </c>
      <c r="C198" s="60" t="n">
        <v>5916.93</v>
      </c>
      <c r="D198" s="59" t="n">
        <f aca="false">COUNTIFS($A$2:$A$1931,A198,$C$2:$C$1931,"&gt;"&amp;C198)+COUNTIFS($A$2:A198,A198,$C$2:C198,C198)</f>
        <v>1</v>
      </c>
      <c r="E198" s="59" t="str">
        <f aca="false">A198&amp;"|"&amp;D198</f>
        <v>BLR-Bagalur|1</v>
      </c>
    </row>
    <row r="199" customFormat="false" ht="15" hidden="false" customHeight="false" outlineLevel="0" collapsed="false">
      <c r="A199" s="59" t="s">
        <v>116</v>
      </c>
      <c r="B199" s="59" t="s">
        <v>415</v>
      </c>
      <c r="C199" s="60" t="n">
        <v>5511.88</v>
      </c>
      <c r="D199" s="59" t="n">
        <f aca="false">COUNTIFS($A$2:$A$1931,A199,$C$2:$C$1931,"&gt;"&amp;C199)+COUNTIFS($A$2:A199,A199,$C$2:C199,C199)</f>
        <v>2</v>
      </c>
      <c r="E199" s="59" t="str">
        <f aca="false">A199&amp;"|"&amp;D199</f>
        <v>BLR-Bagalur|2</v>
      </c>
    </row>
    <row r="200" customFormat="false" ht="15" hidden="false" customHeight="false" outlineLevel="0" collapsed="false">
      <c r="A200" s="59" t="s">
        <v>116</v>
      </c>
      <c r="B200" s="59" t="s">
        <v>409</v>
      </c>
      <c r="C200" s="60" t="n">
        <v>5443.27</v>
      </c>
      <c r="D200" s="59" t="n">
        <f aca="false">COUNTIFS($A$2:$A$1931,A200,$C$2:$C$1931,"&gt;"&amp;C200)+COUNTIFS($A$2:A200,A200,$C$2:C200,C200)</f>
        <v>3</v>
      </c>
      <c r="E200" s="59" t="str">
        <f aca="false">A200&amp;"|"&amp;D200</f>
        <v>BLR-Bagalur|3</v>
      </c>
    </row>
    <row r="201" customFormat="false" ht="15" hidden="false" customHeight="false" outlineLevel="0" collapsed="false">
      <c r="A201" s="59" t="s">
        <v>116</v>
      </c>
      <c r="B201" s="59" t="s">
        <v>419</v>
      </c>
      <c r="C201" s="60" t="n">
        <v>1512.51</v>
      </c>
      <c r="D201" s="59" t="n">
        <f aca="false">COUNTIFS($A$2:$A$1931,A201,$C$2:$C$1931,"&gt;"&amp;C201)+COUNTIFS($A$2:A201,A201,$C$2:C201,C201)</f>
        <v>4</v>
      </c>
      <c r="E201" s="59" t="str">
        <f aca="false">A201&amp;"|"&amp;D201</f>
        <v>BLR-Bagalur|4</v>
      </c>
    </row>
    <row r="202" customFormat="false" ht="15" hidden="false" customHeight="false" outlineLevel="0" collapsed="false">
      <c r="A202" s="59" t="s">
        <v>116</v>
      </c>
      <c r="B202" s="59" t="s">
        <v>412</v>
      </c>
      <c r="C202" s="60" t="n">
        <v>1120.57</v>
      </c>
      <c r="D202" s="59" t="n">
        <f aca="false">COUNTIFS($A$2:$A$1931,A202,$C$2:$C$1931,"&gt;"&amp;C202)+COUNTIFS($A$2:A202,A202,$C$2:C202,C202)</f>
        <v>5</v>
      </c>
      <c r="E202" s="59" t="str">
        <f aca="false">A202&amp;"|"&amp;D202</f>
        <v>BLR-Bagalur|5</v>
      </c>
    </row>
    <row r="203" customFormat="false" ht="15" hidden="false" customHeight="false" outlineLevel="0" collapsed="false">
      <c r="A203" s="59" t="s">
        <v>116</v>
      </c>
      <c r="B203" s="59" t="s">
        <v>420</v>
      </c>
      <c r="C203" s="60" t="n">
        <v>390.19</v>
      </c>
      <c r="D203" s="59" t="n">
        <f aca="false">COUNTIFS($A$2:$A$1931,A203,$C$2:$C$1931,"&gt;"&amp;C203)+COUNTIFS($A$2:A203,A203,$C$2:C203,C203)</f>
        <v>6</v>
      </c>
      <c r="E203" s="59" t="str">
        <f aca="false">A203&amp;"|"&amp;D203</f>
        <v>BLR-Bagalur|6</v>
      </c>
    </row>
    <row r="204" customFormat="false" ht="15" hidden="false" customHeight="false" outlineLevel="0" collapsed="false">
      <c r="A204" s="59" t="s">
        <v>116</v>
      </c>
      <c r="B204" s="59" t="s">
        <v>408</v>
      </c>
      <c r="C204" s="60" t="n">
        <v>82.26</v>
      </c>
      <c r="D204" s="59" t="n">
        <f aca="false">COUNTIFS($A$2:$A$1931,A204,$C$2:$C$1931,"&gt;"&amp;C204)+COUNTIFS($A$2:A204,A204,$C$2:C204,C204)</f>
        <v>7</v>
      </c>
      <c r="E204" s="59" t="str">
        <f aca="false">A204&amp;"|"&amp;D204</f>
        <v>BLR-Bagalur|7</v>
      </c>
    </row>
    <row r="205" customFormat="false" ht="15" hidden="false" customHeight="false" outlineLevel="0" collapsed="false">
      <c r="A205" s="59" t="s">
        <v>210</v>
      </c>
      <c r="B205" s="59" t="s">
        <v>424</v>
      </c>
      <c r="C205" s="60" t="n">
        <v>8175.87</v>
      </c>
      <c r="D205" s="59" t="n">
        <f aca="false">COUNTIFS($A$2:$A$1931,A205,$C$2:$C$1931,"&gt;"&amp;C205)+COUNTIFS($A$2:A205,A205,$C$2:C205,C205)</f>
        <v>1</v>
      </c>
      <c r="E205" s="59" t="str">
        <f aca="false">A205&amp;"|"&amp;D205</f>
        <v>BLR-Banashankari Network|1</v>
      </c>
    </row>
    <row r="206" customFormat="false" ht="15" hidden="false" customHeight="false" outlineLevel="0" collapsed="false">
      <c r="A206" s="59" t="s">
        <v>210</v>
      </c>
      <c r="B206" s="59" t="s">
        <v>415</v>
      </c>
      <c r="C206" s="60" t="n">
        <v>4350.07</v>
      </c>
      <c r="D206" s="59" t="n">
        <f aca="false">COUNTIFS($A$2:$A$1931,A206,$C$2:$C$1931,"&gt;"&amp;C206)+COUNTIFS($A$2:A206,A206,$C$2:C206,C206)</f>
        <v>2</v>
      </c>
      <c r="E206" s="59" t="str">
        <f aca="false">A206&amp;"|"&amp;D206</f>
        <v>BLR-Banashankari Network|2</v>
      </c>
    </row>
    <row r="207" customFormat="false" ht="15" hidden="false" customHeight="false" outlineLevel="0" collapsed="false">
      <c r="A207" s="59" t="s">
        <v>210</v>
      </c>
      <c r="B207" s="59" t="s">
        <v>416</v>
      </c>
      <c r="C207" s="60" t="n">
        <v>1545.89</v>
      </c>
      <c r="D207" s="59" t="n">
        <f aca="false">COUNTIFS($A$2:$A$1931,A207,$C$2:$C$1931,"&gt;"&amp;C207)+COUNTIFS($A$2:A207,A207,$C$2:C207,C207)</f>
        <v>3</v>
      </c>
      <c r="E207" s="59" t="str">
        <f aca="false">A207&amp;"|"&amp;D207</f>
        <v>BLR-Banashankari Network|3</v>
      </c>
    </row>
    <row r="208" customFormat="false" ht="15" hidden="false" customHeight="false" outlineLevel="0" collapsed="false">
      <c r="A208" s="59" t="s">
        <v>210</v>
      </c>
      <c r="B208" s="59" t="s">
        <v>409</v>
      </c>
      <c r="C208" s="60" t="n">
        <v>643.73</v>
      </c>
      <c r="D208" s="59" t="n">
        <f aca="false">COUNTIFS($A$2:$A$1931,A208,$C$2:$C$1931,"&gt;"&amp;C208)+COUNTIFS($A$2:A208,A208,$C$2:C208,C208)</f>
        <v>4</v>
      </c>
      <c r="E208" s="59" t="str">
        <f aca="false">A208&amp;"|"&amp;D208</f>
        <v>BLR-Banashankari Network|4</v>
      </c>
    </row>
    <row r="209" customFormat="false" ht="15" hidden="false" customHeight="false" outlineLevel="0" collapsed="false">
      <c r="A209" s="59" t="s">
        <v>210</v>
      </c>
      <c r="B209" s="59" t="s">
        <v>410</v>
      </c>
      <c r="C209" s="60" t="n">
        <v>545.36</v>
      </c>
      <c r="D209" s="59" t="n">
        <f aca="false">COUNTIFS($A$2:$A$1931,A209,$C$2:$C$1931,"&gt;"&amp;C209)+COUNTIFS($A$2:A209,A209,$C$2:C209,C209)</f>
        <v>5</v>
      </c>
      <c r="E209" s="59" t="str">
        <f aca="false">A209&amp;"|"&amp;D209</f>
        <v>BLR-Banashankari Network|5</v>
      </c>
    </row>
    <row r="210" customFormat="false" ht="15" hidden="false" customHeight="false" outlineLevel="0" collapsed="false">
      <c r="A210" s="59" t="s">
        <v>210</v>
      </c>
      <c r="B210" s="59" t="s">
        <v>412</v>
      </c>
      <c r="C210" s="60" t="n">
        <v>375.77</v>
      </c>
      <c r="D210" s="59" t="n">
        <f aca="false">COUNTIFS($A$2:$A$1931,A210,$C$2:$C$1931,"&gt;"&amp;C210)+COUNTIFS($A$2:A210,A210,$C$2:C210,C210)</f>
        <v>6</v>
      </c>
      <c r="E210" s="59" t="str">
        <f aca="false">A210&amp;"|"&amp;D210</f>
        <v>BLR-Banashankari Network|6</v>
      </c>
    </row>
    <row r="211" customFormat="false" ht="15" hidden="false" customHeight="false" outlineLevel="0" collapsed="false">
      <c r="A211" s="59" t="s">
        <v>210</v>
      </c>
      <c r="B211" s="59" t="s">
        <v>418</v>
      </c>
      <c r="C211" s="60" t="n">
        <v>337.62</v>
      </c>
      <c r="D211" s="59" t="n">
        <f aca="false">COUNTIFS($A$2:$A$1931,A211,$C$2:$C$1931,"&gt;"&amp;C211)+COUNTIFS($A$2:A211,A211,$C$2:C211,C211)</f>
        <v>7</v>
      </c>
      <c r="E211" s="59" t="str">
        <f aca="false">A211&amp;"|"&amp;D211</f>
        <v>BLR-Banashankari Network|7</v>
      </c>
    </row>
    <row r="212" customFormat="false" ht="15" hidden="false" customHeight="false" outlineLevel="0" collapsed="false">
      <c r="A212" s="59" t="s">
        <v>210</v>
      </c>
      <c r="B212" s="59" t="s">
        <v>419</v>
      </c>
      <c r="C212" s="60" t="n">
        <v>266.85</v>
      </c>
      <c r="D212" s="59" t="n">
        <f aca="false">COUNTIFS($A$2:$A$1931,A212,$C$2:$C$1931,"&gt;"&amp;C212)+COUNTIFS($A$2:A212,A212,$C$2:C212,C212)</f>
        <v>8</v>
      </c>
      <c r="E212" s="59" t="str">
        <f aca="false">A212&amp;"|"&amp;D212</f>
        <v>BLR-Banashankari Network|8</v>
      </c>
    </row>
    <row r="213" customFormat="false" ht="15" hidden="false" customHeight="false" outlineLevel="0" collapsed="false">
      <c r="A213" s="59" t="s">
        <v>115</v>
      </c>
      <c r="B213" s="59" t="s">
        <v>426</v>
      </c>
      <c r="C213" s="60" t="n">
        <v>3076.9</v>
      </c>
      <c r="D213" s="59" t="n">
        <f aca="false">COUNTIFS($A$2:$A$1931,A213,$C$2:$C$1931,"&gt;"&amp;C213)+COUNTIFS($A$2:A213,A213,$C$2:C213,C213)</f>
        <v>1</v>
      </c>
      <c r="E213" s="59" t="str">
        <f aca="false">A213&amp;"|"&amp;D213</f>
        <v>BLR-Banashankari New|1</v>
      </c>
    </row>
    <row r="214" customFormat="false" ht="15" hidden="false" customHeight="false" outlineLevel="0" collapsed="false">
      <c r="A214" s="59" t="s">
        <v>115</v>
      </c>
      <c r="B214" s="59" t="s">
        <v>417</v>
      </c>
      <c r="C214" s="60" t="n">
        <v>2930.31</v>
      </c>
      <c r="D214" s="59" t="n">
        <f aca="false">COUNTIFS($A$2:$A$1931,A214,$C$2:$C$1931,"&gt;"&amp;C214)+COUNTIFS($A$2:A214,A214,$C$2:C214,C214)</f>
        <v>2</v>
      </c>
      <c r="E214" s="59" t="str">
        <f aca="false">A214&amp;"|"&amp;D214</f>
        <v>BLR-Banashankari New|2</v>
      </c>
    </row>
    <row r="215" customFormat="false" ht="15" hidden="false" customHeight="false" outlineLevel="0" collapsed="false">
      <c r="A215" s="59" t="s">
        <v>115</v>
      </c>
      <c r="B215" s="59" t="s">
        <v>424</v>
      </c>
      <c r="C215" s="60" t="n">
        <v>2216.93</v>
      </c>
      <c r="D215" s="59" t="n">
        <f aca="false">COUNTIFS($A$2:$A$1931,A215,$C$2:$C$1931,"&gt;"&amp;C215)+COUNTIFS($A$2:A215,A215,$C$2:C215,C215)</f>
        <v>3</v>
      </c>
      <c r="E215" s="59" t="str">
        <f aca="false">A215&amp;"|"&amp;D215</f>
        <v>BLR-Banashankari New|3</v>
      </c>
    </row>
    <row r="216" customFormat="false" ht="15" hidden="false" customHeight="false" outlineLevel="0" collapsed="false">
      <c r="A216" s="59" t="s">
        <v>115</v>
      </c>
      <c r="B216" s="59" t="s">
        <v>410</v>
      </c>
      <c r="C216" s="60" t="n">
        <v>1481.72</v>
      </c>
      <c r="D216" s="59" t="n">
        <f aca="false">COUNTIFS($A$2:$A$1931,A216,$C$2:$C$1931,"&gt;"&amp;C216)+COUNTIFS($A$2:A216,A216,$C$2:C216,C216)</f>
        <v>4</v>
      </c>
      <c r="E216" s="59" t="str">
        <f aca="false">A216&amp;"|"&amp;D216</f>
        <v>BLR-Banashankari New|4</v>
      </c>
    </row>
    <row r="217" customFormat="false" ht="15" hidden="false" customHeight="false" outlineLevel="0" collapsed="false">
      <c r="A217" s="59" t="s">
        <v>115</v>
      </c>
      <c r="B217" s="59" t="s">
        <v>415</v>
      </c>
      <c r="C217" s="60" t="n">
        <v>686.25</v>
      </c>
      <c r="D217" s="59" t="n">
        <f aca="false">COUNTIFS($A$2:$A$1931,A217,$C$2:$C$1931,"&gt;"&amp;C217)+COUNTIFS($A$2:A217,A217,$C$2:C217,C217)</f>
        <v>5</v>
      </c>
      <c r="E217" s="59" t="str">
        <f aca="false">A217&amp;"|"&amp;D217</f>
        <v>BLR-Banashankari New|5</v>
      </c>
    </row>
    <row r="218" customFormat="false" ht="15" hidden="false" customHeight="false" outlineLevel="0" collapsed="false">
      <c r="A218" s="59" t="s">
        <v>115</v>
      </c>
      <c r="B218" s="59" t="s">
        <v>409</v>
      </c>
      <c r="C218" s="60" t="n">
        <v>496.11</v>
      </c>
      <c r="D218" s="59" t="n">
        <f aca="false">COUNTIFS($A$2:$A$1931,A218,$C$2:$C$1931,"&gt;"&amp;C218)+COUNTIFS($A$2:A218,A218,$C$2:C218,C218)</f>
        <v>6</v>
      </c>
      <c r="E218" s="59" t="str">
        <f aca="false">A218&amp;"|"&amp;D218</f>
        <v>BLR-Banashankari New|6</v>
      </c>
    </row>
    <row r="219" customFormat="false" ht="15" hidden="false" customHeight="false" outlineLevel="0" collapsed="false">
      <c r="A219" s="59" t="s">
        <v>115</v>
      </c>
      <c r="B219" s="59" t="s">
        <v>412</v>
      </c>
      <c r="C219" s="60" t="n">
        <v>278.43</v>
      </c>
      <c r="D219" s="59" t="n">
        <f aca="false">COUNTIFS($A$2:$A$1931,A219,$C$2:$C$1931,"&gt;"&amp;C219)+COUNTIFS($A$2:A219,A219,$C$2:C219,C219)</f>
        <v>7</v>
      </c>
      <c r="E219" s="59" t="str">
        <f aca="false">A219&amp;"|"&amp;D219</f>
        <v>BLR-Banashankari New|7</v>
      </c>
    </row>
    <row r="220" customFormat="false" ht="15" hidden="false" customHeight="false" outlineLevel="0" collapsed="false">
      <c r="A220" s="59" t="s">
        <v>115</v>
      </c>
      <c r="B220" s="59" t="s">
        <v>436</v>
      </c>
      <c r="C220" s="60" t="n">
        <v>76.12</v>
      </c>
      <c r="D220" s="59" t="n">
        <f aca="false">COUNTIFS($A$2:$A$1931,A220,$C$2:$C$1931,"&gt;"&amp;C220)+COUNTIFS($A$2:A220,A220,$C$2:C220,C220)</f>
        <v>8</v>
      </c>
      <c r="E220" s="59" t="str">
        <f aca="false">A220&amp;"|"&amp;D220</f>
        <v>BLR-Banashankari New|8</v>
      </c>
    </row>
    <row r="221" customFormat="false" ht="15" hidden="false" customHeight="false" outlineLevel="0" collapsed="false">
      <c r="A221" s="59" t="s">
        <v>40</v>
      </c>
      <c r="B221" s="59" t="s">
        <v>426</v>
      </c>
      <c r="C221" s="60" t="n">
        <v>8398.36</v>
      </c>
      <c r="D221" s="59" t="n">
        <f aca="false">COUNTIFS($A$2:$A$1931,A221,$C$2:$C$1931,"&gt;"&amp;C221)+COUNTIFS($A$2:A221,A221,$C$2:C221,C221)</f>
        <v>1</v>
      </c>
      <c r="E221" s="59" t="str">
        <f aca="false">A221&amp;"|"&amp;D221</f>
        <v>BLR-Banjara Layout|1</v>
      </c>
    </row>
    <row r="222" customFormat="false" ht="15" hidden="false" customHeight="false" outlineLevel="0" collapsed="false">
      <c r="A222" s="59" t="s">
        <v>40</v>
      </c>
      <c r="B222" s="59" t="s">
        <v>414</v>
      </c>
      <c r="C222" s="60" t="n">
        <v>2619.36</v>
      </c>
      <c r="D222" s="59" t="n">
        <f aca="false">COUNTIFS($A$2:$A$1931,A222,$C$2:$C$1931,"&gt;"&amp;C222)+COUNTIFS($A$2:A222,A222,$C$2:C222,C222)</f>
        <v>2</v>
      </c>
      <c r="E222" s="59" t="str">
        <f aca="false">A222&amp;"|"&amp;D222</f>
        <v>BLR-Banjara Layout|2</v>
      </c>
    </row>
    <row r="223" customFormat="false" ht="15" hidden="false" customHeight="false" outlineLevel="0" collapsed="false">
      <c r="A223" s="59" t="s">
        <v>40</v>
      </c>
      <c r="B223" s="59" t="s">
        <v>420</v>
      </c>
      <c r="C223" s="60" t="n">
        <v>1837.16</v>
      </c>
      <c r="D223" s="59" t="n">
        <f aca="false">COUNTIFS($A$2:$A$1931,A223,$C$2:$C$1931,"&gt;"&amp;C223)+COUNTIFS($A$2:A223,A223,$C$2:C223,C223)</f>
        <v>3</v>
      </c>
      <c r="E223" s="59" t="str">
        <f aca="false">A223&amp;"|"&amp;D223</f>
        <v>BLR-Banjara Layout|3</v>
      </c>
    </row>
    <row r="224" customFormat="false" ht="15" hidden="false" customHeight="false" outlineLevel="0" collapsed="false">
      <c r="A224" s="59" t="s">
        <v>40</v>
      </c>
      <c r="B224" s="59" t="s">
        <v>419</v>
      </c>
      <c r="C224" s="60" t="n">
        <v>1817.7</v>
      </c>
      <c r="D224" s="59" t="n">
        <f aca="false">COUNTIFS($A$2:$A$1931,A224,$C$2:$C$1931,"&gt;"&amp;C224)+COUNTIFS($A$2:A224,A224,$C$2:C224,C224)</f>
        <v>4</v>
      </c>
      <c r="E224" s="59" t="str">
        <f aca="false">A224&amp;"|"&amp;D224</f>
        <v>BLR-Banjara Layout|4</v>
      </c>
    </row>
    <row r="225" customFormat="false" ht="15" hidden="false" customHeight="false" outlineLevel="0" collapsed="false">
      <c r="A225" s="59" t="s">
        <v>40</v>
      </c>
      <c r="B225" s="59" t="s">
        <v>407</v>
      </c>
      <c r="C225" s="60" t="n">
        <v>1485.75</v>
      </c>
      <c r="D225" s="59" t="n">
        <f aca="false">COUNTIFS($A$2:$A$1931,A225,$C$2:$C$1931,"&gt;"&amp;C225)+COUNTIFS($A$2:A225,A225,$C$2:C225,C225)</f>
        <v>5</v>
      </c>
      <c r="E225" s="59" t="str">
        <f aca="false">A225&amp;"|"&amp;D225</f>
        <v>BLR-Banjara Layout|5</v>
      </c>
    </row>
    <row r="226" customFormat="false" ht="15" hidden="false" customHeight="false" outlineLevel="0" collapsed="false">
      <c r="A226" s="59" t="s">
        <v>40</v>
      </c>
      <c r="B226" s="59" t="s">
        <v>424</v>
      </c>
      <c r="C226" s="60" t="n">
        <v>1069.05</v>
      </c>
      <c r="D226" s="59" t="n">
        <f aca="false">COUNTIFS($A$2:$A$1931,A226,$C$2:$C$1931,"&gt;"&amp;C226)+COUNTIFS($A$2:A226,A226,$C$2:C226,C226)</f>
        <v>6</v>
      </c>
      <c r="E226" s="59" t="str">
        <f aca="false">A226&amp;"|"&amp;D226</f>
        <v>BLR-Banjara Layout|6</v>
      </c>
    </row>
    <row r="227" customFormat="false" ht="15" hidden="false" customHeight="false" outlineLevel="0" collapsed="false">
      <c r="A227" s="59" t="s">
        <v>40</v>
      </c>
      <c r="B227" s="59" t="s">
        <v>409</v>
      </c>
      <c r="C227" s="60" t="n">
        <v>961.94</v>
      </c>
      <c r="D227" s="59" t="n">
        <f aca="false">COUNTIFS($A$2:$A$1931,A227,$C$2:$C$1931,"&gt;"&amp;C227)+COUNTIFS($A$2:A227,A227,$C$2:C227,C227)</f>
        <v>7</v>
      </c>
      <c r="E227" s="59" t="str">
        <f aca="false">A227&amp;"|"&amp;D227</f>
        <v>BLR-Banjara Layout|7</v>
      </c>
    </row>
    <row r="228" customFormat="false" ht="15" hidden="false" customHeight="false" outlineLevel="0" collapsed="false">
      <c r="A228" s="59" t="s">
        <v>40</v>
      </c>
      <c r="B228" s="59" t="s">
        <v>411</v>
      </c>
      <c r="C228" s="60" t="n">
        <v>874.96</v>
      </c>
      <c r="D228" s="59" t="n">
        <f aca="false">COUNTIFS($A$2:$A$1931,A228,$C$2:$C$1931,"&gt;"&amp;C228)+COUNTIFS($A$2:A228,A228,$C$2:C228,C228)</f>
        <v>8</v>
      </c>
      <c r="E228" s="59" t="str">
        <f aca="false">A228&amp;"|"&amp;D228</f>
        <v>BLR-Banjara Layout|8</v>
      </c>
    </row>
    <row r="229" customFormat="false" ht="15" hidden="false" customHeight="false" outlineLevel="0" collapsed="false">
      <c r="A229" s="59" t="s">
        <v>40</v>
      </c>
      <c r="B229" s="59" t="s">
        <v>410</v>
      </c>
      <c r="C229" s="60" t="n">
        <v>637.02</v>
      </c>
      <c r="D229" s="59" t="n">
        <f aca="false">COUNTIFS($A$2:$A$1931,A229,$C$2:$C$1931,"&gt;"&amp;C229)+COUNTIFS($A$2:A229,A229,$C$2:C229,C229)</f>
        <v>9</v>
      </c>
      <c r="E229" s="59" t="str">
        <f aca="false">A229&amp;"|"&amp;D229</f>
        <v>BLR-Banjara Layout|9</v>
      </c>
    </row>
    <row r="230" customFormat="false" ht="15" hidden="false" customHeight="false" outlineLevel="0" collapsed="false">
      <c r="A230" s="59" t="s">
        <v>40</v>
      </c>
      <c r="B230" s="59" t="s">
        <v>423</v>
      </c>
      <c r="C230" s="60" t="n">
        <v>190.4</v>
      </c>
      <c r="D230" s="59" t="n">
        <f aca="false">COUNTIFS($A$2:$A$1931,A230,$C$2:$C$1931,"&gt;"&amp;C230)+COUNTIFS($A$2:A230,A230,$C$2:C230,C230)</f>
        <v>10</v>
      </c>
      <c r="E230" s="59" t="str">
        <f aca="false">A230&amp;"|"&amp;D230</f>
        <v>BLR-Banjara Layout|10</v>
      </c>
    </row>
    <row r="231" customFormat="false" ht="15" hidden="false" customHeight="false" outlineLevel="0" collapsed="false">
      <c r="A231" s="59" t="s">
        <v>40</v>
      </c>
      <c r="B231" s="59" t="s">
        <v>418</v>
      </c>
      <c r="C231" s="60" t="n">
        <v>50.95</v>
      </c>
      <c r="D231" s="59" t="n">
        <f aca="false">COUNTIFS($A$2:$A$1931,A231,$C$2:$C$1931,"&gt;"&amp;C231)+COUNTIFS($A$2:A231,A231,$C$2:C231,C231)</f>
        <v>11</v>
      </c>
      <c r="E231" s="59" t="str">
        <f aca="false">A231&amp;"|"&amp;D231</f>
        <v>BLR-Banjara Layout|11</v>
      </c>
    </row>
    <row r="232" customFormat="false" ht="15" hidden="false" customHeight="false" outlineLevel="0" collapsed="false">
      <c r="A232" s="59" t="s">
        <v>225</v>
      </c>
      <c r="B232" s="59" t="s">
        <v>431</v>
      </c>
      <c r="C232" s="60" t="n">
        <v>4068.15</v>
      </c>
      <c r="D232" s="59" t="n">
        <f aca="false">COUNTIFS($A$2:$A$1931,A232,$C$2:$C$1931,"&gt;"&amp;C232)+COUNTIFS($A$2:A232,A232,$C$2:C232,C232)</f>
        <v>1</v>
      </c>
      <c r="E232" s="59" t="str">
        <f aca="false">A232&amp;"|"&amp;D232</f>
        <v>BLR-Bannerghatta Network|1</v>
      </c>
    </row>
    <row r="233" customFormat="false" ht="15" hidden="false" customHeight="false" outlineLevel="0" collapsed="false">
      <c r="A233" s="59" t="s">
        <v>225</v>
      </c>
      <c r="B233" s="59" t="s">
        <v>412</v>
      </c>
      <c r="C233" s="60" t="n">
        <v>3596.35</v>
      </c>
      <c r="D233" s="59" t="n">
        <f aca="false">COUNTIFS($A$2:$A$1931,A233,$C$2:$C$1931,"&gt;"&amp;C233)+COUNTIFS($A$2:A233,A233,$C$2:C233,C233)</f>
        <v>2</v>
      </c>
      <c r="E233" s="59" t="str">
        <f aca="false">A233&amp;"|"&amp;D233</f>
        <v>BLR-Bannerghatta Network|2</v>
      </c>
    </row>
    <row r="234" customFormat="false" ht="15" hidden="false" customHeight="false" outlineLevel="0" collapsed="false">
      <c r="A234" s="59" t="s">
        <v>225</v>
      </c>
      <c r="B234" s="59" t="s">
        <v>417</v>
      </c>
      <c r="C234" s="60" t="n">
        <v>1876.91</v>
      </c>
      <c r="D234" s="59" t="n">
        <f aca="false">COUNTIFS($A$2:$A$1931,A234,$C$2:$C$1931,"&gt;"&amp;C234)+COUNTIFS($A$2:A234,A234,$C$2:C234,C234)</f>
        <v>3</v>
      </c>
      <c r="E234" s="59" t="str">
        <f aca="false">A234&amp;"|"&amp;D234</f>
        <v>BLR-Bannerghatta Network|3</v>
      </c>
    </row>
    <row r="235" customFormat="false" ht="15" hidden="false" customHeight="false" outlineLevel="0" collapsed="false">
      <c r="A235" s="59" t="s">
        <v>225</v>
      </c>
      <c r="B235" s="59" t="s">
        <v>410</v>
      </c>
      <c r="C235" s="60" t="n">
        <v>1523.15</v>
      </c>
      <c r="D235" s="59" t="n">
        <f aca="false">COUNTIFS($A$2:$A$1931,A235,$C$2:$C$1931,"&gt;"&amp;C235)+COUNTIFS($A$2:A235,A235,$C$2:C235,C235)</f>
        <v>4</v>
      </c>
      <c r="E235" s="59" t="str">
        <f aca="false">A235&amp;"|"&amp;D235</f>
        <v>BLR-Bannerghatta Network|4</v>
      </c>
    </row>
    <row r="236" customFormat="false" ht="15" hidden="false" customHeight="false" outlineLevel="0" collapsed="false">
      <c r="A236" s="59" t="s">
        <v>225</v>
      </c>
      <c r="B236" s="59" t="s">
        <v>424</v>
      </c>
      <c r="C236" s="60" t="n">
        <v>589.33</v>
      </c>
      <c r="D236" s="59" t="n">
        <f aca="false">COUNTIFS($A$2:$A$1931,A236,$C$2:$C$1931,"&gt;"&amp;C236)+COUNTIFS($A$2:A236,A236,$C$2:C236,C236)</f>
        <v>5</v>
      </c>
      <c r="E236" s="59" t="str">
        <f aca="false">A236&amp;"|"&amp;D236</f>
        <v>BLR-Bannerghatta Network|5</v>
      </c>
    </row>
    <row r="237" customFormat="false" ht="15" hidden="false" customHeight="false" outlineLevel="0" collapsed="false">
      <c r="A237" s="59" t="s">
        <v>225</v>
      </c>
      <c r="B237" s="59" t="s">
        <v>418</v>
      </c>
      <c r="C237" s="60" t="n">
        <v>104.47</v>
      </c>
      <c r="D237" s="59" t="n">
        <f aca="false">COUNTIFS($A$2:$A$1931,A237,$C$2:$C$1931,"&gt;"&amp;C237)+COUNTIFS($A$2:A237,A237,$C$2:C237,C237)</f>
        <v>6</v>
      </c>
      <c r="E237" s="59" t="str">
        <f aca="false">A237&amp;"|"&amp;D237</f>
        <v>BLR-Bannerghatta Network|6</v>
      </c>
    </row>
    <row r="238" customFormat="false" ht="15" hidden="false" customHeight="false" outlineLevel="0" collapsed="false">
      <c r="A238" s="59" t="s">
        <v>225</v>
      </c>
      <c r="B238" s="59" t="s">
        <v>423</v>
      </c>
      <c r="C238" s="60" t="n">
        <v>24.91</v>
      </c>
      <c r="D238" s="59" t="n">
        <f aca="false">COUNTIFS($A$2:$A$1931,A238,$C$2:$C$1931,"&gt;"&amp;C238)+COUNTIFS($A$2:A238,A238,$C$2:C238,C238)</f>
        <v>7</v>
      </c>
      <c r="E238" s="59" t="str">
        <f aca="false">A238&amp;"|"&amp;D238</f>
        <v>BLR-Bannerghatta Network|7</v>
      </c>
    </row>
    <row r="239" customFormat="false" ht="15" hidden="false" customHeight="false" outlineLevel="0" collapsed="false">
      <c r="A239" s="59" t="s">
        <v>271</v>
      </c>
      <c r="B239" s="59" t="s">
        <v>412</v>
      </c>
      <c r="C239" s="60" t="n">
        <v>6994.96</v>
      </c>
      <c r="D239" s="59" t="n">
        <f aca="false">COUNTIFS($A$2:$A$1931,A239,$C$2:$C$1931,"&gt;"&amp;C239)+COUNTIFS($A$2:A239,A239,$C$2:C239,C239)</f>
        <v>1</v>
      </c>
      <c r="E239" s="59" t="str">
        <f aca="false">A239&amp;"|"&amp;D239</f>
        <v>BLR-Bannerghatta Network 2|1</v>
      </c>
    </row>
    <row r="240" customFormat="false" ht="15" hidden="false" customHeight="false" outlineLevel="0" collapsed="false">
      <c r="A240" s="59" t="s">
        <v>271</v>
      </c>
      <c r="B240" s="59" t="s">
        <v>431</v>
      </c>
      <c r="C240" s="60" t="n">
        <v>3148.24</v>
      </c>
      <c r="D240" s="59" t="n">
        <f aca="false">COUNTIFS($A$2:$A$1931,A240,$C$2:$C$1931,"&gt;"&amp;C240)+COUNTIFS($A$2:A240,A240,$C$2:C240,C240)</f>
        <v>2</v>
      </c>
      <c r="E240" s="59" t="str">
        <f aca="false">A240&amp;"|"&amp;D240</f>
        <v>BLR-Bannerghatta Network 2|2</v>
      </c>
    </row>
    <row r="241" customFormat="false" ht="15" hidden="false" customHeight="false" outlineLevel="0" collapsed="false">
      <c r="A241" s="59" t="s">
        <v>271</v>
      </c>
      <c r="B241" s="59" t="s">
        <v>420</v>
      </c>
      <c r="C241" s="60" t="n">
        <v>921.18</v>
      </c>
      <c r="D241" s="59" t="n">
        <f aca="false">COUNTIFS($A$2:$A$1931,A241,$C$2:$C$1931,"&gt;"&amp;C241)+COUNTIFS($A$2:A241,A241,$C$2:C241,C241)</f>
        <v>3</v>
      </c>
      <c r="E241" s="59" t="str">
        <f aca="false">A241&amp;"|"&amp;D241</f>
        <v>BLR-Bannerghatta Network 2|3</v>
      </c>
    </row>
    <row r="242" customFormat="false" ht="15" hidden="false" customHeight="false" outlineLevel="0" collapsed="false">
      <c r="A242" s="59" t="s">
        <v>271</v>
      </c>
      <c r="B242" s="59" t="s">
        <v>417</v>
      </c>
      <c r="C242" s="60" t="n">
        <v>429.44</v>
      </c>
      <c r="D242" s="59" t="n">
        <f aca="false">COUNTIFS($A$2:$A$1931,A242,$C$2:$C$1931,"&gt;"&amp;C242)+COUNTIFS($A$2:A242,A242,$C$2:C242,C242)</f>
        <v>4</v>
      </c>
      <c r="E242" s="59" t="str">
        <f aca="false">A242&amp;"|"&amp;D242</f>
        <v>BLR-Bannerghatta Network 2|4</v>
      </c>
    </row>
    <row r="243" customFormat="false" ht="15" hidden="false" customHeight="false" outlineLevel="0" collapsed="false">
      <c r="A243" s="59" t="s">
        <v>271</v>
      </c>
      <c r="B243" s="59" t="s">
        <v>423</v>
      </c>
      <c r="C243" s="60" t="n">
        <v>25.8</v>
      </c>
      <c r="D243" s="59" t="n">
        <f aca="false">COUNTIFS($A$2:$A$1931,A243,$C$2:$C$1931,"&gt;"&amp;C243)+COUNTIFS($A$2:A243,A243,$C$2:C243,C243)</f>
        <v>5</v>
      </c>
      <c r="E243" s="59" t="str">
        <f aca="false">A243&amp;"|"&amp;D243</f>
        <v>BLR-Bannerghatta Network 2|5</v>
      </c>
    </row>
    <row r="244" customFormat="false" ht="15" hidden="false" customHeight="false" outlineLevel="0" collapsed="false">
      <c r="A244" s="59" t="s">
        <v>136</v>
      </c>
      <c r="B244" s="59" t="s">
        <v>416</v>
      </c>
      <c r="C244" s="60" t="n">
        <v>5705.5</v>
      </c>
      <c r="D244" s="59" t="n">
        <f aca="false">COUNTIFS($A$2:$A$1931,A244,$C$2:$C$1931,"&gt;"&amp;C244)+COUNTIFS($A$2:A244,A244,$C$2:C244,C244)</f>
        <v>1</v>
      </c>
      <c r="E244" s="59" t="str">
        <f aca="false">A244&amp;"|"&amp;D244</f>
        <v>BLR-Bannerghatta SS|1</v>
      </c>
    </row>
    <row r="245" customFormat="false" ht="15" hidden="false" customHeight="false" outlineLevel="0" collapsed="false">
      <c r="A245" s="59" t="s">
        <v>136</v>
      </c>
      <c r="B245" s="59" t="s">
        <v>419</v>
      </c>
      <c r="C245" s="60" t="n">
        <v>4350.85</v>
      </c>
      <c r="D245" s="59" t="n">
        <f aca="false">COUNTIFS($A$2:$A$1931,A245,$C$2:$C$1931,"&gt;"&amp;C245)+COUNTIFS($A$2:A245,A245,$C$2:C245,C245)</f>
        <v>2</v>
      </c>
      <c r="E245" s="59" t="str">
        <f aca="false">A245&amp;"|"&amp;D245</f>
        <v>BLR-Bannerghatta SS|2</v>
      </c>
    </row>
    <row r="246" customFormat="false" ht="15" hidden="false" customHeight="false" outlineLevel="0" collapsed="false">
      <c r="A246" s="59" t="s">
        <v>136</v>
      </c>
      <c r="B246" s="59" t="s">
        <v>409</v>
      </c>
      <c r="C246" s="60" t="n">
        <v>2073.36</v>
      </c>
      <c r="D246" s="59" t="n">
        <f aca="false">COUNTIFS($A$2:$A$1931,A246,$C$2:$C$1931,"&gt;"&amp;C246)+COUNTIFS($A$2:A246,A246,$C$2:C246,C246)</f>
        <v>3</v>
      </c>
      <c r="E246" s="59" t="str">
        <f aca="false">A246&amp;"|"&amp;D246</f>
        <v>BLR-Bannerghatta SS|3</v>
      </c>
    </row>
    <row r="247" customFormat="false" ht="15" hidden="false" customHeight="false" outlineLevel="0" collapsed="false">
      <c r="A247" s="59" t="s">
        <v>136</v>
      </c>
      <c r="B247" s="59" t="s">
        <v>435</v>
      </c>
      <c r="C247" s="60" t="n">
        <v>1579.68</v>
      </c>
      <c r="D247" s="59" t="n">
        <f aca="false">COUNTIFS($A$2:$A$1931,A247,$C$2:$C$1931,"&gt;"&amp;C247)+COUNTIFS($A$2:A247,A247,$C$2:C247,C247)</f>
        <v>4</v>
      </c>
      <c r="E247" s="59" t="str">
        <f aca="false">A247&amp;"|"&amp;D247</f>
        <v>BLR-Bannerghatta SS|4</v>
      </c>
    </row>
    <row r="248" customFormat="false" ht="15" hidden="false" customHeight="false" outlineLevel="0" collapsed="false">
      <c r="A248" s="59" t="s">
        <v>136</v>
      </c>
      <c r="B248" s="59" t="s">
        <v>417</v>
      </c>
      <c r="C248" s="60" t="n">
        <v>1408.95</v>
      </c>
      <c r="D248" s="59" t="n">
        <f aca="false">COUNTIFS($A$2:$A$1931,A248,$C$2:$C$1931,"&gt;"&amp;C248)+COUNTIFS($A$2:A248,A248,$C$2:C248,C248)</f>
        <v>5</v>
      </c>
      <c r="E248" s="59" t="str">
        <f aca="false">A248&amp;"|"&amp;D248</f>
        <v>BLR-Bannerghatta SS|5</v>
      </c>
    </row>
    <row r="249" customFormat="false" ht="15" hidden="false" customHeight="false" outlineLevel="0" collapsed="false">
      <c r="A249" s="59" t="s">
        <v>136</v>
      </c>
      <c r="B249" s="59" t="s">
        <v>420</v>
      </c>
      <c r="C249" s="60" t="n">
        <v>1227.08</v>
      </c>
      <c r="D249" s="59" t="n">
        <f aca="false">COUNTIFS($A$2:$A$1931,A249,$C$2:$C$1931,"&gt;"&amp;C249)+COUNTIFS($A$2:A249,A249,$C$2:C249,C249)</f>
        <v>6</v>
      </c>
      <c r="E249" s="59" t="str">
        <f aca="false">A249&amp;"|"&amp;D249</f>
        <v>BLR-Bannerghatta SS|6</v>
      </c>
    </row>
    <row r="250" customFormat="false" ht="15" hidden="false" customHeight="false" outlineLevel="0" collapsed="false">
      <c r="A250" s="59" t="s">
        <v>136</v>
      </c>
      <c r="B250" s="59" t="s">
        <v>426</v>
      </c>
      <c r="C250" s="60" t="n">
        <v>842.57</v>
      </c>
      <c r="D250" s="59" t="n">
        <f aca="false">COUNTIFS($A$2:$A$1931,A250,$C$2:$C$1931,"&gt;"&amp;C250)+COUNTIFS($A$2:A250,A250,$C$2:C250,C250)</f>
        <v>7</v>
      </c>
      <c r="E250" s="59" t="str">
        <f aca="false">A250&amp;"|"&amp;D250</f>
        <v>BLR-Bannerghatta SS|7</v>
      </c>
    </row>
    <row r="251" customFormat="false" ht="15" hidden="false" customHeight="false" outlineLevel="0" collapsed="false">
      <c r="A251" s="59" t="s">
        <v>136</v>
      </c>
      <c r="B251" s="59" t="s">
        <v>415</v>
      </c>
      <c r="C251" s="60" t="n">
        <v>839.89</v>
      </c>
      <c r="D251" s="59" t="n">
        <f aca="false">COUNTIFS($A$2:$A$1931,A251,$C$2:$C$1931,"&gt;"&amp;C251)+COUNTIFS($A$2:A251,A251,$C$2:C251,C251)</f>
        <v>8</v>
      </c>
      <c r="E251" s="59" t="str">
        <f aca="false">A251&amp;"|"&amp;D251</f>
        <v>BLR-Bannerghatta SS|8</v>
      </c>
    </row>
    <row r="252" customFormat="false" ht="15" hidden="false" customHeight="false" outlineLevel="0" collapsed="false">
      <c r="A252" s="59" t="s">
        <v>136</v>
      </c>
      <c r="B252" s="59" t="s">
        <v>411</v>
      </c>
      <c r="C252" s="60" t="n">
        <v>710.76</v>
      </c>
      <c r="D252" s="59" t="n">
        <f aca="false">COUNTIFS($A$2:$A$1931,A252,$C$2:$C$1931,"&gt;"&amp;C252)+COUNTIFS($A$2:A252,A252,$C$2:C252,C252)</f>
        <v>9</v>
      </c>
      <c r="E252" s="59" t="str">
        <f aca="false">A252&amp;"|"&amp;D252</f>
        <v>BLR-Bannerghatta SS|9</v>
      </c>
    </row>
    <row r="253" customFormat="false" ht="15" hidden="false" customHeight="false" outlineLevel="0" collapsed="false">
      <c r="A253" s="59" t="s">
        <v>136</v>
      </c>
      <c r="B253" s="59" t="s">
        <v>412</v>
      </c>
      <c r="C253" s="60" t="n">
        <v>594.15</v>
      </c>
      <c r="D253" s="59" t="n">
        <f aca="false">COUNTIFS($A$2:$A$1931,A253,$C$2:$C$1931,"&gt;"&amp;C253)+COUNTIFS($A$2:A253,A253,$C$2:C253,C253)</f>
        <v>10</v>
      </c>
      <c r="E253" s="59" t="str">
        <f aca="false">A253&amp;"|"&amp;D253</f>
        <v>BLR-Bannerghatta SS|10</v>
      </c>
    </row>
    <row r="254" customFormat="false" ht="15" hidden="false" customHeight="false" outlineLevel="0" collapsed="false">
      <c r="A254" s="59" t="s">
        <v>136</v>
      </c>
      <c r="B254" s="59" t="s">
        <v>431</v>
      </c>
      <c r="C254" s="60" t="n">
        <v>343</v>
      </c>
      <c r="D254" s="59" t="n">
        <f aca="false">COUNTIFS($A$2:$A$1931,A254,$C$2:$C$1931,"&gt;"&amp;C254)+COUNTIFS($A$2:A254,A254,$C$2:C254,C254)</f>
        <v>11</v>
      </c>
      <c r="E254" s="59" t="str">
        <f aca="false">A254&amp;"|"&amp;D254</f>
        <v>BLR-Bannerghatta SS|11</v>
      </c>
    </row>
    <row r="255" customFormat="false" ht="15" hidden="false" customHeight="false" outlineLevel="0" collapsed="false">
      <c r="A255" s="59" t="s">
        <v>136</v>
      </c>
      <c r="B255" s="59" t="s">
        <v>424</v>
      </c>
      <c r="C255" s="60" t="n">
        <v>113.52</v>
      </c>
      <c r="D255" s="59" t="n">
        <f aca="false">COUNTIFS($A$2:$A$1931,A255,$C$2:$C$1931,"&gt;"&amp;C255)+COUNTIFS($A$2:A255,A255,$C$2:C255,C255)</f>
        <v>12</v>
      </c>
      <c r="E255" s="59" t="str">
        <f aca="false">A255&amp;"|"&amp;D255</f>
        <v>BLR-Bannerghatta SS|12</v>
      </c>
    </row>
    <row r="256" customFormat="false" ht="15" hidden="false" customHeight="false" outlineLevel="0" collapsed="false">
      <c r="A256" s="59" t="s">
        <v>136</v>
      </c>
      <c r="B256" s="59" t="s">
        <v>408</v>
      </c>
      <c r="C256" s="60" t="n">
        <v>79.31</v>
      </c>
      <c r="D256" s="59" t="n">
        <f aca="false">COUNTIFS($A$2:$A$1931,A256,$C$2:$C$1931,"&gt;"&amp;C256)+COUNTIFS($A$2:A256,A256,$C$2:C256,C256)</f>
        <v>13</v>
      </c>
      <c r="E256" s="59" t="str">
        <f aca="false">A256&amp;"|"&amp;D256</f>
        <v>BLR-Bannerghatta SS|13</v>
      </c>
    </row>
    <row r="257" customFormat="false" ht="15" hidden="false" customHeight="false" outlineLevel="0" collapsed="false">
      <c r="A257" s="59" t="s">
        <v>217</v>
      </c>
      <c r="B257" s="59" t="s">
        <v>418</v>
      </c>
      <c r="C257" s="60" t="n">
        <v>3923.46</v>
      </c>
      <c r="D257" s="59" t="n">
        <f aca="false">COUNTIFS($A$2:$A$1931,A257,$C$2:$C$1931,"&gt;"&amp;C257)+COUNTIFS($A$2:A257,A257,$C$2:C257,C257)</f>
        <v>1</v>
      </c>
      <c r="E257" s="59" t="str">
        <f aca="false">A257&amp;"|"&amp;D257</f>
        <v>BLR-Basavanapura Network|1</v>
      </c>
    </row>
    <row r="258" customFormat="false" ht="15" hidden="false" customHeight="false" outlineLevel="0" collapsed="false">
      <c r="A258" s="59" t="s">
        <v>217</v>
      </c>
      <c r="B258" s="59" t="s">
        <v>408</v>
      </c>
      <c r="C258" s="60" t="n">
        <v>3612.46</v>
      </c>
      <c r="D258" s="59" t="n">
        <f aca="false">COUNTIFS($A$2:$A$1931,A258,$C$2:$C$1931,"&gt;"&amp;C258)+COUNTIFS($A$2:A258,A258,$C$2:C258,C258)</f>
        <v>2</v>
      </c>
      <c r="E258" s="59" t="str">
        <f aca="false">A258&amp;"|"&amp;D258</f>
        <v>BLR-Basavanapura Network|2</v>
      </c>
    </row>
    <row r="259" customFormat="false" ht="15" hidden="false" customHeight="false" outlineLevel="0" collapsed="false">
      <c r="A259" s="59" t="s">
        <v>217</v>
      </c>
      <c r="B259" s="59" t="s">
        <v>412</v>
      </c>
      <c r="C259" s="60" t="n">
        <v>2098.93</v>
      </c>
      <c r="D259" s="59" t="n">
        <f aca="false">COUNTIFS($A$2:$A$1931,A259,$C$2:$C$1931,"&gt;"&amp;C259)+COUNTIFS($A$2:A259,A259,$C$2:C259,C259)</f>
        <v>3</v>
      </c>
      <c r="E259" s="59" t="str">
        <f aca="false">A259&amp;"|"&amp;D259</f>
        <v>BLR-Basavanapura Network|3</v>
      </c>
    </row>
    <row r="260" customFormat="false" ht="15" hidden="false" customHeight="false" outlineLevel="0" collapsed="false">
      <c r="A260" s="59" t="s">
        <v>217</v>
      </c>
      <c r="B260" s="59" t="s">
        <v>415</v>
      </c>
      <c r="C260" s="60" t="n">
        <v>1966.56</v>
      </c>
      <c r="D260" s="59" t="n">
        <f aca="false">COUNTIFS($A$2:$A$1931,A260,$C$2:$C$1931,"&gt;"&amp;C260)+COUNTIFS($A$2:A260,A260,$C$2:C260,C260)</f>
        <v>4</v>
      </c>
      <c r="E260" s="59" t="str">
        <f aca="false">A260&amp;"|"&amp;D260</f>
        <v>BLR-Basavanapura Network|4</v>
      </c>
    </row>
    <row r="261" customFormat="false" ht="15" hidden="false" customHeight="false" outlineLevel="0" collapsed="false">
      <c r="A261" s="59" t="s">
        <v>217</v>
      </c>
      <c r="B261" s="59" t="s">
        <v>431</v>
      </c>
      <c r="C261" s="60" t="n">
        <v>1646.51</v>
      </c>
      <c r="D261" s="59" t="n">
        <f aca="false">COUNTIFS($A$2:$A$1931,A261,$C$2:$C$1931,"&gt;"&amp;C261)+COUNTIFS($A$2:A261,A261,$C$2:C261,C261)</f>
        <v>5</v>
      </c>
      <c r="E261" s="59" t="str">
        <f aca="false">A261&amp;"|"&amp;D261</f>
        <v>BLR-Basavanapura Network|5</v>
      </c>
    </row>
    <row r="262" customFormat="false" ht="15" hidden="false" customHeight="false" outlineLevel="0" collapsed="false">
      <c r="A262" s="59" t="s">
        <v>217</v>
      </c>
      <c r="B262" s="59" t="s">
        <v>410</v>
      </c>
      <c r="C262" s="60" t="n">
        <v>480.41</v>
      </c>
      <c r="D262" s="59" t="n">
        <f aca="false">COUNTIFS($A$2:$A$1931,A262,$C$2:$C$1931,"&gt;"&amp;C262)+COUNTIFS($A$2:A262,A262,$C$2:C262,C262)</f>
        <v>6</v>
      </c>
      <c r="E262" s="59" t="str">
        <f aca="false">A262&amp;"|"&amp;D262</f>
        <v>BLR-Basavanapura Network|6</v>
      </c>
    </row>
    <row r="263" customFormat="false" ht="15" hidden="false" customHeight="false" outlineLevel="0" collapsed="false">
      <c r="A263" s="59" t="s">
        <v>217</v>
      </c>
      <c r="B263" s="59" t="s">
        <v>424</v>
      </c>
      <c r="C263" s="60" t="n">
        <v>63.7</v>
      </c>
      <c r="D263" s="59" t="n">
        <f aca="false">COUNTIFS($A$2:$A$1931,A263,$C$2:$C$1931,"&gt;"&amp;C263)+COUNTIFS($A$2:A263,A263,$C$2:C263,C263)</f>
        <v>7</v>
      </c>
      <c r="E263" s="59" t="str">
        <f aca="false">A263&amp;"|"&amp;D263</f>
        <v>BLR-Basavanapura Network|7</v>
      </c>
    </row>
    <row r="264" customFormat="false" ht="15" hidden="false" customHeight="false" outlineLevel="0" collapsed="false">
      <c r="A264" s="59" t="s">
        <v>245</v>
      </c>
      <c r="B264" s="59" t="s">
        <v>410</v>
      </c>
      <c r="C264" s="60" t="n">
        <v>5922.81</v>
      </c>
      <c r="D264" s="59" t="n">
        <f aca="false">COUNTIFS($A$2:$A$1931,A264,$C$2:$C$1931,"&gt;"&amp;C264)+COUNTIFS($A$2:A264,A264,$C$2:C264,C264)</f>
        <v>1</v>
      </c>
      <c r="E264" s="59" t="str">
        <f aca="false">A264&amp;"|"&amp;D264</f>
        <v>BLR-Belathur|1</v>
      </c>
    </row>
    <row r="265" customFormat="false" ht="15" hidden="false" customHeight="false" outlineLevel="0" collapsed="false">
      <c r="A265" s="59" t="s">
        <v>245</v>
      </c>
      <c r="B265" s="59" t="s">
        <v>424</v>
      </c>
      <c r="C265" s="60" t="n">
        <v>2756.07</v>
      </c>
      <c r="D265" s="59" t="n">
        <f aca="false">COUNTIFS($A$2:$A$1931,A265,$C$2:$C$1931,"&gt;"&amp;C265)+COUNTIFS($A$2:A265,A265,$C$2:C265,C265)</f>
        <v>2</v>
      </c>
      <c r="E265" s="59" t="str">
        <f aca="false">A265&amp;"|"&amp;D265</f>
        <v>BLR-Belathur|2</v>
      </c>
    </row>
    <row r="266" customFormat="false" ht="15" hidden="false" customHeight="false" outlineLevel="0" collapsed="false">
      <c r="A266" s="59" t="s">
        <v>245</v>
      </c>
      <c r="B266" s="59" t="s">
        <v>413</v>
      </c>
      <c r="C266" s="60" t="n">
        <v>431.85</v>
      </c>
      <c r="D266" s="59" t="n">
        <f aca="false">COUNTIFS($A$2:$A$1931,A266,$C$2:$C$1931,"&gt;"&amp;C266)+COUNTIFS($A$2:A266,A266,$C$2:C266,C266)</f>
        <v>3</v>
      </c>
      <c r="E266" s="59" t="str">
        <f aca="false">A266&amp;"|"&amp;D266</f>
        <v>BLR-Belathur|3</v>
      </c>
    </row>
    <row r="267" customFormat="false" ht="15" hidden="false" customHeight="false" outlineLevel="0" collapsed="false">
      <c r="A267" s="59" t="s">
        <v>76</v>
      </c>
      <c r="B267" s="59" t="s">
        <v>410</v>
      </c>
      <c r="C267" s="60" t="n">
        <v>15422.54</v>
      </c>
      <c r="D267" s="59" t="n">
        <f aca="false">COUNTIFS($A$2:$A$1931,A267,$C$2:$C$1931,"&gt;"&amp;C267)+COUNTIFS($A$2:A267,A267,$C$2:C267,C267)</f>
        <v>1</v>
      </c>
      <c r="E267" s="59" t="str">
        <f aca="false">A267&amp;"|"&amp;D267</f>
        <v>BLR-Bellandur 6|1</v>
      </c>
    </row>
    <row r="268" customFormat="false" ht="15" hidden="false" customHeight="false" outlineLevel="0" collapsed="false">
      <c r="A268" s="59" t="s">
        <v>76</v>
      </c>
      <c r="B268" s="59" t="s">
        <v>409</v>
      </c>
      <c r="C268" s="60" t="n">
        <v>13013.96</v>
      </c>
      <c r="D268" s="59" t="n">
        <f aca="false">COUNTIFS($A$2:$A$1931,A268,$C$2:$C$1931,"&gt;"&amp;C268)+COUNTIFS($A$2:A268,A268,$C$2:C268,C268)</f>
        <v>2</v>
      </c>
      <c r="E268" s="59" t="str">
        <f aca="false">A268&amp;"|"&amp;D268</f>
        <v>BLR-Bellandur 6|2</v>
      </c>
    </row>
    <row r="269" customFormat="false" ht="15" hidden="false" customHeight="false" outlineLevel="0" collapsed="false">
      <c r="A269" s="59" t="s">
        <v>76</v>
      </c>
      <c r="B269" s="59" t="s">
        <v>424</v>
      </c>
      <c r="C269" s="60" t="n">
        <v>8174.26</v>
      </c>
      <c r="D269" s="59" t="n">
        <f aca="false">COUNTIFS($A$2:$A$1931,A269,$C$2:$C$1931,"&gt;"&amp;C269)+COUNTIFS($A$2:A269,A269,$C$2:C269,C269)</f>
        <v>3</v>
      </c>
      <c r="E269" s="59" t="str">
        <f aca="false">A269&amp;"|"&amp;D269</f>
        <v>BLR-Bellandur 6|3</v>
      </c>
    </row>
    <row r="270" customFormat="false" ht="15" hidden="false" customHeight="false" outlineLevel="0" collapsed="false">
      <c r="A270" s="59" t="s">
        <v>76</v>
      </c>
      <c r="B270" s="59" t="s">
        <v>413</v>
      </c>
      <c r="C270" s="60" t="n">
        <v>5931.55</v>
      </c>
      <c r="D270" s="59" t="n">
        <f aca="false">COUNTIFS($A$2:$A$1931,A270,$C$2:$C$1931,"&gt;"&amp;C270)+COUNTIFS($A$2:A270,A270,$C$2:C270,C270)</f>
        <v>4</v>
      </c>
      <c r="E270" s="59" t="str">
        <f aca="false">A270&amp;"|"&amp;D270</f>
        <v>BLR-Bellandur 6|4</v>
      </c>
    </row>
    <row r="271" customFormat="false" ht="15" hidden="false" customHeight="false" outlineLevel="0" collapsed="false">
      <c r="A271" s="59" t="s">
        <v>76</v>
      </c>
      <c r="B271" s="59" t="s">
        <v>418</v>
      </c>
      <c r="C271" s="60" t="n">
        <v>2730.07</v>
      </c>
      <c r="D271" s="59" t="n">
        <f aca="false">COUNTIFS($A$2:$A$1931,A271,$C$2:$C$1931,"&gt;"&amp;C271)+COUNTIFS($A$2:A271,A271,$C$2:C271,C271)</f>
        <v>5</v>
      </c>
      <c r="E271" s="59" t="str">
        <f aca="false">A271&amp;"|"&amp;D271</f>
        <v>BLR-Bellandur 6|5</v>
      </c>
    </row>
    <row r="272" customFormat="false" ht="15" hidden="false" customHeight="false" outlineLevel="0" collapsed="false">
      <c r="A272" s="59" t="s">
        <v>76</v>
      </c>
      <c r="B272" s="59" t="s">
        <v>420</v>
      </c>
      <c r="C272" s="60" t="n">
        <v>641.24</v>
      </c>
      <c r="D272" s="59" t="n">
        <f aca="false">COUNTIFS($A$2:$A$1931,A272,$C$2:$C$1931,"&gt;"&amp;C272)+COUNTIFS($A$2:A272,A272,$C$2:C272,C272)</f>
        <v>6</v>
      </c>
      <c r="E272" s="59" t="str">
        <f aca="false">A272&amp;"|"&amp;D272</f>
        <v>BLR-Bellandur 6|6</v>
      </c>
    </row>
    <row r="273" customFormat="false" ht="15" hidden="false" customHeight="false" outlineLevel="0" collapsed="false">
      <c r="A273" s="59" t="s">
        <v>172</v>
      </c>
      <c r="B273" s="59" t="s">
        <v>429</v>
      </c>
      <c r="C273" s="60" t="n">
        <v>4972.13</v>
      </c>
      <c r="D273" s="59" t="n">
        <f aca="false">COUNTIFS($A$2:$A$1931,A273,$C$2:$C$1931,"&gt;"&amp;C273)+COUNTIFS($A$2:A273,A273,$C$2:C273,C273)</f>
        <v>1</v>
      </c>
      <c r="E273" s="59" t="str">
        <f aca="false">A273&amp;"|"&amp;D273</f>
        <v>BLR-Bellandur SS|1</v>
      </c>
    </row>
    <row r="274" customFormat="false" ht="15" hidden="false" customHeight="false" outlineLevel="0" collapsed="false">
      <c r="A274" s="59" t="s">
        <v>172</v>
      </c>
      <c r="B274" s="59" t="s">
        <v>412</v>
      </c>
      <c r="C274" s="60" t="n">
        <v>1739.35</v>
      </c>
      <c r="D274" s="59" t="n">
        <f aca="false">COUNTIFS($A$2:$A$1931,A274,$C$2:$C$1931,"&gt;"&amp;C274)+COUNTIFS($A$2:A274,A274,$C$2:C274,C274)</f>
        <v>2</v>
      </c>
      <c r="E274" s="59" t="str">
        <f aca="false">A274&amp;"|"&amp;D274</f>
        <v>BLR-Bellandur SS|2</v>
      </c>
    </row>
    <row r="275" customFormat="false" ht="15" hidden="false" customHeight="false" outlineLevel="0" collapsed="false">
      <c r="A275" s="59" t="s">
        <v>172</v>
      </c>
      <c r="B275" s="59" t="s">
        <v>424</v>
      </c>
      <c r="C275" s="60" t="n">
        <v>1476.33</v>
      </c>
      <c r="D275" s="59" t="n">
        <f aca="false">COUNTIFS($A$2:$A$1931,A275,$C$2:$C$1931,"&gt;"&amp;C275)+COUNTIFS($A$2:A275,A275,$C$2:C275,C275)</f>
        <v>3</v>
      </c>
      <c r="E275" s="59" t="str">
        <f aca="false">A275&amp;"|"&amp;D275</f>
        <v>BLR-Bellandur SS|3</v>
      </c>
    </row>
    <row r="276" customFormat="false" ht="15" hidden="false" customHeight="false" outlineLevel="0" collapsed="false">
      <c r="A276" s="59" t="s">
        <v>172</v>
      </c>
      <c r="B276" s="59" t="s">
        <v>410</v>
      </c>
      <c r="C276" s="60" t="n">
        <v>929.49</v>
      </c>
      <c r="D276" s="59" t="n">
        <f aca="false">COUNTIFS($A$2:$A$1931,A276,$C$2:$C$1931,"&gt;"&amp;C276)+COUNTIFS($A$2:A276,A276,$C$2:C276,C276)</f>
        <v>4</v>
      </c>
      <c r="E276" s="59" t="str">
        <f aca="false">A276&amp;"|"&amp;D276</f>
        <v>BLR-Bellandur SS|4</v>
      </c>
    </row>
    <row r="277" customFormat="false" ht="15" hidden="false" customHeight="false" outlineLevel="0" collapsed="false">
      <c r="A277" s="59" t="s">
        <v>172</v>
      </c>
      <c r="B277" s="59" t="s">
        <v>409</v>
      </c>
      <c r="C277" s="60" t="n">
        <v>777.28</v>
      </c>
      <c r="D277" s="59" t="n">
        <f aca="false">COUNTIFS($A$2:$A$1931,A277,$C$2:$C$1931,"&gt;"&amp;C277)+COUNTIFS($A$2:A277,A277,$C$2:C277,C277)</f>
        <v>5</v>
      </c>
      <c r="E277" s="59" t="str">
        <f aca="false">A277&amp;"|"&amp;D277</f>
        <v>BLR-Bellandur SS|5</v>
      </c>
    </row>
    <row r="278" customFormat="false" ht="15" hidden="false" customHeight="false" outlineLevel="0" collapsed="false">
      <c r="A278" s="59" t="s">
        <v>172</v>
      </c>
      <c r="B278" s="59" t="s">
        <v>434</v>
      </c>
      <c r="C278" s="60" t="n">
        <v>595.65</v>
      </c>
      <c r="D278" s="59" t="n">
        <f aca="false">COUNTIFS($A$2:$A$1931,A278,$C$2:$C$1931,"&gt;"&amp;C278)+COUNTIFS($A$2:A278,A278,$C$2:C278,C278)</f>
        <v>6</v>
      </c>
      <c r="E278" s="59" t="str">
        <f aca="false">A278&amp;"|"&amp;D278</f>
        <v>BLR-Bellandur SS|6</v>
      </c>
    </row>
    <row r="279" customFormat="false" ht="15" hidden="false" customHeight="false" outlineLevel="0" collapsed="false">
      <c r="A279" s="59" t="s">
        <v>172</v>
      </c>
      <c r="B279" s="59" t="s">
        <v>431</v>
      </c>
      <c r="C279" s="60" t="n">
        <v>494.5</v>
      </c>
      <c r="D279" s="59" t="n">
        <f aca="false">COUNTIFS($A$2:$A$1931,A279,$C$2:$C$1931,"&gt;"&amp;C279)+COUNTIFS($A$2:A279,A279,$C$2:C279,C279)</f>
        <v>7</v>
      </c>
      <c r="E279" s="59" t="str">
        <f aca="false">A279&amp;"|"&amp;D279</f>
        <v>BLR-Bellandur SS|7</v>
      </c>
    </row>
    <row r="280" customFormat="false" ht="15" hidden="false" customHeight="false" outlineLevel="0" collapsed="false">
      <c r="A280" s="59" t="s">
        <v>172</v>
      </c>
      <c r="B280" s="59" t="s">
        <v>408</v>
      </c>
      <c r="C280" s="60" t="n">
        <v>429.32</v>
      </c>
      <c r="D280" s="59" t="n">
        <f aca="false">COUNTIFS($A$2:$A$1931,A280,$C$2:$C$1931,"&gt;"&amp;C280)+COUNTIFS($A$2:A280,A280,$C$2:C280,C280)</f>
        <v>8</v>
      </c>
      <c r="E280" s="59" t="str">
        <f aca="false">A280&amp;"|"&amp;D280</f>
        <v>BLR-Bellandur SS|8</v>
      </c>
    </row>
    <row r="281" customFormat="false" ht="15" hidden="false" customHeight="false" outlineLevel="0" collapsed="false">
      <c r="A281" s="59" t="s">
        <v>172</v>
      </c>
      <c r="B281" s="59" t="s">
        <v>420</v>
      </c>
      <c r="C281" s="60" t="n">
        <v>19.48</v>
      </c>
      <c r="D281" s="59" t="n">
        <f aca="false">COUNTIFS($A$2:$A$1931,A281,$C$2:$C$1931,"&gt;"&amp;C281)+COUNTIFS($A$2:A281,A281,$C$2:C281,C281)</f>
        <v>9</v>
      </c>
      <c r="E281" s="59" t="str">
        <f aca="false">A281&amp;"|"&amp;D281</f>
        <v>BLR-Bellandur SS|9</v>
      </c>
    </row>
    <row r="282" customFormat="false" ht="15" hidden="false" customHeight="false" outlineLevel="0" collapsed="false">
      <c r="A282" s="59" t="s">
        <v>156</v>
      </c>
      <c r="B282" s="59" t="s">
        <v>431</v>
      </c>
      <c r="C282" s="60" t="n">
        <v>2467.88</v>
      </c>
      <c r="D282" s="59" t="n">
        <f aca="false">COUNTIFS($A$2:$A$1931,A282,$C$2:$C$1931,"&gt;"&amp;C282)+COUNTIFS($A$2:A282,A282,$C$2:C282,C282)</f>
        <v>1</v>
      </c>
      <c r="E282" s="59" t="str">
        <f aca="false">A282&amp;"|"&amp;D282</f>
        <v>BLR-Bellandur new|1</v>
      </c>
    </row>
    <row r="283" customFormat="false" ht="15" hidden="false" customHeight="false" outlineLevel="0" collapsed="false">
      <c r="A283" s="59" t="s">
        <v>156</v>
      </c>
      <c r="B283" s="59" t="s">
        <v>410</v>
      </c>
      <c r="C283" s="60" t="n">
        <v>1820.65</v>
      </c>
      <c r="D283" s="59" t="n">
        <f aca="false">COUNTIFS($A$2:$A$1931,A283,$C$2:$C$1931,"&gt;"&amp;C283)+COUNTIFS($A$2:A283,A283,$C$2:C283,C283)</f>
        <v>2</v>
      </c>
      <c r="E283" s="59" t="str">
        <f aca="false">A283&amp;"|"&amp;D283</f>
        <v>BLR-Bellandur new|2</v>
      </c>
    </row>
    <row r="284" customFormat="false" ht="15" hidden="false" customHeight="false" outlineLevel="0" collapsed="false">
      <c r="A284" s="59" t="s">
        <v>156</v>
      </c>
      <c r="B284" s="59" t="s">
        <v>408</v>
      </c>
      <c r="C284" s="60" t="n">
        <v>66.22</v>
      </c>
      <c r="D284" s="59" t="n">
        <f aca="false">COUNTIFS($A$2:$A$1931,A284,$C$2:$C$1931,"&gt;"&amp;C284)+COUNTIFS($A$2:A284,A284,$C$2:C284,C284)</f>
        <v>3</v>
      </c>
      <c r="E284" s="59" t="str">
        <f aca="false">A284&amp;"|"&amp;D284</f>
        <v>BLR-Bellandur new|3</v>
      </c>
    </row>
    <row r="285" customFormat="false" ht="15" hidden="false" customHeight="false" outlineLevel="0" collapsed="false">
      <c r="A285" s="59" t="s">
        <v>102</v>
      </c>
      <c r="B285" s="59" t="s">
        <v>418</v>
      </c>
      <c r="C285" s="60" t="n">
        <v>35671.59</v>
      </c>
      <c r="D285" s="59" t="n">
        <f aca="false">COUNTIFS($A$2:$A$1931,A285,$C$2:$C$1931,"&gt;"&amp;C285)+COUNTIFS($A$2:A285,A285,$C$2:C285,C285)</f>
        <v>1</v>
      </c>
      <c r="E285" s="59" t="str">
        <f aca="false">A285&amp;"|"&amp;D285</f>
        <v>BLR-Bellandur-3|1</v>
      </c>
    </row>
    <row r="286" customFormat="false" ht="15" hidden="false" customHeight="false" outlineLevel="0" collapsed="false">
      <c r="A286" s="59" t="s">
        <v>102</v>
      </c>
      <c r="B286" s="59" t="s">
        <v>412</v>
      </c>
      <c r="C286" s="60" t="n">
        <v>14027.66</v>
      </c>
      <c r="D286" s="59" t="n">
        <f aca="false">COUNTIFS($A$2:$A$1931,A286,$C$2:$C$1931,"&gt;"&amp;C286)+COUNTIFS($A$2:A286,A286,$C$2:C286,C286)</f>
        <v>2</v>
      </c>
      <c r="E286" s="59" t="str">
        <f aca="false">A286&amp;"|"&amp;D286</f>
        <v>BLR-Bellandur-3|2</v>
      </c>
    </row>
    <row r="287" customFormat="false" ht="15" hidden="false" customHeight="false" outlineLevel="0" collapsed="false">
      <c r="A287" s="59" t="s">
        <v>102</v>
      </c>
      <c r="B287" s="59" t="s">
        <v>415</v>
      </c>
      <c r="C287" s="60" t="n">
        <v>7823.18</v>
      </c>
      <c r="D287" s="59" t="n">
        <f aca="false">COUNTIFS($A$2:$A$1931,A287,$C$2:$C$1931,"&gt;"&amp;C287)+COUNTIFS($A$2:A287,A287,$C$2:C287,C287)</f>
        <v>3</v>
      </c>
      <c r="E287" s="59" t="str">
        <f aca="false">A287&amp;"|"&amp;D287</f>
        <v>BLR-Bellandur-3|3</v>
      </c>
    </row>
    <row r="288" customFormat="false" ht="15" hidden="false" customHeight="false" outlineLevel="0" collapsed="false">
      <c r="A288" s="59" t="s">
        <v>102</v>
      </c>
      <c r="B288" s="59" t="s">
        <v>417</v>
      </c>
      <c r="C288" s="60" t="n">
        <v>4948.94</v>
      </c>
      <c r="D288" s="59" t="n">
        <f aca="false">COUNTIFS($A$2:$A$1931,A288,$C$2:$C$1931,"&gt;"&amp;C288)+COUNTIFS($A$2:A288,A288,$C$2:C288,C288)</f>
        <v>4</v>
      </c>
      <c r="E288" s="59" t="str">
        <f aca="false">A288&amp;"|"&amp;D288</f>
        <v>BLR-Bellandur-3|4</v>
      </c>
    </row>
    <row r="289" customFormat="false" ht="15" hidden="false" customHeight="false" outlineLevel="0" collapsed="false">
      <c r="A289" s="59" t="s">
        <v>102</v>
      </c>
      <c r="B289" s="59" t="s">
        <v>413</v>
      </c>
      <c r="C289" s="60" t="n">
        <v>3258.61</v>
      </c>
      <c r="D289" s="59" t="n">
        <f aca="false">COUNTIFS($A$2:$A$1931,A289,$C$2:$C$1931,"&gt;"&amp;C289)+COUNTIFS($A$2:A289,A289,$C$2:C289,C289)</f>
        <v>5</v>
      </c>
      <c r="E289" s="59" t="str">
        <f aca="false">A289&amp;"|"&amp;D289</f>
        <v>BLR-Bellandur-3|5</v>
      </c>
    </row>
    <row r="290" customFormat="false" ht="15" hidden="false" customHeight="false" outlineLevel="0" collapsed="false">
      <c r="A290" s="59" t="s">
        <v>102</v>
      </c>
      <c r="B290" s="59" t="s">
        <v>408</v>
      </c>
      <c r="C290" s="60" t="n">
        <v>3033.57</v>
      </c>
      <c r="D290" s="59" t="n">
        <f aca="false">COUNTIFS($A$2:$A$1931,A290,$C$2:$C$1931,"&gt;"&amp;C290)+COUNTIFS($A$2:A290,A290,$C$2:C290,C290)</f>
        <v>6</v>
      </c>
      <c r="E290" s="59" t="str">
        <f aca="false">A290&amp;"|"&amp;D290</f>
        <v>BLR-Bellandur-3|6</v>
      </c>
    </row>
    <row r="291" customFormat="false" ht="15" hidden="false" customHeight="false" outlineLevel="0" collapsed="false">
      <c r="A291" s="59" t="s">
        <v>102</v>
      </c>
      <c r="B291" s="59" t="s">
        <v>431</v>
      </c>
      <c r="C291" s="60" t="n">
        <v>2412.42</v>
      </c>
      <c r="D291" s="59" t="n">
        <f aca="false">COUNTIFS($A$2:$A$1931,A291,$C$2:$C$1931,"&gt;"&amp;C291)+COUNTIFS($A$2:A291,A291,$C$2:C291,C291)</f>
        <v>7</v>
      </c>
      <c r="E291" s="59" t="str">
        <f aca="false">A291&amp;"|"&amp;D291</f>
        <v>BLR-Bellandur-3|7</v>
      </c>
    </row>
    <row r="292" customFormat="false" ht="15" hidden="false" customHeight="false" outlineLevel="0" collapsed="false">
      <c r="A292" s="59" t="s">
        <v>102</v>
      </c>
      <c r="B292" s="59" t="s">
        <v>407</v>
      </c>
      <c r="C292" s="60" t="n">
        <v>1887.04</v>
      </c>
      <c r="D292" s="59" t="n">
        <f aca="false">COUNTIFS($A$2:$A$1931,A292,$C$2:$C$1931,"&gt;"&amp;C292)+COUNTIFS($A$2:A292,A292,$C$2:C292,C292)</f>
        <v>8</v>
      </c>
      <c r="E292" s="59" t="str">
        <f aca="false">A292&amp;"|"&amp;D292</f>
        <v>BLR-Bellandur-3|8</v>
      </c>
    </row>
    <row r="293" customFormat="false" ht="15" hidden="false" customHeight="false" outlineLevel="0" collapsed="false">
      <c r="A293" s="59" t="s">
        <v>102</v>
      </c>
      <c r="B293" s="59" t="s">
        <v>410</v>
      </c>
      <c r="C293" s="60" t="n">
        <v>1789.59</v>
      </c>
      <c r="D293" s="59" t="n">
        <f aca="false">COUNTIFS($A$2:$A$1931,A293,$C$2:$C$1931,"&gt;"&amp;C293)+COUNTIFS($A$2:A293,A293,$C$2:C293,C293)</f>
        <v>9</v>
      </c>
      <c r="E293" s="59" t="str">
        <f aca="false">A293&amp;"|"&amp;D293</f>
        <v>BLR-Bellandur-3|9</v>
      </c>
    </row>
    <row r="294" customFormat="false" ht="15" hidden="false" customHeight="false" outlineLevel="0" collapsed="false">
      <c r="A294" s="59" t="s">
        <v>102</v>
      </c>
      <c r="B294" s="59" t="s">
        <v>409</v>
      </c>
      <c r="C294" s="60" t="n">
        <v>1328.35</v>
      </c>
      <c r="D294" s="59" t="n">
        <f aca="false">COUNTIFS($A$2:$A$1931,A294,$C$2:$C$1931,"&gt;"&amp;C294)+COUNTIFS($A$2:A294,A294,$C$2:C294,C294)</f>
        <v>10</v>
      </c>
      <c r="E294" s="59" t="str">
        <f aca="false">A294&amp;"|"&amp;D294</f>
        <v>BLR-Bellandur-3|10</v>
      </c>
    </row>
    <row r="295" customFormat="false" ht="15" hidden="false" customHeight="false" outlineLevel="0" collapsed="false">
      <c r="A295" s="59" t="s">
        <v>102</v>
      </c>
      <c r="B295" s="59" t="s">
        <v>424</v>
      </c>
      <c r="C295" s="60" t="n">
        <v>1117.38</v>
      </c>
      <c r="D295" s="59" t="n">
        <f aca="false">COUNTIFS($A$2:$A$1931,A295,$C$2:$C$1931,"&gt;"&amp;C295)+COUNTIFS($A$2:A295,A295,$C$2:C295,C295)</f>
        <v>11</v>
      </c>
      <c r="E295" s="59" t="str">
        <f aca="false">A295&amp;"|"&amp;D295</f>
        <v>BLR-Bellandur-3|11</v>
      </c>
    </row>
    <row r="296" customFormat="false" ht="15" hidden="false" customHeight="false" outlineLevel="0" collapsed="false">
      <c r="A296" s="59" t="s">
        <v>161</v>
      </c>
      <c r="B296" s="59" t="s">
        <v>412</v>
      </c>
      <c r="C296" s="60" t="n">
        <v>2984.01</v>
      </c>
      <c r="D296" s="59" t="n">
        <f aca="false">COUNTIFS($A$2:$A$1931,A296,$C$2:$C$1931,"&gt;"&amp;C296)+COUNTIFS($A$2:A296,A296,$C$2:C296,C296)</f>
        <v>1</v>
      </c>
      <c r="E296" s="59" t="str">
        <f aca="false">A296&amp;"|"&amp;D296</f>
        <v>BLR-Bellandur-5|1</v>
      </c>
    </row>
    <row r="297" customFormat="false" ht="15" hidden="false" customHeight="false" outlineLevel="0" collapsed="false">
      <c r="A297" s="59" t="s">
        <v>161</v>
      </c>
      <c r="B297" s="59" t="s">
        <v>418</v>
      </c>
      <c r="C297" s="60" t="n">
        <v>2536.16</v>
      </c>
      <c r="D297" s="59" t="n">
        <f aca="false">COUNTIFS($A$2:$A$1931,A297,$C$2:$C$1931,"&gt;"&amp;C297)+COUNTIFS($A$2:A297,A297,$C$2:C297,C297)</f>
        <v>2</v>
      </c>
      <c r="E297" s="59" t="str">
        <f aca="false">A297&amp;"|"&amp;D297</f>
        <v>BLR-Bellandur-5|2</v>
      </c>
    </row>
    <row r="298" customFormat="false" ht="15" hidden="false" customHeight="false" outlineLevel="0" collapsed="false">
      <c r="A298" s="59" t="s">
        <v>161</v>
      </c>
      <c r="B298" s="59" t="s">
        <v>431</v>
      </c>
      <c r="C298" s="60" t="n">
        <v>906.47</v>
      </c>
      <c r="D298" s="59" t="n">
        <f aca="false">COUNTIFS($A$2:$A$1931,A298,$C$2:$C$1931,"&gt;"&amp;C298)+COUNTIFS($A$2:A298,A298,$C$2:C298,C298)</f>
        <v>3</v>
      </c>
      <c r="E298" s="59" t="str">
        <f aca="false">A298&amp;"|"&amp;D298</f>
        <v>BLR-Bellandur-5|3</v>
      </c>
    </row>
    <row r="299" customFormat="false" ht="15" hidden="false" customHeight="false" outlineLevel="0" collapsed="false">
      <c r="A299" s="59" t="s">
        <v>161</v>
      </c>
      <c r="B299" s="59" t="s">
        <v>423</v>
      </c>
      <c r="C299" s="60" t="n">
        <v>524.08</v>
      </c>
      <c r="D299" s="59" t="n">
        <f aca="false">COUNTIFS($A$2:$A$1931,A299,$C$2:$C$1931,"&gt;"&amp;C299)+COUNTIFS($A$2:A299,A299,$C$2:C299,C299)</f>
        <v>4</v>
      </c>
      <c r="E299" s="59" t="str">
        <f aca="false">A299&amp;"|"&amp;D299</f>
        <v>BLR-Bellandur-5|4</v>
      </c>
    </row>
    <row r="300" customFormat="false" ht="15" hidden="false" customHeight="false" outlineLevel="0" collapsed="false">
      <c r="A300" s="59" t="s">
        <v>161</v>
      </c>
      <c r="B300" s="59" t="s">
        <v>409</v>
      </c>
      <c r="C300" s="60" t="n">
        <v>317.76</v>
      </c>
      <c r="D300" s="59" t="n">
        <f aca="false">COUNTIFS($A$2:$A$1931,A300,$C$2:$C$1931,"&gt;"&amp;C300)+COUNTIFS($A$2:A300,A300,$C$2:C300,C300)</f>
        <v>5</v>
      </c>
      <c r="E300" s="59" t="str">
        <f aca="false">A300&amp;"|"&amp;D300</f>
        <v>BLR-Bellandur-5|5</v>
      </c>
    </row>
    <row r="301" customFormat="false" ht="15" hidden="false" customHeight="false" outlineLevel="0" collapsed="false">
      <c r="A301" s="59" t="s">
        <v>161</v>
      </c>
      <c r="B301" s="59" t="s">
        <v>408</v>
      </c>
      <c r="C301" s="60" t="n">
        <v>150.55</v>
      </c>
      <c r="D301" s="59" t="n">
        <f aca="false">COUNTIFS($A$2:$A$1931,A301,$C$2:$C$1931,"&gt;"&amp;C301)+COUNTIFS($A$2:A301,A301,$C$2:C301,C301)</f>
        <v>6</v>
      </c>
      <c r="E301" s="59" t="str">
        <f aca="false">A301&amp;"|"&amp;D301</f>
        <v>BLR-Bellandur-5|6</v>
      </c>
    </row>
    <row r="302" customFormat="false" ht="15" hidden="false" customHeight="false" outlineLevel="0" collapsed="false">
      <c r="A302" s="59" t="s">
        <v>241</v>
      </c>
      <c r="B302" s="59" t="s">
        <v>418</v>
      </c>
      <c r="C302" s="60" t="n">
        <v>24.24</v>
      </c>
      <c r="D302" s="59" t="n">
        <f aca="false">COUNTIFS($A$2:$A$1931,A302,$C$2:$C$1931,"&gt;"&amp;C302)+COUNTIFS($A$2:A302,A302,$C$2:C302,C302)</f>
        <v>1</v>
      </c>
      <c r="E302" s="59" t="str">
        <f aca="false">A302&amp;"|"&amp;D302</f>
        <v>BLR-Bidaraguppe|1</v>
      </c>
    </row>
    <row r="303" customFormat="false" ht="15" hidden="false" customHeight="false" outlineLevel="0" collapsed="false">
      <c r="A303" s="59" t="s">
        <v>48</v>
      </c>
      <c r="B303" s="59" t="s">
        <v>435</v>
      </c>
      <c r="C303" s="60" t="n">
        <v>2474.37</v>
      </c>
      <c r="D303" s="59" t="n">
        <f aca="false">COUNTIFS($A$2:$A$1931,A303,$C$2:$C$1931,"&gt;"&amp;C303)+COUNTIFS($A$2:A303,A303,$C$2:C303,C303)</f>
        <v>1</v>
      </c>
      <c r="E303" s="59" t="str">
        <f aca="false">A303&amp;"|"&amp;D303</f>
        <v>BLR-Bommanahalli|1</v>
      </c>
    </row>
    <row r="304" customFormat="false" ht="15" hidden="false" customHeight="false" outlineLevel="0" collapsed="false">
      <c r="A304" s="59" t="s">
        <v>48</v>
      </c>
      <c r="B304" s="59" t="s">
        <v>411</v>
      </c>
      <c r="C304" s="60" t="n">
        <v>2272.93</v>
      </c>
      <c r="D304" s="59" t="n">
        <f aca="false">COUNTIFS($A$2:$A$1931,A304,$C$2:$C$1931,"&gt;"&amp;C304)+COUNTIFS($A$2:A304,A304,$C$2:C304,C304)</f>
        <v>2</v>
      </c>
      <c r="E304" s="59" t="str">
        <f aca="false">A304&amp;"|"&amp;D304</f>
        <v>BLR-Bommanahalli|2</v>
      </c>
    </row>
    <row r="305" customFormat="false" ht="15" hidden="false" customHeight="false" outlineLevel="0" collapsed="false">
      <c r="A305" s="59" t="s">
        <v>48</v>
      </c>
      <c r="B305" s="59" t="s">
        <v>421</v>
      </c>
      <c r="C305" s="60" t="n">
        <v>2250.45</v>
      </c>
      <c r="D305" s="59" t="n">
        <f aca="false">COUNTIFS($A$2:$A$1931,A305,$C$2:$C$1931,"&gt;"&amp;C305)+COUNTIFS($A$2:A305,A305,$C$2:C305,C305)</f>
        <v>3</v>
      </c>
      <c r="E305" s="59" t="str">
        <f aca="false">A305&amp;"|"&amp;D305</f>
        <v>BLR-Bommanahalli|3</v>
      </c>
    </row>
    <row r="306" customFormat="false" ht="15" hidden="false" customHeight="false" outlineLevel="0" collapsed="false">
      <c r="A306" s="59" t="s">
        <v>48</v>
      </c>
      <c r="B306" s="59" t="s">
        <v>413</v>
      </c>
      <c r="C306" s="60" t="n">
        <v>445.24</v>
      </c>
      <c r="D306" s="59" t="n">
        <f aca="false">COUNTIFS($A$2:$A$1931,A306,$C$2:$C$1931,"&gt;"&amp;C306)+COUNTIFS($A$2:A306,A306,$C$2:C306,C306)</f>
        <v>4</v>
      </c>
      <c r="E306" s="59" t="str">
        <f aca="false">A306&amp;"|"&amp;D306</f>
        <v>BLR-Bommanahalli|4</v>
      </c>
    </row>
    <row r="307" customFormat="false" ht="15" hidden="false" customHeight="false" outlineLevel="0" collapsed="false">
      <c r="A307" s="59" t="s">
        <v>48</v>
      </c>
      <c r="B307" s="59" t="s">
        <v>437</v>
      </c>
      <c r="C307" s="60" t="n">
        <v>269.76</v>
      </c>
      <c r="D307" s="59" t="n">
        <f aca="false">COUNTIFS($A$2:$A$1931,A307,$C$2:$C$1931,"&gt;"&amp;C307)+COUNTIFS($A$2:A307,A307,$C$2:C307,C307)</f>
        <v>5</v>
      </c>
      <c r="E307" s="59" t="str">
        <f aca="false">A307&amp;"|"&amp;D307</f>
        <v>BLR-Bommanahalli|5</v>
      </c>
    </row>
    <row r="308" customFormat="false" ht="15" hidden="false" customHeight="false" outlineLevel="0" collapsed="false">
      <c r="A308" s="59" t="s">
        <v>48</v>
      </c>
      <c r="B308" s="59" t="s">
        <v>417</v>
      </c>
      <c r="C308" s="60" t="n">
        <v>116.38</v>
      </c>
      <c r="D308" s="59" t="n">
        <f aca="false">COUNTIFS($A$2:$A$1931,A308,$C$2:$C$1931,"&gt;"&amp;C308)+COUNTIFS($A$2:A308,A308,$C$2:C308,C308)</f>
        <v>6</v>
      </c>
      <c r="E308" s="59" t="str">
        <f aca="false">A308&amp;"|"&amp;D308</f>
        <v>BLR-Bommanahalli|6</v>
      </c>
    </row>
    <row r="309" customFormat="false" ht="15" hidden="false" customHeight="false" outlineLevel="0" collapsed="false">
      <c r="A309" s="59" t="s">
        <v>48</v>
      </c>
      <c r="B309" s="59" t="s">
        <v>409</v>
      </c>
      <c r="C309" s="60" t="n">
        <v>80.32</v>
      </c>
      <c r="D309" s="59" t="n">
        <f aca="false">COUNTIFS($A$2:$A$1931,A309,$C$2:$C$1931,"&gt;"&amp;C309)+COUNTIFS($A$2:A309,A309,$C$2:C309,C309)</f>
        <v>7</v>
      </c>
      <c r="E309" s="59" t="str">
        <f aca="false">A309&amp;"|"&amp;D309</f>
        <v>BLR-Bommanahalli|7</v>
      </c>
    </row>
    <row r="310" customFormat="false" ht="15" hidden="false" customHeight="false" outlineLevel="0" collapsed="false">
      <c r="A310" s="59" t="s">
        <v>48</v>
      </c>
      <c r="B310" s="59" t="s">
        <v>407</v>
      </c>
      <c r="C310" s="60" t="n">
        <v>67.51</v>
      </c>
      <c r="D310" s="59" t="n">
        <f aca="false">COUNTIFS($A$2:$A$1931,A310,$C$2:$C$1931,"&gt;"&amp;C310)+COUNTIFS($A$2:A310,A310,$C$2:C310,C310)</f>
        <v>8</v>
      </c>
      <c r="E310" s="59" t="str">
        <f aca="false">A310&amp;"|"&amp;D310</f>
        <v>BLR-Bommanahalli|8</v>
      </c>
    </row>
    <row r="311" customFormat="false" ht="15" hidden="false" customHeight="false" outlineLevel="0" collapsed="false">
      <c r="A311" s="59" t="s">
        <v>48</v>
      </c>
      <c r="B311" s="59" t="s">
        <v>416</v>
      </c>
      <c r="C311" s="60" t="n">
        <v>63.84</v>
      </c>
      <c r="D311" s="59" t="n">
        <f aca="false">COUNTIFS($A$2:$A$1931,A311,$C$2:$C$1931,"&gt;"&amp;C311)+COUNTIFS($A$2:A311,A311,$C$2:C311,C311)</f>
        <v>9</v>
      </c>
      <c r="E311" s="59" t="str">
        <f aca="false">A311&amp;"|"&amp;D311</f>
        <v>BLR-Bommanahalli|9</v>
      </c>
    </row>
    <row r="312" customFormat="false" ht="15" hidden="false" customHeight="false" outlineLevel="0" collapsed="false">
      <c r="A312" s="59" t="s">
        <v>48</v>
      </c>
      <c r="B312" s="59" t="s">
        <v>424</v>
      </c>
      <c r="C312" s="60" t="n">
        <v>26.46</v>
      </c>
      <c r="D312" s="59" t="n">
        <f aca="false">COUNTIFS($A$2:$A$1931,A312,$C$2:$C$1931,"&gt;"&amp;C312)+COUNTIFS($A$2:A312,A312,$C$2:C312,C312)</f>
        <v>10</v>
      </c>
      <c r="E312" s="59" t="str">
        <f aca="false">A312&amp;"|"&amp;D312</f>
        <v>BLR-Bommanahalli|10</v>
      </c>
    </row>
    <row r="313" customFormat="false" ht="15" hidden="false" customHeight="false" outlineLevel="0" collapsed="false">
      <c r="A313" s="59" t="s">
        <v>194</v>
      </c>
      <c r="B313" s="59" t="s">
        <v>420</v>
      </c>
      <c r="C313" s="60" t="n">
        <v>2354.37</v>
      </c>
      <c r="D313" s="59" t="n">
        <f aca="false">COUNTIFS($A$2:$A$1931,A313,$C$2:$C$1931,"&gt;"&amp;C313)+COUNTIFS($A$2:A313,A313,$C$2:C313,C313)</f>
        <v>1</v>
      </c>
      <c r="E313" s="59" t="str">
        <f aca="false">A313&amp;"|"&amp;D313</f>
        <v>BLR-Bommasandra|1</v>
      </c>
    </row>
    <row r="314" customFormat="false" ht="15" hidden="false" customHeight="false" outlineLevel="0" collapsed="false">
      <c r="A314" s="59" t="s">
        <v>194</v>
      </c>
      <c r="B314" s="59" t="s">
        <v>408</v>
      </c>
      <c r="C314" s="60" t="n">
        <v>2281.27</v>
      </c>
      <c r="D314" s="59" t="n">
        <f aca="false">COUNTIFS($A$2:$A$1931,A314,$C$2:$C$1931,"&gt;"&amp;C314)+COUNTIFS($A$2:A314,A314,$C$2:C314,C314)</f>
        <v>2</v>
      </c>
      <c r="E314" s="59" t="str">
        <f aca="false">A314&amp;"|"&amp;D314</f>
        <v>BLR-Bommasandra|2</v>
      </c>
    </row>
    <row r="315" customFormat="false" ht="15" hidden="false" customHeight="false" outlineLevel="0" collapsed="false">
      <c r="A315" s="59" t="s">
        <v>194</v>
      </c>
      <c r="B315" s="59" t="s">
        <v>431</v>
      </c>
      <c r="C315" s="60" t="n">
        <v>1033.02</v>
      </c>
      <c r="D315" s="59" t="n">
        <f aca="false">COUNTIFS($A$2:$A$1931,A315,$C$2:$C$1931,"&gt;"&amp;C315)+COUNTIFS($A$2:A315,A315,$C$2:C315,C315)</f>
        <v>3</v>
      </c>
      <c r="E315" s="59" t="str">
        <f aca="false">A315&amp;"|"&amp;D315</f>
        <v>BLR-Bommasandra|3</v>
      </c>
    </row>
    <row r="316" customFormat="false" ht="15" hidden="false" customHeight="false" outlineLevel="0" collapsed="false">
      <c r="A316" s="59" t="s">
        <v>194</v>
      </c>
      <c r="B316" s="59" t="s">
        <v>413</v>
      </c>
      <c r="C316" s="60" t="n">
        <v>838.91</v>
      </c>
      <c r="D316" s="59" t="n">
        <f aca="false">COUNTIFS($A$2:$A$1931,A316,$C$2:$C$1931,"&gt;"&amp;C316)+COUNTIFS($A$2:A316,A316,$C$2:C316,C316)</f>
        <v>4</v>
      </c>
      <c r="E316" s="59" t="str">
        <f aca="false">A316&amp;"|"&amp;D316</f>
        <v>BLR-Bommasandra|4</v>
      </c>
    </row>
    <row r="317" customFormat="false" ht="15" hidden="false" customHeight="false" outlineLevel="0" collapsed="false">
      <c r="A317" s="59" t="s">
        <v>194</v>
      </c>
      <c r="B317" s="59" t="s">
        <v>412</v>
      </c>
      <c r="C317" s="60" t="n">
        <v>791.3</v>
      </c>
      <c r="D317" s="59" t="n">
        <f aca="false">COUNTIFS($A$2:$A$1931,A317,$C$2:$C$1931,"&gt;"&amp;C317)+COUNTIFS($A$2:A317,A317,$C$2:C317,C317)</f>
        <v>5</v>
      </c>
      <c r="E317" s="59" t="str">
        <f aca="false">A317&amp;"|"&amp;D317</f>
        <v>BLR-Bommasandra|5</v>
      </c>
    </row>
    <row r="318" customFormat="false" ht="15" hidden="false" customHeight="false" outlineLevel="0" collapsed="false">
      <c r="A318" s="59" t="s">
        <v>194</v>
      </c>
      <c r="B318" s="59" t="s">
        <v>418</v>
      </c>
      <c r="C318" s="60" t="n">
        <v>509.91</v>
      </c>
      <c r="D318" s="59" t="n">
        <f aca="false">COUNTIFS($A$2:$A$1931,A318,$C$2:$C$1931,"&gt;"&amp;C318)+COUNTIFS($A$2:A318,A318,$C$2:C318,C318)</f>
        <v>6</v>
      </c>
      <c r="E318" s="59" t="str">
        <f aca="false">A318&amp;"|"&amp;D318</f>
        <v>BLR-Bommasandra|6</v>
      </c>
    </row>
    <row r="319" customFormat="false" ht="15" hidden="false" customHeight="false" outlineLevel="0" collapsed="false">
      <c r="A319" s="59" t="s">
        <v>101</v>
      </c>
      <c r="B319" s="59" t="s">
        <v>420</v>
      </c>
      <c r="C319" s="60" t="n">
        <v>6232.05</v>
      </c>
      <c r="D319" s="59" t="n">
        <f aca="false">COUNTIFS($A$2:$A$1931,A319,$C$2:$C$1931,"&gt;"&amp;C319)+COUNTIFS($A$2:A319,A319,$C$2:C319,C319)</f>
        <v>1</v>
      </c>
      <c r="E319" s="59" t="str">
        <f aca="false">A319&amp;"|"&amp;D319</f>
        <v>BLR-Brookfield Network|1</v>
      </c>
    </row>
    <row r="320" customFormat="false" ht="15" hidden="false" customHeight="false" outlineLevel="0" collapsed="false">
      <c r="A320" s="59" t="s">
        <v>101</v>
      </c>
      <c r="B320" s="59" t="s">
        <v>415</v>
      </c>
      <c r="C320" s="60" t="n">
        <v>5004.73</v>
      </c>
      <c r="D320" s="59" t="n">
        <f aca="false">COUNTIFS($A$2:$A$1931,A320,$C$2:$C$1931,"&gt;"&amp;C320)+COUNTIFS($A$2:A320,A320,$C$2:C320,C320)</f>
        <v>2</v>
      </c>
      <c r="E320" s="59" t="str">
        <f aca="false">A320&amp;"|"&amp;D320</f>
        <v>BLR-Brookfield Network|2</v>
      </c>
    </row>
    <row r="321" customFormat="false" ht="15" hidden="false" customHeight="false" outlineLevel="0" collapsed="false">
      <c r="A321" s="59" t="s">
        <v>101</v>
      </c>
      <c r="B321" s="59" t="s">
        <v>417</v>
      </c>
      <c r="C321" s="60" t="n">
        <v>3394.26</v>
      </c>
      <c r="D321" s="59" t="n">
        <f aca="false">COUNTIFS($A$2:$A$1931,A321,$C$2:$C$1931,"&gt;"&amp;C321)+COUNTIFS($A$2:A321,A321,$C$2:C321,C321)</f>
        <v>3</v>
      </c>
      <c r="E321" s="59" t="str">
        <f aca="false">A321&amp;"|"&amp;D321</f>
        <v>BLR-Brookfield Network|3</v>
      </c>
    </row>
    <row r="322" customFormat="false" ht="15" hidden="false" customHeight="false" outlineLevel="0" collapsed="false">
      <c r="A322" s="59" t="s">
        <v>101</v>
      </c>
      <c r="B322" s="59" t="s">
        <v>408</v>
      </c>
      <c r="C322" s="60" t="n">
        <v>3317.97</v>
      </c>
      <c r="D322" s="59" t="n">
        <f aca="false">COUNTIFS($A$2:$A$1931,A322,$C$2:$C$1931,"&gt;"&amp;C322)+COUNTIFS($A$2:A322,A322,$C$2:C322,C322)</f>
        <v>4</v>
      </c>
      <c r="E322" s="59" t="str">
        <f aca="false">A322&amp;"|"&amp;D322</f>
        <v>BLR-Brookfield Network|4</v>
      </c>
    </row>
    <row r="323" customFormat="false" ht="15" hidden="false" customHeight="false" outlineLevel="0" collapsed="false">
      <c r="A323" s="59" t="s">
        <v>101</v>
      </c>
      <c r="B323" s="59" t="s">
        <v>426</v>
      </c>
      <c r="C323" s="60" t="n">
        <v>1853.38</v>
      </c>
      <c r="D323" s="59" t="n">
        <f aca="false">COUNTIFS($A$2:$A$1931,A323,$C$2:$C$1931,"&gt;"&amp;C323)+COUNTIFS($A$2:A323,A323,$C$2:C323,C323)</f>
        <v>5</v>
      </c>
      <c r="E323" s="59" t="str">
        <f aca="false">A323&amp;"|"&amp;D323</f>
        <v>BLR-Brookfield Network|5</v>
      </c>
    </row>
    <row r="324" customFormat="false" ht="15" hidden="false" customHeight="false" outlineLevel="0" collapsed="false">
      <c r="A324" s="59" t="s">
        <v>101</v>
      </c>
      <c r="B324" s="59" t="s">
        <v>424</v>
      </c>
      <c r="C324" s="60" t="n">
        <v>481.97</v>
      </c>
      <c r="D324" s="59" t="n">
        <f aca="false">COUNTIFS($A$2:$A$1931,A324,$C$2:$C$1931,"&gt;"&amp;C324)+COUNTIFS($A$2:A324,A324,$C$2:C324,C324)</f>
        <v>6</v>
      </c>
      <c r="E324" s="59" t="str">
        <f aca="false">A324&amp;"|"&amp;D324</f>
        <v>BLR-Brookfield Network|6</v>
      </c>
    </row>
    <row r="325" customFormat="false" ht="15" hidden="false" customHeight="false" outlineLevel="0" collapsed="false">
      <c r="A325" s="59" t="s">
        <v>101</v>
      </c>
      <c r="B325" s="59" t="s">
        <v>418</v>
      </c>
      <c r="C325" s="60" t="n">
        <v>440.03</v>
      </c>
      <c r="D325" s="59" t="n">
        <f aca="false">COUNTIFS($A$2:$A$1931,A325,$C$2:$C$1931,"&gt;"&amp;C325)+COUNTIFS($A$2:A325,A325,$C$2:C325,C325)</f>
        <v>7</v>
      </c>
      <c r="E325" s="59" t="str">
        <f aca="false">A325&amp;"|"&amp;D325</f>
        <v>BLR-Brookfield Network|7</v>
      </c>
    </row>
    <row r="326" customFormat="false" ht="15" hidden="false" customHeight="false" outlineLevel="0" collapsed="false">
      <c r="A326" s="59" t="s">
        <v>101</v>
      </c>
      <c r="B326" s="59" t="s">
        <v>431</v>
      </c>
      <c r="C326" s="60" t="n">
        <v>216.72</v>
      </c>
      <c r="D326" s="59" t="n">
        <f aca="false">COUNTIFS($A$2:$A$1931,A326,$C$2:$C$1931,"&gt;"&amp;C326)+COUNTIFS($A$2:A326,A326,$C$2:C326,C326)</f>
        <v>8</v>
      </c>
      <c r="E326" s="59" t="str">
        <f aca="false">A326&amp;"|"&amp;D326</f>
        <v>BLR-Brookfield Network|8</v>
      </c>
    </row>
    <row r="327" customFormat="false" ht="15" hidden="false" customHeight="false" outlineLevel="0" collapsed="false">
      <c r="A327" s="59" t="s">
        <v>98</v>
      </c>
      <c r="B327" s="59" t="s">
        <v>412</v>
      </c>
      <c r="C327" s="60" t="n">
        <v>12796.49</v>
      </c>
      <c r="D327" s="59" t="n">
        <f aca="false">COUNTIFS($A$2:$A$1931,A327,$C$2:$C$1931,"&gt;"&amp;C327)+COUNTIFS($A$2:A327,A327,$C$2:C327,C327)</f>
        <v>1</v>
      </c>
      <c r="E327" s="59" t="str">
        <f aca="false">A327&amp;"|"&amp;D327</f>
        <v>BLR-Brookfield Network-2|1</v>
      </c>
    </row>
    <row r="328" customFormat="false" ht="15" hidden="false" customHeight="false" outlineLevel="0" collapsed="false">
      <c r="A328" s="59" t="s">
        <v>98</v>
      </c>
      <c r="B328" s="59" t="s">
        <v>410</v>
      </c>
      <c r="C328" s="60" t="n">
        <v>10145.15</v>
      </c>
      <c r="D328" s="59" t="n">
        <f aca="false">COUNTIFS($A$2:$A$1931,A328,$C$2:$C$1931,"&gt;"&amp;C328)+COUNTIFS($A$2:A328,A328,$C$2:C328,C328)</f>
        <v>2</v>
      </c>
      <c r="E328" s="59" t="str">
        <f aca="false">A328&amp;"|"&amp;D328</f>
        <v>BLR-Brookfield Network-2|2</v>
      </c>
    </row>
    <row r="329" customFormat="false" ht="15" hidden="false" customHeight="false" outlineLevel="0" collapsed="false">
      <c r="A329" s="59" t="s">
        <v>98</v>
      </c>
      <c r="B329" s="59" t="s">
        <v>431</v>
      </c>
      <c r="C329" s="60" t="n">
        <v>3813.12</v>
      </c>
      <c r="D329" s="59" t="n">
        <f aca="false">COUNTIFS($A$2:$A$1931,A329,$C$2:$C$1931,"&gt;"&amp;C329)+COUNTIFS($A$2:A329,A329,$C$2:C329,C329)</f>
        <v>3</v>
      </c>
      <c r="E329" s="59" t="str">
        <f aca="false">A329&amp;"|"&amp;D329</f>
        <v>BLR-Brookfield Network-2|3</v>
      </c>
    </row>
    <row r="330" customFormat="false" ht="15" hidden="false" customHeight="false" outlineLevel="0" collapsed="false">
      <c r="A330" s="59" t="s">
        <v>98</v>
      </c>
      <c r="B330" s="59" t="s">
        <v>418</v>
      </c>
      <c r="C330" s="60" t="n">
        <v>2527.33</v>
      </c>
      <c r="D330" s="59" t="n">
        <f aca="false">COUNTIFS($A$2:$A$1931,A330,$C$2:$C$1931,"&gt;"&amp;C330)+COUNTIFS($A$2:A330,A330,$C$2:C330,C330)</f>
        <v>4</v>
      </c>
      <c r="E330" s="59" t="str">
        <f aca="false">A330&amp;"|"&amp;D330</f>
        <v>BLR-Brookfield Network-2|4</v>
      </c>
    </row>
    <row r="331" customFormat="false" ht="15" hidden="false" customHeight="false" outlineLevel="0" collapsed="false">
      <c r="A331" s="59" t="s">
        <v>98</v>
      </c>
      <c r="B331" s="59" t="s">
        <v>424</v>
      </c>
      <c r="C331" s="60" t="n">
        <v>1935.67</v>
      </c>
      <c r="D331" s="59" t="n">
        <f aca="false">COUNTIFS($A$2:$A$1931,A331,$C$2:$C$1931,"&gt;"&amp;C331)+COUNTIFS($A$2:A331,A331,$C$2:C331,C331)</f>
        <v>5</v>
      </c>
      <c r="E331" s="59" t="str">
        <f aca="false">A331&amp;"|"&amp;D331</f>
        <v>BLR-Brookfield Network-2|5</v>
      </c>
    </row>
    <row r="332" customFormat="false" ht="15" hidden="false" customHeight="false" outlineLevel="0" collapsed="false">
      <c r="A332" s="59" t="s">
        <v>98</v>
      </c>
      <c r="B332" s="59" t="s">
        <v>409</v>
      </c>
      <c r="C332" s="60" t="n">
        <v>288.04</v>
      </c>
      <c r="D332" s="59" t="n">
        <f aca="false">COUNTIFS($A$2:$A$1931,A332,$C$2:$C$1931,"&gt;"&amp;C332)+COUNTIFS($A$2:A332,A332,$C$2:C332,C332)</f>
        <v>6</v>
      </c>
      <c r="E332" s="59" t="str">
        <f aca="false">A332&amp;"|"&amp;D332</f>
        <v>BLR-Brookfield Network-2|6</v>
      </c>
    </row>
    <row r="333" customFormat="false" ht="15" hidden="false" customHeight="false" outlineLevel="0" collapsed="false">
      <c r="A333" s="59" t="s">
        <v>98</v>
      </c>
      <c r="B333" s="59" t="s">
        <v>436</v>
      </c>
      <c r="C333" s="60" t="n">
        <v>201.14</v>
      </c>
      <c r="D333" s="59" t="n">
        <f aca="false">COUNTIFS($A$2:$A$1931,A333,$C$2:$C$1931,"&gt;"&amp;C333)+COUNTIFS($A$2:A333,A333,$C$2:C333,C333)</f>
        <v>7</v>
      </c>
      <c r="E333" s="59" t="str">
        <f aca="false">A333&amp;"|"&amp;D333</f>
        <v>BLR-Brookfield Network-2|7</v>
      </c>
    </row>
    <row r="334" customFormat="false" ht="15" hidden="false" customHeight="false" outlineLevel="0" collapsed="false">
      <c r="A334" s="59" t="s">
        <v>98</v>
      </c>
      <c r="B334" s="59" t="s">
        <v>423</v>
      </c>
      <c r="C334" s="60" t="n">
        <v>52.78</v>
      </c>
      <c r="D334" s="59" t="n">
        <f aca="false">COUNTIFS($A$2:$A$1931,A334,$C$2:$C$1931,"&gt;"&amp;C334)+COUNTIFS($A$2:A334,A334,$C$2:C334,C334)</f>
        <v>8</v>
      </c>
      <c r="E334" s="59" t="str">
        <f aca="false">A334&amp;"|"&amp;D334</f>
        <v>BLR-Brookfield Network-2|8</v>
      </c>
    </row>
    <row r="335" customFormat="false" ht="15" hidden="false" customHeight="false" outlineLevel="0" collapsed="false">
      <c r="A335" s="59" t="s">
        <v>98</v>
      </c>
      <c r="B335" s="59" t="s">
        <v>427</v>
      </c>
      <c r="C335" s="60" t="n">
        <v>34.51</v>
      </c>
      <c r="D335" s="59" t="n">
        <f aca="false">COUNTIFS($A$2:$A$1931,A335,$C$2:$C$1931,"&gt;"&amp;C335)+COUNTIFS($A$2:A335,A335,$C$2:C335,C335)</f>
        <v>9</v>
      </c>
      <c r="E335" s="59" t="str">
        <f aca="false">A335&amp;"|"&amp;D335</f>
        <v>BLR-Brookfield Network-2|9</v>
      </c>
    </row>
    <row r="336" customFormat="false" ht="15" hidden="false" customHeight="false" outlineLevel="0" collapsed="false">
      <c r="A336" s="59" t="s">
        <v>138</v>
      </c>
      <c r="B336" s="59" t="s">
        <v>431</v>
      </c>
      <c r="C336" s="60" t="n">
        <v>7540.38</v>
      </c>
      <c r="D336" s="59" t="n">
        <f aca="false">COUNTIFS($A$2:$A$1931,A336,$C$2:$C$1931,"&gt;"&amp;C336)+COUNTIFS($A$2:A336,A336,$C$2:C336,C336)</f>
        <v>1</v>
      </c>
      <c r="E336" s="59" t="str">
        <f aca="false">A336&amp;"|"&amp;D336</f>
        <v>BLR-Budigere Cross|1</v>
      </c>
    </row>
    <row r="337" customFormat="false" ht="15" hidden="false" customHeight="false" outlineLevel="0" collapsed="false">
      <c r="A337" s="59" t="s">
        <v>138</v>
      </c>
      <c r="B337" s="59" t="s">
        <v>412</v>
      </c>
      <c r="C337" s="60" t="n">
        <v>4000.88</v>
      </c>
      <c r="D337" s="59" t="n">
        <f aca="false">COUNTIFS($A$2:$A$1931,A337,$C$2:$C$1931,"&gt;"&amp;C337)+COUNTIFS($A$2:A337,A337,$C$2:C337,C337)</f>
        <v>2</v>
      </c>
      <c r="E337" s="59" t="str">
        <f aca="false">A337&amp;"|"&amp;D337</f>
        <v>BLR-Budigere Cross|2</v>
      </c>
    </row>
    <row r="338" customFormat="false" ht="15" hidden="false" customHeight="false" outlineLevel="0" collapsed="false">
      <c r="A338" s="59" t="s">
        <v>138</v>
      </c>
      <c r="B338" s="59" t="s">
        <v>413</v>
      </c>
      <c r="C338" s="60" t="n">
        <v>2379.63</v>
      </c>
      <c r="D338" s="59" t="n">
        <f aca="false">COUNTIFS($A$2:$A$1931,A338,$C$2:$C$1931,"&gt;"&amp;C338)+COUNTIFS($A$2:A338,A338,$C$2:C338,C338)</f>
        <v>3</v>
      </c>
      <c r="E338" s="59" t="str">
        <f aca="false">A338&amp;"|"&amp;D338</f>
        <v>BLR-Budigere Cross|3</v>
      </c>
    </row>
    <row r="339" customFormat="false" ht="15" hidden="false" customHeight="false" outlineLevel="0" collapsed="false">
      <c r="A339" s="59" t="s">
        <v>138</v>
      </c>
      <c r="B339" s="59" t="s">
        <v>415</v>
      </c>
      <c r="C339" s="60" t="n">
        <v>1185.2</v>
      </c>
      <c r="D339" s="59" t="n">
        <f aca="false">COUNTIFS($A$2:$A$1931,A339,$C$2:$C$1931,"&gt;"&amp;C339)+COUNTIFS($A$2:A339,A339,$C$2:C339,C339)</f>
        <v>4</v>
      </c>
      <c r="E339" s="59" t="str">
        <f aca="false">A339&amp;"|"&amp;D339</f>
        <v>BLR-Budigere Cross|4</v>
      </c>
    </row>
    <row r="340" customFormat="false" ht="15" hidden="false" customHeight="false" outlineLevel="0" collapsed="false">
      <c r="A340" s="59" t="s">
        <v>138</v>
      </c>
      <c r="B340" s="59" t="s">
        <v>424</v>
      </c>
      <c r="C340" s="60" t="n">
        <v>1062.03</v>
      </c>
      <c r="D340" s="59" t="n">
        <f aca="false">COUNTIFS($A$2:$A$1931,A340,$C$2:$C$1931,"&gt;"&amp;C340)+COUNTIFS($A$2:A340,A340,$C$2:C340,C340)</f>
        <v>5</v>
      </c>
      <c r="E340" s="59" t="str">
        <f aca="false">A340&amp;"|"&amp;D340</f>
        <v>BLR-Budigere Cross|5</v>
      </c>
    </row>
    <row r="341" customFormat="false" ht="15" hidden="false" customHeight="false" outlineLevel="0" collapsed="false">
      <c r="A341" s="59" t="s">
        <v>138</v>
      </c>
      <c r="B341" s="59" t="s">
        <v>417</v>
      </c>
      <c r="C341" s="60" t="n">
        <v>908.3</v>
      </c>
      <c r="D341" s="59" t="n">
        <f aca="false">COUNTIFS($A$2:$A$1931,A341,$C$2:$C$1931,"&gt;"&amp;C341)+COUNTIFS($A$2:A341,A341,$C$2:C341,C341)</f>
        <v>6</v>
      </c>
      <c r="E341" s="59" t="str">
        <f aca="false">A341&amp;"|"&amp;D341</f>
        <v>BLR-Budigere Cross|6</v>
      </c>
    </row>
    <row r="342" customFormat="false" ht="15" hidden="false" customHeight="false" outlineLevel="0" collapsed="false">
      <c r="A342" s="59" t="s">
        <v>138</v>
      </c>
      <c r="B342" s="59" t="s">
        <v>408</v>
      </c>
      <c r="C342" s="60" t="n">
        <v>598.68</v>
      </c>
      <c r="D342" s="59" t="n">
        <f aca="false">COUNTIFS($A$2:$A$1931,A342,$C$2:$C$1931,"&gt;"&amp;C342)+COUNTIFS($A$2:A342,A342,$C$2:C342,C342)</f>
        <v>7</v>
      </c>
      <c r="E342" s="59" t="str">
        <f aca="false">A342&amp;"|"&amp;D342</f>
        <v>BLR-Budigere Cross|7</v>
      </c>
    </row>
    <row r="343" customFormat="false" ht="15" hidden="false" customHeight="false" outlineLevel="0" collapsed="false">
      <c r="A343" s="59" t="s">
        <v>62</v>
      </c>
      <c r="B343" s="59" t="s">
        <v>431</v>
      </c>
      <c r="C343" s="60" t="n">
        <v>5680.28</v>
      </c>
      <c r="D343" s="59" t="n">
        <f aca="false">COUNTIFS($A$2:$A$1931,A343,$C$2:$C$1931,"&gt;"&amp;C343)+COUNTIFS($A$2:A343,A343,$C$2:C343,C343)</f>
        <v>1</v>
      </c>
      <c r="E343" s="59" t="str">
        <f aca="false">A343&amp;"|"&amp;D343</f>
        <v>BLR-CV RAMAN NAGAR NEW|1</v>
      </c>
    </row>
    <row r="344" customFormat="false" ht="15" hidden="false" customHeight="false" outlineLevel="0" collapsed="false">
      <c r="A344" s="59" t="s">
        <v>62</v>
      </c>
      <c r="B344" s="59" t="s">
        <v>412</v>
      </c>
      <c r="C344" s="60" t="n">
        <v>5675.61</v>
      </c>
      <c r="D344" s="59" t="n">
        <f aca="false">COUNTIFS($A$2:$A$1931,A344,$C$2:$C$1931,"&gt;"&amp;C344)+COUNTIFS($A$2:A344,A344,$C$2:C344,C344)</f>
        <v>2</v>
      </c>
      <c r="E344" s="59" t="str">
        <f aca="false">A344&amp;"|"&amp;D344</f>
        <v>BLR-CV RAMAN NAGAR NEW|2</v>
      </c>
    </row>
    <row r="345" customFormat="false" ht="15" hidden="false" customHeight="false" outlineLevel="0" collapsed="false">
      <c r="A345" s="59" t="s">
        <v>62</v>
      </c>
      <c r="B345" s="59" t="s">
        <v>438</v>
      </c>
      <c r="C345" s="60" t="n">
        <v>4411.21</v>
      </c>
      <c r="D345" s="59" t="n">
        <f aca="false">COUNTIFS($A$2:$A$1931,A345,$C$2:$C$1931,"&gt;"&amp;C345)+COUNTIFS($A$2:A345,A345,$C$2:C345,C345)</f>
        <v>3</v>
      </c>
      <c r="E345" s="59" t="str">
        <f aca="false">A345&amp;"|"&amp;D345</f>
        <v>BLR-CV RAMAN NAGAR NEW|3</v>
      </c>
    </row>
    <row r="346" customFormat="false" ht="15" hidden="false" customHeight="false" outlineLevel="0" collapsed="false">
      <c r="A346" s="59" t="s">
        <v>62</v>
      </c>
      <c r="B346" s="59" t="s">
        <v>410</v>
      </c>
      <c r="C346" s="60" t="n">
        <v>2464.64</v>
      </c>
      <c r="D346" s="59" t="n">
        <f aca="false">COUNTIFS($A$2:$A$1931,A346,$C$2:$C$1931,"&gt;"&amp;C346)+COUNTIFS($A$2:A346,A346,$C$2:C346,C346)</f>
        <v>4</v>
      </c>
      <c r="E346" s="59" t="str">
        <f aca="false">A346&amp;"|"&amp;D346</f>
        <v>BLR-CV RAMAN NAGAR NEW|4</v>
      </c>
    </row>
    <row r="347" customFormat="false" ht="15" hidden="false" customHeight="false" outlineLevel="0" collapsed="false">
      <c r="A347" s="59" t="s">
        <v>62</v>
      </c>
      <c r="B347" s="59" t="s">
        <v>418</v>
      </c>
      <c r="C347" s="60" t="n">
        <v>1522.99</v>
      </c>
      <c r="D347" s="59" t="n">
        <f aca="false">COUNTIFS($A$2:$A$1931,A347,$C$2:$C$1931,"&gt;"&amp;C347)+COUNTIFS($A$2:A347,A347,$C$2:C347,C347)</f>
        <v>5</v>
      </c>
      <c r="E347" s="59" t="str">
        <f aca="false">A347&amp;"|"&amp;D347</f>
        <v>BLR-CV RAMAN NAGAR NEW|5</v>
      </c>
    </row>
    <row r="348" customFormat="false" ht="15" hidden="false" customHeight="false" outlineLevel="0" collapsed="false">
      <c r="A348" s="59" t="s">
        <v>62</v>
      </c>
      <c r="B348" s="59" t="s">
        <v>427</v>
      </c>
      <c r="C348" s="60" t="n">
        <v>1471.36</v>
      </c>
      <c r="D348" s="59" t="n">
        <f aca="false">COUNTIFS($A$2:$A$1931,A348,$C$2:$C$1931,"&gt;"&amp;C348)+COUNTIFS($A$2:A348,A348,$C$2:C348,C348)</f>
        <v>6</v>
      </c>
      <c r="E348" s="59" t="str">
        <f aca="false">A348&amp;"|"&amp;D348</f>
        <v>BLR-CV RAMAN NAGAR NEW|6</v>
      </c>
    </row>
    <row r="349" customFormat="false" ht="15" hidden="false" customHeight="false" outlineLevel="0" collapsed="false">
      <c r="A349" s="59" t="s">
        <v>62</v>
      </c>
      <c r="B349" s="59" t="s">
        <v>409</v>
      </c>
      <c r="C349" s="60" t="n">
        <v>1331.5</v>
      </c>
      <c r="D349" s="59" t="n">
        <f aca="false">COUNTIFS($A$2:$A$1931,A349,$C$2:$C$1931,"&gt;"&amp;C349)+COUNTIFS($A$2:A349,A349,$C$2:C349,C349)</f>
        <v>7</v>
      </c>
      <c r="E349" s="59" t="str">
        <f aca="false">A349&amp;"|"&amp;D349</f>
        <v>BLR-CV RAMAN NAGAR NEW|7</v>
      </c>
    </row>
    <row r="350" customFormat="false" ht="15" hidden="false" customHeight="false" outlineLevel="0" collapsed="false">
      <c r="A350" s="59" t="s">
        <v>62</v>
      </c>
      <c r="B350" s="59" t="s">
        <v>415</v>
      </c>
      <c r="C350" s="60" t="n">
        <v>645.23</v>
      </c>
      <c r="D350" s="59" t="n">
        <f aca="false">COUNTIFS($A$2:$A$1931,A350,$C$2:$C$1931,"&gt;"&amp;C350)+COUNTIFS($A$2:A350,A350,$C$2:C350,C350)</f>
        <v>8</v>
      </c>
      <c r="E350" s="59" t="str">
        <f aca="false">A350&amp;"|"&amp;D350</f>
        <v>BLR-CV RAMAN NAGAR NEW|8</v>
      </c>
    </row>
    <row r="351" customFormat="false" ht="15" hidden="false" customHeight="false" outlineLevel="0" collapsed="false">
      <c r="A351" s="59" t="s">
        <v>62</v>
      </c>
      <c r="B351" s="59" t="s">
        <v>439</v>
      </c>
      <c r="C351" s="60" t="n">
        <v>297.9</v>
      </c>
      <c r="D351" s="59" t="n">
        <f aca="false">COUNTIFS($A$2:$A$1931,A351,$C$2:$C$1931,"&gt;"&amp;C351)+COUNTIFS($A$2:A351,A351,$C$2:C351,C351)</f>
        <v>9</v>
      </c>
      <c r="E351" s="59" t="str">
        <f aca="false">A351&amp;"|"&amp;D351</f>
        <v>BLR-CV RAMAN NAGAR NEW|9</v>
      </c>
    </row>
    <row r="352" customFormat="false" ht="15" hidden="false" customHeight="false" outlineLevel="0" collapsed="false">
      <c r="A352" s="59" t="s">
        <v>62</v>
      </c>
      <c r="B352" s="59" t="s">
        <v>423</v>
      </c>
      <c r="C352" s="60" t="n">
        <v>186.84</v>
      </c>
      <c r="D352" s="59" t="n">
        <f aca="false">COUNTIFS($A$2:$A$1931,A352,$C$2:$C$1931,"&gt;"&amp;C352)+COUNTIFS($A$2:A352,A352,$C$2:C352,C352)</f>
        <v>10</v>
      </c>
      <c r="E352" s="59" t="str">
        <f aca="false">A352&amp;"|"&amp;D352</f>
        <v>BLR-CV RAMAN NAGAR NEW|10</v>
      </c>
    </row>
    <row r="353" customFormat="false" ht="15" hidden="false" customHeight="false" outlineLevel="0" collapsed="false">
      <c r="A353" s="59" t="s">
        <v>62</v>
      </c>
      <c r="B353" s="59" t="s">
        <v>440</v>
      </c>
      <c r="C353" s="60" t="n">
        <v>24.96</v>
      </c>
      <c r="D353" s="59" t="n">
        <f aca="false">COUNTIFS($A$2:$A$1931,A353,$C$2:$C$1931,"&gt;"&amp;C353)+COUNTIFS($A$2:A353,A353,$C$2:C353,C353)</f>
        <v>11</v>
      </c>
      <c r="E353" s="59" t="str">
        <f aca="false">A353&amp;"|"&amp;D353</f>
        <v>BLR-CV RAMAN NAGAR NEW|11</v>
      </c>
    </row>
    <row r="354" customFormat="false" ht="15" hidden="false" customHeight="false" outlineLevel="0" collapsed="false">
      <c r="A354" s="59" t="s">
        <v>260</v>
      </c>
      <c r="B354" s="59" t="s">
        <v>418</v>
      </c>
      <c r="C354" s="60" t="n">
        <v>1975.16</v>
      </c>
      <c r="D354" s="59" t="n">
        <f aca="false">COUNTIFS($A$2:$A$1931,A354,$C$2:$C$1931,"&gt;"&amp;C354)+COUNTIFS($A$2:A354,A354,$C$2:C354,C354)</f>
        <v>1</v>
      </c>
      <c r="E354" s="59" t="str">
        <f aca="false">A354&amp;"|"&amp;D354</f>
        <v>BLR-CV Raman Nagar Network|1</v>
      </c>
    </row>
    <row r="355" customFormat="false" ht="15" hidden="false" customHeight="false" outlineLevel="0" collapsed="false">
      <c r="A355" s="59" t="s">
        <v>260</v>
      </c>
      <c r="B355" s="59" t="s">
        <v>408</v>
      </c>
      <c r="C355" s="60" t="n">
        <v>1493.45</v>
      </c>
      <c r="D355" s="59" t="n">
        <f aca="false">COUNTIFS($A$2:$A$1931,A355,$C$2:$C$1931,"&gt;"&amp;C355)+COUNTIFS($A$2:A355,A355,$C$2:C355,C355)</f>
        <v>2</v>
      </c>
      <c r="E355" s="59" t="str">
        <f aca="false">A355&amp;"|"&amp;D355</f>
        <v>BLR-CV Raman Nagar Network|2</v>
      </c>
    </row>
    <row r="356" customFormat="false" ht="15" hidden="false" customHeight="false" outlineLevel="0" collapsed="false">
      <c r="A356" s="59" t="s">
        <v>260</v>
      </c>
      <c r="B356" s="59" t="s">
        <v>410</v>
      </c>
      <c r="C356" s="60" t="n">
        <v>1068.51</v>
      </c>
      <c r="D356" s="59" t="n">
        <f aca="false">COUNTIFS($A$2:$A$1931,A356,$C$2:$C$1931,"&gt;"&amp;C356)+COUNTIFS($A$2:A356,A356,$C$2:C356,C356)</f>
        <v>3</v>
      </c>
      <c r="E356" s="59" t="str">
        <f aca="false">A356&amp;"|"&amp;D356</f>
        <v>BLR-CV Raman Nagar Network|3</v>
      </c>
    </row>
    <row r="357" customFormat="false" ht="15" hidden="false" customHeight="false" outlineLevel="0" collapsed="false">
      <c r="A357" s="59" t="s">
        <v>260</v>
      </c>
      <c r="B357" s="59" t="s">
        <v>413</v>
      </c>
      <c r="C357" s="60" t="n">
        <v>910.07</v>
      </c>
      <c r="D357" s="59" t="n">
        <f aca="false">COUNTIFS($A$2:$A$1931,A357,$C$2:$C$1931,"&gt;"&amp;C357)+COUNTIFS($A$2:A357,A357,$C$2:C357,C357)</f>
        <v>4</v>
      </c>
      <c r="E357" s="59" t="str">
        <f aca="false">A357&amp;"|"&amp;D357</f>
        <v>BLR-CV Raman Nagar Network|4</v>
      </c>
    </row>
    <row r="358" customFormat="false" ht="15" hidden="false" customHeight="false" outlineLevel="0" collapsed="false">
      <c r="A358" s="59" t="s">
        <v>260</v>
      </c>
      <c r="B358" s="59" t="s">
        <v>412</v>
      </c>
      <c r="C358" s="60" t="n">
        <v>572.6</v>
      </c>
      <c r="D358" s="59" t="n">
        <f aca="false">COUNTIFS($A$2:$A$1931,A358,$C$2:$C$1931,"&gt;"&amp;C358)+COUNTIFS($A$2:A358,A358,$C$2:C358,C358)</f>
        <v>5</v>
      </c>
      <c r="E358" s="59" t="str">
        <f aca="false">A358&amp;"|"&amp;D358</f>
        <v>BLR-CV Raman Nagar Network|5</v>
      </c>
    </row>
    <row r="359" customFormat="false" ht="15" hidden="false" customHeight="false" outlineLevel="0" collapsed="false">
      <c r="A359" s="59" t="s">
        <v>260</v>
      </c>
      <c r="B359" s="59" t="s">
        <v>423</v>
      </c>
      <c r="C359" s="60" t="n">
        <v>468.35</v>
      </c>
      <c r="D359" s="59" t="n">
        <f aca="false">COUNTIFS($A$2:$A$1931,A359,$C$2:$C$1931,"&gt;"&amp;C359)+COUNTIFS($A$2:A359,A359,$C$2:C359,C359)</f>
        <v>6</v>
      </c>
      <c r="E359" s="59" t="str">
        <f aca="false">A359&amp;"|"&amp;D359</f>
        <v>BLR-CV Raman Nagar Network|6</v>
      </c>
    </row>
    <row r="360" customFormat="false" ht="15" hidden="false" customHeight="false" outlineLevel="0" collapsed="false">
      <c r="A360" s="59" t="s">
        <v>260</v>
      </c>
      <c r="B360" s="59" t="s">
        <v>437</v>
      </c>
      <c r="C360" s="60" t="n">
        <v>408.43</v>
      </c>
      <c r="D360" s="59" t="n">
        <f aca="false">COUNTIFS($A$2:$A$1931,A360,$C$2:$C$1931,"&gt;"&amp;C360)+COUNTIFS($A$2:A360,A360,$C$2:C360,C360)</f>
        <v>7</v>
      </c>
      <c r="E360" s="59" t="str">
        <f aca="false">A360&amp;"|"&amp;D360</f>
        <v>BLR-CV Raman Nagar Network|7</v>
      </c>
    </row>
    <row r="361" customFormat="false" ht="15" hidden="false" customHeight="false" outlineLevel="0" collapsed="false">
      <c r="A361" s="59" t="s">
        <v>260</v>
      </c>
      <c r="B361" s="59" t="s">
        <v>417</v>
      </c>
      <c r="C361" s="60" t="n">
        <v>396.85</v>
      </c>
      <c r="D361" s="59" t="n">
        <f aca="false">COUNTIFS($A$2:$A$1931,A361,$C$2:$C$1931,"&gt;"&amp;C361)+COUNTIFS($A$2:A361,A361,$C$2:C361,C361)</f>
        <v>8</v>
      </c>
      <c r="E361" s="59" t="str">
        <f aca="false">A361&amp;"|"&amp;D361</f>
        <v>BLR-CV Raman Nagar Network|8</v>
      </c>
    </row>
    <row r="362" customFormat="false" ht="15" hidden="false" customHeight="false" outlineLevel="0" collapsed="false">
      <c r="A362" s="59" t="s">
        <v>260</v>
      </c>
      <c r="B362" s="59" t="s">
        <v>409</v>
      </c>
      <c r="C362" s="60" t="n">
        <v>43.71</v>
      </c>
      <c r="D362" s="59" t="n">
        <f aca="false">COUNTIFS($A$2:$A$1931,A362,$C$2:$C$1931,"&gt;"&amp;C362)+COUNTIFS($A$2:A362,A362,$C$2:C362,C362)</f>
        <v>9</v>
      </c>
      <c r="E362" s="59" t="str">
        <f aca="false">A362&amp;"|"&amp;D362</f>
        <v>BLR-CV Raman Nagar Network|9</v>
      </c>
    </row>
    <row r="363" customFormat="false" ht="15" hidden="false" customHeight="false" outlineLevel="0" collapsed="false">
      <c r="A363" s="59" t="s">
        <v>87</v>
      </c>
      <c r="B363" s="59" t="s">
        <v>408</v>
      </c>
      <c r="C363" s="60" t="n">
        <v>13584.6</v>
      </c>
      <c r="D363" s="59" t="n">
        <f aca="false">COUNTIFS($A$2:$A$1931,A363,$C$2:$C$1931,"&gt;"&amp;C363)+COUNTIFS($A$2:A363,A363,$C$2:C363,C363)</f>
        <v>1</v>
      </c>
      <c r="E363" s="59" t="str">
        <f aca="false">A363&amp;"|"&amp;D363</f>
        <v>BLR-CV Raman Nagar Network-2|1</v>
      </c>
    </row>
    <row r="364" customFormat="false" ht="15" hidden="false" customHeight="false" outlineLevel="0" collapsed="false">
      <c r="A364" s="59" t="s">
        <v>87</v>
      </c>
      <c r="B364" s="59" t="s">
        <v>410</v>
      </c>
      <c r="C364" s="60" t="n">
        <v>6497.21</v>
      </c>
      <c r="D364" s="59" t="n">
        <f aca="false">COUNTIFS($A$2:$A$1931,A364,$C$2:$C$1931,"&gt;"&amp;C364)+COUNTIFS($A$2:A364,A364,$C$2:C364,C364)</f>
        <v>2</v>
      </c>
      <c r="E364" s="59" t="str">
        <f aca="false">A364&amp;"|"&amp;D364</f>
        <v>BLR-CV Raman Nagar Network-2|2</v>
      </c>
    </row>
    <row r="365" customFormat="false" ht="15" hidden="false" customHeight="false" outlineLevel="0" collapsed="false">
      <c r="A365" s="59" t="s">
        <v>87</v>
      </c>
      <c r="B365" s="59" t="s">
        <v>413</v>
      </c>
      <c r="C365" s="60" t="n">
        <v>4756.27</v>
      </c>
      <c r="D365" s="59" t="n">
        <f aca="false">COUNTIFS($A$2:$A$1931,A365,$C$2:$C$1931,"&gt;"&amp;C365)+COUNTIFS($A$2:A365,A365,$C$2:C365,C365)</f>
        <v>3</v>
      </c>
      <c r="E365" s="59" t="str">
        <f aca="false">A365&amp;"|"&amp;D365</f>
        <v>BLR-CV Raman Nagar Network-2|3</v>
      </c>
    </row>
    <row r="366" customFormat="false" ht="15" hidden="false" customHeight="false" outlineLevel="0" collapsed="false">
      <c r="A366" s="59" t="s">
        <v>87</v>
      </c>
      <c r="B366" s="59" t="s">
        <v>417</v>
      </c>
      <c r="C366" s="60" t="n">
        <v>3132.23</v>
      </c>
      <c r="D366" s="59" t="n">
        <f aca="false">COUNTIFS($A$2:$A$1931,A366,$C$2:$C$1931,"&gt;"&amp;C366)+COUNTIFS($A$2:A366,A366,$C$2:C366,C366)</f>
        <v>4</v>
      </c>
      <c r="E366" s="59" t="str">
        <f aca="false">A366&amp;"|"&amp;D366</f>
        <v>BLR-CV Raman Nagar Network-2|4</v>
      </c>
    </row>
    <row r="367" customFormat="false" ht="15" hidden="false" customHeight="false" outlineLevel="0" collapsed="false">
      <c r="A367" s="59" t="s">
        <v>87</v>
      </c>
      <c r="B367" s="59" t="s">
        <v>415</v>
      </c>
      <c r="C367" s="60" t="n">
        <v>1017.15</v>
      </c>
      <c r="D367" s="59" t="n">
        <f aca="false">COUNTIFS($A$2:$A$1931,A367,$C$2:$C$1931,"&gt;"&amp;C367)+COUNTIFS($A$2:A367,A367,$C$2:C367,C367)</f>
        <v>5</v>
      </c>
      <c r="E367" s="59" t="str">
        <f aca="false">A367&amp;"|"&amp;D367</f>
        <v>BLR-CV Raman Nagar Network-2|5</v>
      </c>
    </row>
    <row r="368" customFormat="false" ht="15" hidden="false" customHeight="false" outlineLevel="0" collapsed="false">
      <c r="A368" s="59" t="s">
        <v>87</v>
      </c>
      <c r="B368" s="59" t="s">
        <v>423</v>
      </c>
      <c r="C368" s="60" t="n">
        <v>306.32</v>
      </c>
      <c r="D368" s="59" t="n">
        <f aca="false">COUNTIFS($A$2:$A$1931,A368,$C$2:$C$1931,"&gt;"&amp;C368)+COUNTIFS($A$2:A368,A368,$C$2:C368,C368)</f>
        <v>6</v>
      </c>
      <c r="E368" s="59" t="str">
        <f aca="false">A368&amp;"|"&amp;D368</f>
        <v>BLR-CV Raman Nagar Network-2|6</v>
      </c>
    </row>
    <row r="369" customFormat="false" ht="15" hidden="false" customHeight="false" outlineLevel="0" collapsed="false">
      <c r="A369" s="59" t="s">
        <v>218</v>
      </c>
      <c r="B369" s="59" t="s">
        <v>411</v>
      </c>
      <c r="C369" s="60" t="n">
        <v>661.62</v>
      </c>
      <c r="D369" s="59" t="n">
        <f aca="false">COUNTIFS($A$2:$A$1931,A369,$C$2:$C$1931,"&gt;"&amp;C369)+COUNTIFS($A$2:A369,A369,$C$2:C369,C369)</f>
        <v>1</v>
      </c>
      <c r="E369" s="59" t="str">
        <f aca="false">A369&amp;"|"&amp;D369</f>
        <v>BLR-CV Raman Nagar SS|1</v>
      </c>
    </row>
    <row r="370" customFormat="false" ht="15" hidden="false" customHeight="false" outlineLevel="0" collapsed="false">
      <c r="A370" s="59" t="s">
        <v>218</v>
      </c>
      <c r="B370" s="59" t="s">
        <v>415</v>
      </c>
      <c r="C370" s="60" t="n">
        <v>396.69</v>
      </c>
      <c r="D370" s="59" t="n">
        <f aca="false">COUNTIFS($A$2:$A$1931,A370,$C$2:$C$1931,"&gt;"&amp;C370)+COUNTIFS($A$2:A370,A370,$C$2:C370,C370)</f>
        <v>2</v>
      </c>
      <c r="E370" s="59" t="str">
        <f aca="false">A370&amp;"|"&amp;D370</f>
        <v>BLR-CV Raman Nagar SS|2</v>
      </c>
    </row>
    <row r="371" customFormat="false" ht="15" hidden="false" customHeight="false" outlineLevel="0" collapsed="false">
      <c r="A371" s="59" t="s">
        <v>218</v>
      </c>
      <c r="B371" s="59" t="s">
        <v>424</v>
      </c>
      <c r="C371" s="60" t="n">
        <v>388.28</v>
      </c>
      <c r="D371" s="59" t="n">
        <f aca="false">COUNTIFS($A$2:$A$1931,A371,$C$2:$C$1931,"&gt;"&amp;C371)+COUNTIFS($A$2:A371,A371,$C$2:C371,C371)</f>
        <v>3</v>
      </c>
      <c r="E371" s="59" t="str">
        <f aca="false">A371&amp;"|"&amp;D371</f>
        <v>BLR-CV Raman Nagar SS|3</v>
      </c>
    </row>
    <row r="372" customFormat="false" ht="15" hidden="false" customHeight="false" outlineLevel="0" collapsed="false">
      <c r="A372" s="59" t="s">
        <v>218</v>
      </c>
      <c r="B372" s="59" t="s">
        <v>441</v>
      </c>
      <c r="C372" s="60" t="n">
        <v>355.03</v>
      </c>
      <c r="D372" s="59" t="n">
        <f aca="false">COUNTIFS($A$2:$A$1931,A372,$C$2:$C$1931,"&gt;"&amp;C372)+COUNTIFS($A$2:A372,A372,$C$2:C372,C372)</f>
        <v>4</v>
      </c>
      <c r="E372" s="59" t="str">
        <f aca="false">A372&amp;"|"&amp;D372</f>
        <v>BLR-CV Raman Nagar SS|4</v>
      </c>
    </row>
    <row r="373" customFormat="false" ht="15" hidden="false" customHeight="false" outlineLevel="0" collapsed="false">
      <c r="A373" s="59" t="s">
        <v>218</v>
      </c>
      <c r="B373" s="59" t="s">
        <v>442</v>
      </c>
      <c r="C373" s="60" t="n">
        <v>284.52</v>
      </c>
      <c r="D373" s="59" t="n">
        <f aca="false">COUNTIFS($A$2:$A$1931,A373,$C$2:$C$1931,"&gt;"&amp;C373)+COUNTIFS($A$2:A373,A373,$C$2:C373,C373)</f>
        <v>5</v>
      </c>
      <c r="E373" s="59" t="str">
        <f aca="false">A373&amp;"|"&amp;D373</f>
        <v>BLR-CV Raman Nagar SS|5</v>
      </c>
    </row>
    <row r="374" customFormat="false" ht="15" hidden="false" customHeight="false" outlineLevel="0" collapsed="false">
      <c r="A374" s="59" t="s">
        <v>218</v>
      </c>
      <c r="B374" s="59" t="s">
        <v>429</v>
      </c>
      <c r="C374" s="60" t="n">
        <v>216.07</v>
      </c>
      <c r="D374" s="59" t="n">
        <f aca="false">COUNTIFS($A$2:$A$1931,A374,$C$2:$C$1931,"&gt;"&amp;C374)+COUNTIFS($A$2:A374,A374,$C$2:C374,C374)</f>
        <v>6</v>
      </c>
      <c r="E374" s="59" t="str">
        <f aca="false">A374&amp;"|"&amp;D374</f>
        <v>BLR-CV Raman Nagar SS|6</v>
      </c>
    </row>
    <row r="375" customFormat="false" ht="15" hidden="false" customHeight="false" outlineLevel="0" collapsed="false">
      <c r="A375" s="59" t="s">
        <v>218</v>
      </c>
      <c r="B375" s="59" t="s">
        <v>420</v>
      </c>
      <c r="C375" s="60" t="n">
        <v>200.05</v>
      </c>
      <c r="D375" s="59" t="n">
        <f aca="false">COUNTIFS($A$2:$A$1931,A375,$C$2:$C$1931,"&gt;"&amp;C375)+COUNTIFS($A$2:A375,A375,$C$2:C375,C375)</f>
        <v>7</v>
      </c>
      <c r="E375" s="59" t="str">
        <f aca="false">A375&amp;"|"&amp;D375</f>
        <v>BLR-CV Raman Nagar SS|7</v>
      </c>
    </row>
    <row r="376" customFormat="false" ht="15" hidden="false" customHeight="false" outlineLevel="0" collapsed="false">
      <c r="A376" s="59" t="s">
        <v>218</v>
      </c>
      <c r="B376" s="59" t="s">
        <v>410</v>
      </c>
      <c r="C376" s="60" t="n">
        <v>174.96</v>
      </c>
      <c r="D376" s="59" t="n">
        <f aca="false">COUNTIFS($A$2:$A$1931,A376,$C$2:$C$1931,"&gt;"&amp;C376)+COUNTIFS($A$2:A376,A376,$C$2:C376,C376)</f>
        <v>8</v>
      </c>
      <c r="E376" s="59" t="str">
        <f aca="false">A376&amp;"|"&amp;D376</f>
        <v>BLR-CV Raman Nagar SS|8</v>
      </c>
    </row>
    <row r="377" customFormat="false" ht="15" hidden="false" customHeight="false" outlineLevel="0" collapsed="false">
      <c r="A377" s="59" t="s">
        <v>218</v>
      </c>
      <c r="B377" s="59" t="s">
        <v>435</v>
      </c>
      <c r="C377" s="60" t="n">
        <v>158.22</v>
      </c>
      <c r="D377" s="59" t="n">
        <f aca="false">COUNTIFS($A$2:$A$1931,A377,$C$2:$C$1931,"&gt;"&amp;C377)+COUNTIFS($A$2:A377,A377,$C$2:C377,C377)</f>
        <v>9</v>
      </c>
      <c r="E377" s="59" t="str">
        <f aca="false">A377&amp;"|"&amp;D377</f>
        <v>BLR-CV Raman Nagar SS|9</v>
      </c>
    </row>
    <row r="378" customFormat="false" ht="15" hidden="false" customHeight="false" outlineLevel="0" collapsed="false">
      <c r="A378" s="59" t="s">
        <v>218</v>
      </c>
      <c r="B378" s="59" t="s">
        <v>443</v>
      </c>
      <c r="C378" s="60" t="n">
        <v>23</v>
      </c>
      <c r="D378" s="59" t="n">
        <f aca="false">COUNTIFS($A$2:$A$1931,A378,$C$2:$C$1931,"&gt;"&amp;C378)+COUNTIFS($A$2:A378,A378,$C$2:C378,C378)</f>
        <v>10</v>
      </c>
      <c r="E378" s="59" t="str">
        <f aca="false">A378&amp;"|"&amp;D378</f>
        <v>BLR-CV Raman Nagar SS|10</v>
      </c>
    </row>
    <row r="379" customFormat="false" ht="15" hidden="false" customHeight="false" outlineLevel="0" collapsed="false">
      <c r="A379" s="59" t="s">
        <v>218</v>
      </c>
      <c r="B379" s="59" t="s">
        <v>421</v>
      </c>
      <c r="C379" s="60" t="n">
        <v>5.19</v>
      </c>
      <c r="D379" s="59" t="n">
        <f aca="false">COUNTIFS($A$2:$A$1931,A379,$C$2:$C$1931,"&gt;"&amp;C379)+COUNTIFS($A$2:A379,A379,$C$2:C379,C379)</f>
        <v>11</v>
      </c>
      <c r="E379" s="59" t="str">
        <f aca="false">A379&amp;"|"&amp;D379</f>
        <v>BLR-CV Raman Nagar SS|11</v>
      </c>
    </row>
    <row r="380" customFormat="false" ht="15" hidden="false" customHeight="false" outlineLevel="0" collapsed="false">
      <c r="A380" s="59" t="s">
        <v>190</v>
      </c>
      <c r="B380" s="59" t="s">
        <v>426</v>
      </c>
      <c r="C380" s="60" t="n">
        <v>1453.93</v>
      </c>
      <c r="D380" s="59" t="n">
        <f aca="false">COUNTIFS($A$2:$A$1931,A380,$C$2:$C$1931,"&gt;"&amp;C380)+COUNTIFS($A$2:A380,A380,$C$2:C380,C380)</f>
        <v>1</v>
      </c>
      <c r="E380" s="59" t="str">
        <f aca="false">A380&amp;"|"&amp;D380</f>
        <v>BLR-Carmelaram|1</v>
      </c>
    </row>
    <row r="381" customFormat="false" ht="15" hidden="false" customHeight="false" outlineLevel="0" collapsed="false">
      <c r="A381" s="59" t="s">
        <v>190</v>
      </c>
      <c r="B381" s="59" t="s">
        <v>417</v>
      </c>
      <c r="C381" s="60" t="n">
        <v>1280.98</v>
      </c>
      <c r="D381" s="59" t="n">
        <f aca="false">COUNTIFS($A$2:$A$1931,A381,$C$2:$C$1931,"&gt;"&amp;C381)+COUNTIFS($A$2:A381,A381,$C$2:C381,C381)</f>
        <v>2</v>
      </c>
      <c r="E381" s="59" t="str">
        <f aca="false">A381&amp;"|"&amp;D381</f>
        <v>BLR-Carmelaram|2</v>
      </c>
    </row>
    <row r="382" customFormat="false" ht="15" hidden="false" customHeight="false" outlineLevel="0" collapsed="false">
      <c r="A382" s="59" t="s">
        <v>190</v>
      </c>
      <c r="B382" s="59" t="s">
        <v>419</v>
      </c>
      <c r="C382" s="60" t="n">
        <v>1171.08</v>
      </c>
      <c r="D382" s="59" t="n">
        <f aca="false">COUNTIFS($A$2:$A$1931,A382,$C$2:$C$1931,"&gt;"&amp;C382)+COUNTIFS($A$2:A382,A382,$C$2:C382,C382)</f>
        <v>3</v>
      </c>
      <c r="E382" s="59" t="str">
        <f aca="false">A382&amp;"|"&amp;D382</f>
        <v>BLR-Carmelaram|3</v>
      </c>
    </row>
    <row r="383" customFormat="false" ht="15" hidden="false" customHeight="false" outlineLevel="0" collapsed="false">
      <c r="A383" s="59" t="s">
        <v>190</v>
      </c>
      <c r="B383" s="59" t="s">
        <v>412</v>
      </c>
      <c r="C383" s="60" t="n">
        <v>1162.05</v>
      </c>
      <c r="D383" s="59" t="n">
        <f aca="false">COUNTIFS($A$2:$A$1931,A383,$C$2:$C$1931,"&gt;"&amp;C383)+COUNTIFS($A$2:A383,A383,$C$2:C383,C383)</f>
        <v>4</v>
      </c>
      <c r="E383" s="59" t="str">
        <f aca="false">A383&amp;"|"&amp;D383</f>
        <v>BLR-Carmelaram|4</v>
      </c>
    </row>
    <row r="384" customFormat="false" ht="15" hidden="false" customHeight="false" outlineLevel="0" collapsed="false">
      <c r="A384" s="59" t="s">
        <v>190</v>
      </c>
      <c r="B384" s="59" t="s">
        <v>418</v>
      </c>
      <c r="C384" s="60" t="n">
        <v>748.83</v>
      </c>
      <c r="D384" s="59" t="n">
        <f aca="false">COUNTIFS($A$2:$A$1931,A384,$C$2:$C$1931,"&gt;"&amp;C384)+COUNTIFS($A$2:A384,A384,$C$2:C384,C384)</f>
        <v>5</v>
      </c>
      <c r="E384" s="59" t="str">
        <f aca="false">A384&amp;"|"&amp;D384</f>
        <v>BLR-Carmelaram|5</v>
      </c>
    </row>
    <row r="385" customFormat="false" ht="15" hidden="false" customHeight="false" outlineLevel="0" collapsed="false">
      <c r="A385" s="59" t="s">
        <v>190</v>
      </c>
      <c r="B385" s="59" t="s">
        <v>409</v>
      </c>
      <c r="C385" s="60" t="n">
        <v>579.99</v>
      </c>
      <c r="D385" s="59" t="n">
        <f aca="false">COUNTIFS($A$2:$A$1931,A385,$C$2:$C$1931,"&gt;"&amp;C385)+COUNTIFS($A$2:A385,A385,$C$2:C385,C385)</f>
        <v>6</v>
      </c>
      <c r="E385" s="59" t="str">
        <f aca="false">A385&amp;"|"&amp;D385</f>
        <v>BLR-Carmelaram|6</v>
      </c>
    </row>
    <row r="386" customFormat="false" ht="15" hidden="false" customHeight="false" outlineLevel="0" collapsed="false">
      <c r="A386" s="59" t="s">
        <v>190</v>
      </c>
      <c r="B386" s="59" t="s">
        <v>408</v>
      </c>
      <c r="C386" s="60" t="n">
        <v>525.05</v>
      </c>
      <c r="D386" s="59" t="n">
        <f aca="false">COUNTIFS($A$2:$A$1931,A386,$C$2:$C$1931,"&gt;"&amp;C386)+COUNTIFS($A$2:A386,A386,$C$2:C386,C386)</f>
        <v>7</v>
      </c>
      <c r="E386" s="59" t="str">
        <f aca="false">A386&amp;"|"&amp;D386</f>
        <v>BLR-Carmelaram|7</v>
      </c>
    </row>
    <row r="387" customFormat="false" ht="15" hidden="false" customHeight="false" outlineLevel="0" collapsed="false">
      <c r="A387" s="59" t="s">
        <v>190</v>
      </c>
      <c r="B387" s="59" t="s">
        <v>431</v>
      </c>
      <c r="C387" s="60" t="n">
        <v>499.93</v>
      </c>
      <c r="D387" s="59" t="n">
        <f aca="false">COUNTIFS($A$2:$A$1931,A387,$C$2:$C$1931,"&gt;"&amp;C387)+COUNTIFS($A$2:A387,A387,$C$2:C387,C387)</f>
        <v>8</v>
      </c>
      <c r="E387" s="59" t="str">
        <f aca="false">A387&amp;"|"&amp;D387</f>
        <v>BLR-Carmelaram|8</v>
      </c>
    </row>
    <row r="388" customFormat="false" ht="15" hidden="false" customHeight="false" outlineLevel="0" collapsed="false">
      <c r="A388" s="59" t="s">
        <v>39</v>
      </c>
      <c r="B388" s="59" t="s">
        <v>409</v>
      </c>
      <c r="C388" s="60" t="n">
        <v>12908.69</v>
      </c>
      <c r="D388" s="59" t="n">
        <f aca="false">COUNTIFS($A$2:$A$1931,A388,$C$2:$C$1931,"&gt;"&amp;C388)+COUNTIFS($A$2:A388,A388,$C$2:C388,C388)</f>
        <v>1</v>
      </c>
      <c r="E388" s="59" t="str">
        <f aca="false">A388&amp;"|"&amp;D388</f>
        <v>BLR-Challakere|1</v>
      </c>
    </row>
    <row r="389" customFormat="false" ht="15" hidden="false" customHeight="false" outlineLevel="0" collapsed="false">
      <c r="A389" s="59" t="s">
        <v>39</v>
      </c>
      <c r="B389" s="59" t="s">
        <v>420</v>
      </c>
      <c r="C389" s="60" t="n">
        <v>7572.99</v>
      </c>
      <c r="D389" s="59" t="n">
        <f aca="false">COUNTIFS($A$2:$A$1931,A389,$C$2:$C$1931,"&gt;"&amp;C389)+COUNTIFS($A$2:A389,A389,$C$2:C389,C389)</f>
        <v>2</v>
      </c>
      <c r="E389" s="59" t="str">
        <f aca="false">A389&amp;"|"&amp;D389</f>
        <v>BLR-Challakere|2</v>
      </c>
    </row>
    <row r="390" customFormat="false" ht="15" hidden="false" customHeight="false" outlineLevel="0" collapsed="false">
      <c r="A390" s="59" t="s">
        <v>39</v>
      </c>
      <c r="B390" s="59" t="s">
        <v>410</v>
      </c>
      <c r="C390" s="60" t="n">
        <v>3232.81</v>
      </c>
      <c r="D390" s="59" t="n">
        <f aca="false">COUNTIFS($A$2:$A$1931,A390,$C$2:$C$1931,"&gt;"&amp;C390)+COUNTIFS($A$2:A390,A390,$C$2:C390,C390)</f>
        <v>3</v>
      </c>
      <c r="E390" s="59" t="str">
        <f aca="false">A390&amp;"|"&amp;D390</f>
        <v>BLR-Challakere|3</v>
      </c>
    </row>
    <row r="391" customFormat="false" ht="15" hidden="false" customHeight="false" outlineLevel="0" collapsed="false">
      <c r="A391" s="59" t="s">
        <v>39</v>
      </c>
      <c r="B391" s="59" t="s">
        <v>424</v>
      </c>
      <c r="C391" s="60" t="n">
        <v>1533.2</v>
      </c>
      <c r="D391" s="59" t="n">
        <f aca="false">COUNTIFS($A$2:$A$1931,A391,$C$2:$C$1931,"&gt;"&amp;C391)+COUNTIFS($A$2:A391,A391,$C$2:C391,C391)</f>
        <v>4</v>
      </c>
      <c r="E391" s="59" t="str">
        <f aca="false">A391&amp;"|"&amp;D391</f>
        <v>BLR-Challakere|4</v>
      </c>
    </row>
    <row r="392" customFormat="false" ht="15" hidden="false" customHeight="false" outlineLevel="0" collapsed="false">
      <c r="A392" s="59" t="s">
        <v>39</v>
      </c>
      <c r="B392" s="59" t="s">
        <v>417</v>
      </c>
      <c r="C392" s="60" t="n">
        <v>1525.7</v>
      </c>
      <c r="D392" s="59" t="n">
        <f aca="false">COUNTIFS($A$2:$A$1931,A392,$C$2:$C$1931,"&gt;"&amp;C392)+COUNTIFS($A$2:A392,A392,$C$2:C392,C392)</f>
        <v>5</v>
      </c>
      <c r="E392" s="59" t="str">
        <f aca="false">A392&amp;"|"&amp;D392</f>
        <v>BLR-Challakere|5</v>
      </c>
    </row>
    <row r="393" customFormat="false" ht="15" hidden="false" customHeight="false" outlineLevel="0" collapsed="false">
      <c r="A393" s="59" t="s">
        <v>39</v>
      </c>
      <c r="B393" s="59" t="s">
        <v>412</v>
      </c>
      <c r="C393" s="60" t="n">
        <v>1169.9</v>
      </c>
      <c r="D393" s="59" t="n">
        <f aca="false">COUNTIFS($A$2:$A$1931,A393,$C$2:$C$1931,"&gt;"&amp;C393)+COUNTIFS($A$2:A393,A393,$C$2:C393,C393)</f>
        <v>6</v>
      </c>
      <c r="E393" s="59" t="str">
        <f aca="false">A393&amp;"|"&amp;D393</f>
        <v>BLR-Challakere|6</v>
      </c>
    </row>
    <row r="394" customFormat="false" ht="15" hidden="false" customHeight="false" outlineLevel="0" collapsed="false">
      <c r="A394" s="59" t="s">
        <v>39</v>
      </c>
      <c r="B394" s="59" t="s">
        <v>413</v>
      </c>
      <c r="C394" s="60" t="n">
        <v>995.65</v>
      </c>
      <c r="D394" s="59" t="n">
        <f aca="false">COUNTIFS($A$2:$A$1931,A394,$C$2:$C$1931,"&gt;"&amp;C394)+COUNTIFS($A$2:A394,A394,$C$2:C394,C394)</f>
        <v>7</v>
      </c>
      <c r="E394" s="59" t="str">
        <f aca="false">A394&amp;"|"&amp;D394</f>
        <v>BLR-Challakere|7</v>
      </c>
    </row>
    <row r="395" customFormat="false" ht="15" hidden="false" customHeight="false" outlineLevel="0" collapsed="false">
      <c r="A395" s="59" t="s">
        <v>39</v>
      </c>
      <c r="B395" s="59" t="s">
        <v>418</v>
      </c>
      <c r="C395" s="60" t="n">
        <v>962.18</v>
      </c>
      <c r="D395" s="59" t="n">
        <f aca="false">COUNTIFS($A$2:$A$1931,A395,$C$2:$C$1931,"&gt;"&amp;C395)+COUNTIFS($A$2:A395,A395,$C$2:C395,C395)</f>
        <v>8</v>
      </c>
      <c r="E395" s="59" t="str">
        <f aca="false">A395&amp;"|"&amp;D395</f>
        <v>BLR-Challakere|8</v>
      </c>
    </row>
    <row r="396" customFormat="false" ht="15" hidden="false" customHeight="false" outlineLevel="0" collapsed="false">
      <c r="A396" s="59" t="s">
        <v>39</v>
      </c>
      <c r="B396" s="59" t="s">
        <v>415</v>
      </c>
      <c r="C396" s="60" t="n">
        <v>787.03</v>
      </c>
      <c r="D396" s="59" t="n">
        <f aca="false">COUNTIFS($A$2:$A$1931,A396,$C$2:$C$1931,"&gt;"&amp;C396)+COUNTIFS($A$2:A396,A396,$C$2:C396,C396)</f>
        <v>9</v>
      </c>
      <c r="E396" s="59" t="str">
        <f aca="false">A396&amp;"|"&amp;D396</f>
        <v>BLR-Challakere|9</v>
      </c>
    </row>
    <row r="397" customFormat="false" ht="15" hidden="false" customHeight="false" outlineLevel="0" collapsed="false">
      <c r="A397" s="59" t="s">
        <v>39</v>
      </c>
      <c r="B397" s="59" t="s">
        <v>426</v>
      </c>
      <c r="C397" s="60" t="n">
        <v>772.11</v>
      </c>
      <c r="D397" s="59" t="n">
        <f aca="false">COUNTIFS($A$2:$A$1931,A397,$C$2:$C$1931,"&gt;"&amp;C397)+COUNTIFS($A$2:A397,A397,$C$2:C397,C397)</f>
        <v>10</v>
      </c>
      <c r="E397" s="59" t="str">
        <f aca="false">A397&amp;"|"&amp;D397</f>
        <v>BLR-Challakere|10</v>
      </c>
    </row>
    <row r="398" customFormat="false" ht="15" hidden="false" customHeight="false" outlineLevel="0" collapsed="false">
      <c r="A398" s="59" t="s">
        <v>39</v>
      </c>
      <c r="B398" s="59" t="s">
        <v>431</v>
      </c>
      <c r="C398" s="60" t="n">
        <v>267.49</v>
      </c>
      <c r="D398" s="59" t="n">
        <f aca="false">COUNTIFS($A$2:$A$1931,A398,$C$2:$C$1931,"&gt;"&amp;C398)+COUNTIFS($A$2:A398,A398,$C$2:C398,C398)</f>
        <v>11</v>
      </c>
      <c r="E398" s="59" t="str">
        <f aca="false">A398&amp;"|"&amp;D398</f>
        <v>BLR-Challakere|11</v>
      </c>
    </row>
    <row r="399" customFormat="false" ht="15" hidden="false" customHeight="false" outlineLevel="0" collapsed="false">
      <c r="A399" s="59" t="s">
        <v>39</v>
      </c>
      <c r="B399" s="59" t="s">
        <v>408</v>
      </c>
      <c r="C399" s="60" t="n">
        <v>126.1</v>
      </c>
      <c r="D399" s="59" t="n">
        <f aca="false">COUNTIFS($A$2:$A$1931,A399,$C$2:$C$1931,"&gt;"&amp;C399)+COUNTIFS($A$2:A399,A399,$C$2:C399,C399)</f>
        <v>12</v>
      </c>
      <c r="E399" s="59" t="str">
        <f aca="false">A399&amp;"|"&amp;D399</f>
        <v>BLR-Challakere|12</v>
      </c>
    </row>
    <row r="400" customFormat="false" ht="15" hidden="false" customHeight="false" outlineLevel="0" collapsed="false">
      <c r="A400" s="59" t="s">
        <v>39</v>
      </c>
      <c r="B400" s="59" t="s">
        <v>407</v>
      </c>
      <c r="C400" s="60" t="n">
        <v>101.88</v>
      </c>
      <c r="D400" s="59" t="n">
        <f aca="false">COUNTIFS($A$2:$A$1931,A400,$C$2:$C$1931,"&gt;"&amp;C400)+COUNTIFS($A$2:A400,A400,$C$2:C400,C400)</f>
        <v>13</v>
      </c>
      <c r="E400" s="59" t="str">
        <f aca="false">A400&amp;"|"&amp;D400</f>
        <v>BLR-Challakere|13</v>
      </c>
    </row>
    <row r="401" customFormat="false" ht="15" hidden="false" customHeight="false" outlineLevel="0" collapsed="false">
      <c r="A401" s="59" t="s">
        <v>148</v>
      </c>
      <c r="B401" s="59" t="s">
        <v>413</v>
      </c>
      <c r="C401" s="60" t="n">
        <v>6590.4</v>
      </c>
      <c r="D401" s="59" t="n">
        <f aca="false">COUNTIFS($A$2:$A$1931,A401,$C$2:$C$1931,"&gt;"&amp;C401)+COUNTIFS($A$2:A401,A401,$C$2:C401,C401)</f>
        <v>1</v>
      </c>
      <c r="E401" s="59" t="str">
        <f aca="false">A401&amp;"|"&amp;D401</f>
        <v>BLR-Chamrajpet|1</v>
      </c>
    </row>
    <row r="402" customFormat="false" ht="15" hidden="false" customHeight="false" outlineLevel="0" collapsed="false">
      <c r="A402" s="59" t="s">
        <v>148</v>
      </c>
      <c r="B402" s="59" t="s">
        <v>420</v>
      </c>
      <c r="C402" s="60" t="n">
        <v>4909.46</v>
      </c>
      <c r="D402" s="59" t="n">
        <f aca="false">COUNTIFS($A$2:$A$1931,A402,$C$2:$C$1931,"&gt;"&amp;C402)+COUNTIFS($A$2:A402,A402,$C$2:C402,C402)</f>
        <v>2</v>
      </c>
      <c r="E402" s="59" t="str">
        <f aca="false">A402&amp;"|"&amp;D402</f>
        <v>BLR-Chamrajpet|2</v>
      </c>
    </row>
    <row r="403" customFormat="false" ht="15" hidden="false" customHeight="false" outlineLevel="0" collapsed="false">
      <c r="A403" s="59" t="s">
        <v>148</v>
      </c>
      <c r="B403" s="59" t="s">
        <v>424</v>
      </c>
      <c r="C403" s="60" t="n">
        <v>2415.09</v>
      </c>
      <c r="D403" s="59" t="n">
        <f aca="false">COUNTIFS($A$2:$A$1931,A403,$C$2:$C$1931,"&gt;"&amp;C403)+COUNTIFS($A$2:A403,A403,$C$2:C403,C403)</f>
        <v>3</v>
      </c>
      <c r="E403" s="59" t="str">
        <f aca="false">A403&amp;"|"&amp;D403</f>
        <v>BLR-Chamrajpet|3</v>
      </c>
    </row>
    <row r="404" customFormat="false" ht="15" hidden="false" customHeight="false" outlineLevel="0" collapsed="false">
      <c r="A404" s="59" t="s">
        <v>148</v>
      </c>
      <c r="B404" s="59" t="s">
        <v>409</v>
      </c>
      <c r="C404" s="60" t="n">
        <v>1673.33</v>
      </c>
      <c r="D404" s="59" t="n">
        <f aca="false">COUNTIFS($A$2:$A$1931,A404,$C$2:$C$1931,"&gt;"&amp;C404)+COUNTIFS($A$2:A404,A404,$C$2:C404,C404)</f>
        <v>4</v>
      </c>
      <c r="E404" s="59" t="str">
        <f aca="false">A404&amp;"|"&amp;D404</f>
        <v>BLR-Chamrajpet|4</v>
      </c>
    </row>
    <row r="405" customFormat="false" ht="15" hidden="false" customHeight="false" outlineLevel="0" collapsed="false">
      <c r="A405" s="59" t="s">
        <v>148</v>
      </c>
      <c r="B405" s="59" t="s">
        <v>417</v>
      </c>
      <c r="C405" s="60" t="n">
        <v>1352.05</v>
      </c>
      <c r="D405" s="59" t="n">
        <f aca="false">COUNTIFS($A$2:$A$1931,A405,$C$2:$C$1931,"&gt;"&amp;C405)+COUNTIFS($A$2:A405,A405,$C$2:C405,C405)</f>
        <v>5</v>
      </c>
      <c r="E405" s="59" t="str">
        <f aca="false">A405&amp;"|"&amp;D405</f>
        <v>BLR-Chamrajpet|5</v>
      </c>
    </row>
    <row r="406" customFormat="false" ht="15" hidden="false" customHeight="false" outlineLevel="0" collapsed="false">
      <c r="A406" s="59" t="s">
        <v>148</v>
      </c>
      <c r="B406" s="59" t="s">
        <v>412</v>
      </c>
      <c r="C406" s="60" t="n">
        <v>862.61</v>
      </c>
      <c r="D406" s="59" t="n">
        <f aca="false">COUNTIFS($A$2:$A$1931,A406,$C$2:$C$1931,"&gt;"&amp;C406)+COUNTIFS($A$2:A406,A406,$C$2:C406,C406)</f>
        <v>6</v>
      </c>
      <c r="E406" s="59" t="str">
        <f aca="false">A406&amp;"|"&amp;D406</f>
        <v>BLR-Chamrajpet|6</v>
      </c>
    </row>
    <row r="407" customFormat="false" ht="15" hidden="false" customHeight="false" outlineLevel="0" collapsed="false">
      <c r="A407" s="59" t="s">
        <v>148</v>
      </c>
      <c r="B407" s="59" t="s">
        <v>410</v>
      </c>
      <c r="C407" s="60" t="n">
        <v>483.59</v>
      </c>
      <c r="D407" s="59" t="n">
        <f aca="false">COUNTIFS($A$2:$A$1931,A407,$C$2:$C$1931,"&gt;"&amp;C407)+COUNTIFS($A$2:A407,A407,$C$2:C407,C407)</f>
        <v>7</v>
      </c>
      <c r="E407" s="59" t="str">
        <f aca="false">A407&amp;"|"&amp;D407</f>
        <v>BLR-Chamrajpet|7</v>
      </c>
    </row>
    <row r="408" customFormat="false" ht="15" hidden="false" customHeight="false" outlineLevel="0" collapsed="false">
      <c r="A408" s="59" t="s">
        <v>148</v>
      </c>
      <c r="B408" s="59" t="s">
        <v>423</v>
      </c>
      <c r="C408" s="60" t="n">
        <v>117.39</v>
      </c>
      <c r="D408" s="59" t="n">
        <f aca="false">COUNTIFS($A$2:$A$1931,A408,$C$2:$C$1931,"&gt;"&amp;C408)+COUNTIFS($A$2:A408,A408,$C$2:C408,C408)</f>
        <v>8</v>
      </c>
      <c r="E408" s="59" t="str">
        <f aca="false">A408&amp;"|"&amp;D408</f>
        <v>BLR-Chamrajpet|8</v>
      </c>
    </row>
    <row r="409" customFormat="false" ht="15" hidden="false" customHeight="false" outlineLevel="0" collapsed="false">
      <c r="A409" s="59" t="s">
        <v>133</v>
      </c>
      <c r="B409" s="59" t="s">
        <v>419</v>
      </c>
      <c r="C409" s="60" t="n">
        <v>8211.35</v>
      </c>
      <c r="D409" s="59" t="n">
        <f aca="false">COUNTIFS($A$2:$A$1931,A409,$C$2:$C$1931,"&gt;"&amp;C409)+COUNTIFS($A$2:A409,A409,$C$2:C409,C409)</f>
        <v>1</v>
      </c>
      <c r="E409" s="59" t="str">
        <f aca="false">A409&amp;"|"&amp;D409</f>
        <v>BLR-Chandapura|1</v>
      </c>
    </row>
    <row r="410" customFormat="false" ht="15" hidden="false" customHeight="false" outlineLevel="0" collapsed="false">
      <c r="A410" s="59" t="s">
        <v>133</v>
      </c>
      <c r="B410" s="59" t="s">
        <v>413</v>
      </c>
      <c r="C410" s="60" t="n">
        <v>5332.53</v>
      </c>
      <c r="D410" s="59" t="n">
        <f aca="false">COUNTIFS($A$2:$A$1931,A410,$C$2:$C$1931,"&gt;"&amp;C410)+COUNTIFS($A$2:A410,A410,$C$2:C410,C410)</f>
        <v>2</v>
      </c>
      <c r="E410" s="59" t="str">
        <f aca="false">A410&amp;"|"&amp;D410</f>
        <v>BLR-Chandapura|2</v>
      </c>
    </row>
    <row r="411" customFormat="false" ht="15" hidden="false" customHeight="false" outlineLevel="0" collapsed="false">
      <c r="A411" s="59" t="s">
        <v>133</v>
      </c>
      <c r="B411" s="59" t="s">
        <v>408</v>
      </c>
      <c r="C411" s="60" t="n">
        <v>925.55</v>
      </c>
      <c r="D411" s="59" t="n">
        <f aca="false">COUNTIFS($A$2:$A$1931,A411,$C$2:$C$1931,"&gt;"&amp;C411)+COUNTIFS($A$2:A411,A411,$C$2:C411,C411)</f>
        <v>3</v>
      </c>
      <c r="E411" s="59" t="str">
        <f aca="false">A411&amp;"|"&amp;D411</f>
        <v>BLR-Chandapura|3</v>
      </c>
    </row>
    <row r="412" customFormat="false" ht="15" hidden="false" customHeight="false" outlineLevel="0" collapsed="false">
      <c r="A412" s="59" t="s">
        <v>133</v>
      </c>
      <c r="B412" s="59" t="s">
        <v>409</v>
      </c>
      <c r="C412" s="60" t="n">
        <v>747.21</v>
      </c>
      <c r="D412" s="59" t="n">
        <f aca="false">COUNTIFS($A$2:$A$1931,A412,$C$2:$C$1931,"&gt;"&amp;C412)+COUNTIFS($A$2:A412,A412,$C$2:C412,C412)</f>
        <v>4</v>
      </c>
      <c r="E412" s="59" t="str">
        <f aca="false">A412&amp;"|"&amp;D412</f>
        <v>BLR-Chandapura|4</v>
      </c>
    </row>
    <row r="413" customFormat="false" ht="15" hidden="false" customHeight="false" outlineLevel="0" collapsed="false">
      <c r="A413" s="59" t="s">
        <v>133</v>
      </c>
      <c r="B413" s="59" t="s">
        <v>410</v>
      </c>
      <c r="C413" s="60" t="n">
        <v>9.15</v>
      </c>
      <c r="D413" s="59" t="n">
        <f aca="false">COUNTIFS($A$2:$A$1931,A413,$C$2:$C$1931,"&gt;"&amp;C413)+COUNTIFS($A$2:A413,A413,$C$2:C413,C413)</f>
        <v>5</v>
      </c>
      <c r="E413" s="59" t="str">
        <f aca="false">A413&amp;"|"&amp;D413</f>
        <v>BLR-Chandapura|5</v>
      </c>
    </row>
    <row r="414" customFormat="false" ht="15" hidden="false" customHeight="false" outlineLevel="0" collapsed="false">
      <c r="A414" s="59" t="s">
        <v>157</v>
      </c>
      <c r="B414" s="59" t="s">
        <v>418</v>
      </c>
      <c r="C414" s="60" t="n">
        <v>16401.26</v>
      </c>
      <c r="D414" s="59" t="n">
        <f aca="false">COUNTIFS($A$2:$A$1931,A414,$C$2:$C$1931,"&gt;"&amp;C414)+COUNTIFS($A$2:A414,A414,$C$2:C414,C414)</f>
        <v>1</v>
      </c>
      <c r="E414" s="59" t="str">
        <f aca="false">A414&amp;"|"&amp;D414</f>
        <v>BLR-Channasandra|1</v>
      </c>
    </row>
    <row r="415" customFormat="false" ht="15" hidden="false" customHeight="false" outlineLevel="0" collapsed="false">
      <c r="A415" s="59" t="s">
        <v>157</v>
      </c>
      <c r="B415" s="59" t="s">
        <v>431</v>
      </c>
      <c r="C415" s="60" t="n">
        <v>4358.07</v>
      </c>
      <c r="D415" s="59" t="n">
        <f aca="false">COUNTIFS($A$2:$A$1931,A415,$C$2:$C$1931,"&gt;"&amp;C415)+COUNTIFS($A$2:A415,A415,$C$2:C415,C415)</f>
        <v>2</v>
      </c>
      <c r="E415" s="59" t="str">
        <f aca="false">A415&amp;"|"&amp;D415</f>
        <v>BLR-Channasandra|2</v>
      </c>
    </row>
    <row r="416" customFormat="false" ht="15" hidden="false" customHeight="false" outlineLevel="0" collapsed="false">
      <c r="A416" s="59" t="s">
        <v>157</v>
      </c>
      <c r="B416" s="59" t="s">
        <v>409</v>
      </c>
      <c r="C416" s="60" t="n">
        <v>1891.11</v>
      </c>
      <c r="D416" s="59" t="n">
        <f aca="false">COUNTIFS($A$2:$A$1931,A416,$C$2:$C$1931,"&gt;"&amp;C416)+COUNTIFS($A$2:A416,A416,$C$2:C416,C416)</f>
        <v>3</v>
      </c>
      <c r="E416" s="59" t="str">
        <f aca="false">A416&amp;"|"&amp;D416</f>
        <v>BLR-Channasandra|3</v>
      </c>
    </row>
    <row r="417" customFormat="false" ht="15" hidden="false" customHeight="false" outlineLevel="0" collapsed="false">
      <c r="A417" s="59" t="s">
        <v>157</v>
      </c>
      <c r="B417" s="59" t="s">
        <v>415</v>
      </c>
      <c r="C417" s="60" t="n">
        <v>1416.87</v>
      </c>
      <c r="D417" s="59" t="n">
        <f aca="false">COUNTIFS($A$2:$A$1931,A417,$C$2:$C$1931,"&gt;"&amp;C417)+COUNTIFS($A$2:A417,A417,$C$2:C417,C417)</f>
        <v>4</v>
      </c>
      <c r="E417" s="59" t="str">
        <f aca="false">A417&amp;"|"&amp;D417</f>
        <v>BLR-Channasandra|4</v>
      </c>
    </row>
    <row r="418" customFormat="false" ht="15" hidden="false" customHeight="false" outlineLevel="0" collapsed="false">
      <c r="A418" s="59" t="s">
        <v>157</v>
      </c>
      <c r="B418" s="59" t="s">
        <v>410</v>
      </c>
      <c r="C418" s="60" t="n">
        <v>581.4</v>
      </c>
      <c r="D418" s="59" t="n">
        <f aca="false">COUNTIFS($A$2:$A$1931,A418,$C$2:$C$1931,"&gt;"&amp;C418)+COUNTIFS($A$2:A418,A418,$C$2:C418,C418)</f>
        <v>5</v>
      </c>
      <c r="E418" s="59" t="str">
        <f aca="false">A418&amp;"|"&amp;D418</f>
        <v>BLR-Channasandra|5</v>
      </c>
    </row>
    <row r="419" customFormat="false" ht="15" hidden="false" customHeight="false" outlineLevel="0" collapsed="false">
      <c r="A419" s="59" t="s">
        <v>256</v>
      </c>
      <c r="B419" s="59" t="s">
        <v>407</v>
      </c>
      <c r="C419" s="60" t="n">
        <v>8213.1</v>
      </c>
      <c r="D419" s="59" t="n">
        <f aca="false">COUNTIFS($A$2:$A$1931,A419,$C$2:$C$1931,"&gt;"&amp;C419)+COUNTIFS($A$2:A419,A419,$C$2:C419,C419)</f>
        <v>1</v>
      </c>
      <c r="E419" s="59" t="str">
        <f aca="false">A419&amp;"|"&amp;D419</f>
        <v>BLR-Chickpet New|1</v>
      </c>
    </row>
    <row r="420" customFormat="false" ht="15" hidden="false" customHeight="false" outlineLevel="0" collapsed="false">
      <c r="A420" s="59" t="s">
        <v>256</v>
      </c>
      <c r="B420" s="59" t="s">
        <v>414</v>
      </c>
      <c r="C420" s="60" t="n">
        <v>6993.41</v>
      </c>
      <c r="D420" s="59" t="n">
        <f aca="false">COUNTIFS($A$2:$A$1931,A420,$C$2:$C$1931,"&gt;"&amp;C420)+COUNTIFS($A$2:A420,A420,$C$2:C420,C420)</f>
        <v>2</v>
      </c>
      <c r="E420" s="59" t="str">
        <f aca="false">A420&amp;"|"&amp;D420</f>
        <v>BLR-Chickpet New|2</v>
      </c>
    </row>
    <row r="421" customFormat="false" ht="15" hidden="false" customHeight="false" outlineLevel="0" collapsed="false">
      <c r="A421" s="59" t="s">
        <v>256</v>
      </c>
      <c r="B421" s="59" t="s">
        <v>416</v>
      </c>
      <c r="C421" s="60" t="n">
        <v>2741.93</v>
      </c>
      <c r="D421" s="59" t="n">
        <f aca="false">COUNTIFS($A$2:$A$1931,A421,$C$2:$C$1931,"&gt;"&amp;C421)+COUNTIFS($A$2:A421,A421,$C$2:C421,C421)</f>
        <v>3</v>
      </c>
      <c r="E421" s="59" t="str">
        <f aca="false">A421&amp;"|"&amp;D421</f>
        <v>BLR-Chickpet New|3</v>
      </c>
    </row>
    <row r="422" customFormat="false" ht="15" hidden="false" customHeight="false" outlineLevel="0" collapsed="false">
      <c r="A422" s="59" t="s">
        <v>256</v>
      </c>
      <c r="B422" s="59" t="s">
        <v>411</v>
      </c>
      <c r="C422" s="60" t="n">
        <v>2096.72</v>
      </c>
      <c r="D422" s="59" t="n">
        <f aca="false">COUNTIFS($A$2:$A$1931,A422,$C$2:$C$1931,"&gt;"&amp;C422)+COUNTIFS($A$2:A422,A422,$C$2:C422,C422)</f>
        <v>4</v>
      </c>
      <c r="E422" s="59" t="str">
        <f aca="false">A422&amp;"|"&amp;D422</f>
        <v>BLR-Chickpet New|4</v>
      </c>
    </row>
    <row r="423" customFormat="false" ht="15" hidden="false" customHeight="false" outlineLevel="0" collapsed="false">
      <c r="A423" s="59" t="s">
        <v>256</v>
      </c>
      <c r="B423" s="59" t="s">
        <v>412</v>
      </c>
      <c r="C423" s="60" t="n">
        <v>380.09</v>
      </c>
      <c r="D423" s="59" t="n">
        <f aca="false">COUNTIFS($A$2:$A$1931,A423,$C$2:$C$1931,"&gt;"&amp;C423)+COUNTIFS($A$2:A423,A423,$C$2:C423,C423)</f>
        <v>5</v>
      </c>
      <c r="E423" s="59" t="str">
        <f aca="false">A423&amp;"|"&amp;D423</f>
        <v>BLR-Chickpet New|5</v>
      </c>
    </row>
    <row r="424" customFormat="false" ht="15" hidden="false" customHeight="false" outlineLevel="0" collapsed="false">
      <c r="A424" s="59" t="s">
        <v>277</v>
      </c>
      <c r="B424" s="59" t="s">
        <v>418</v>
      </c>
      <c r="C424" s="60" t="n">
        <v>322.77</v>
      </c>
      <c r="D424" s="59" t="n">
        <f aca="false">COUNTIFS($A$2:$A$1931,A424,$C$2:$C$1931,"&gt;"&amp;C424)+COUNTIFS($A$2:A424,A424,$C$2:C424,C424)</f>
        <v>1</v>
      </c>
      <c r="E424" s="59" t="str">
        <f aca="false">A424&amp;"|"&amp;D424</f>
        <v>BLR-Chikkajala|1</v>
      </c>
    </row>
    <row r="425" customFormat="false" ht="15" hidden="false" customHeight="false" outlineLevel="0" collapsed="false">
      <c r="A425" s="59" t="s">
        <v>277</v>
      </c>
      <c r="B425" s="59" t="s">
        <v>410</v>
      </c>
      <c r="C425" s="60" t="n">
        <v>126.89</v>
      </c>
      <c r="D425" s="59" t="n">
        <f aca="false">COUNTIFS($A$2:$A$1931,A425,$C$2:$C$1931,"&gt;"&amp;C425)+COUNTIFS($A$2:A425,A425,$C$2:C425,C425)</f>
        <v>2</v>
      </c>
      <c r="E425" s="59" t="str">
        <f aca="false">A425&amp;"|"&amp;D425</f>
        <v>BLR-Chikkajala|2</v>
      </c>
    </row>
    <row r="426" customFormat="false" ht="15" hidden="false" customHeight="false" outlineLevel="0" collapsed="false">
      <c r="A426" s="59" t="s">
        <v>126</v>
      </c>
      <c r="B426" s="59" t="s">
        <v>411</v>
      </c>
      <c r="C426" s="60" t="n">
        <v>3127.38</v>
      </c>
      <c r="D426" s="59" t="n">
        <f aca="false">COUNTIFS($A$2:$A$1931,A426,$C$2:$C$1931,"&gt;"&amp;C426)+COUNTIFS($A$2:A426,A426,$C$2:C426,C426)</f>
        <v>1</v>
      </c>
      <c r="E426" s="59" t="str">
        <f aca="false">A426&amp;"|"&amp;D426</f>
        <v>BLR-Chikkanagamangala|1</v>
      </c>
    </row>
    <row r="427" customFormat="false" ht="15" hidden="false" customHeight="false" outlineLevel="0" collapsed="false">
      <c r="A427" s="59" t="s">
        <v>126</v>
      </c>
      <c r="B427" s="59" t="s">
        <v>408</v>
      </c>
      <c r="C427" s="60" t="n">
        <v>1599.1</v>
      </c>
      <c r="D427" s="59" t="n">
        <f aca="false">COUNTIFS($A$2:$A$1931,A427,$C$2:$C$1931,"&gt;"&amp;C427)+COUNTIFS($A$2:A427,A427,$C$2:C427,C427)</f>
        <v>2</v>
      </c>
      <c r="E427" s="59" t="str">
        <f aca="false">A427&amp;"|"&amp;D427</f>
        <v>BLR-Chikkanagamangala|2</v>
      </c>
    </row>
    <row r="428" customFormat="false" ht="15" hidden="false" customHeight="false" outlineLevel="0" collapsed="false">
      <c r="A428" s="59" t="s">
        <v>126</v>
      </c>
      <c r="B428" s="59" t="s">
        <v>413</v>
      </c>
      <c r="C428" s="60" t="n">
        <v>1419.95</v>
      </c>
      <c r="D428" s="59" t="n">
        <f aca="false">COUNTIFS($A$2:$A$1931,A428,$C$2:$C$1931,"&gt;"&amp;C428)+COUNTIFS($A$2:A428,A428,$C$2:C428,C428)</f>
        <v>3</v>
      </c>
      <c r="E428" s="59" t="str">
        <f aca="false">A428&amp;"|"&amp;D428</f>
        <v>BLR-Chikkanagamangala|3</v>
      </c>
    </row>
    <row r="429" customFormat="false" ht="15" hidden="false" customHeight="false" outlineLevel="0" collapsed="false">
      <c r="A429" s="59" t="s">
        <v>126</v>
      </c>
      <c r="B429" s="59" t="s">
        <v>431</v>
      </c>
      <c r="C429" s="60" t="n">
        <v>1273.07</v>
      </c>
      <c r="D429" s="59" t="n">
        <f aca="false">COUNTIFS($A$2:$A$1931,A429,$C$2:$C$1931,"&gt;"&amp;C429)+COUNTIFS($A$2:A429,A429,$C$2:C429,C429)</f>
        <v>4</v>
      </c>
      <c r="E429" s="59" t="str">
        <f aca="false">A429&amp;"|"&amp;D429</f>
        <v>BLR-Chikkanagamangala|4</v>
      </c>
    </row>
    <row r="430" customFormat="false" ht="15" hidden="false" customHeight="false" outlineLevel="0" collapsed="false">
      <c r="A430" s="59" t="s">
        <v>126</v>
      </c>
      <c r="B430" s="59" t="s">
        <v>414</v>
      </c>
      <c r="C430" s="60" t="n">
        <v>1057.81</v>
      </c>
      <c r="D430" s="59" t="n">
        <f aca="false">COUNTIFS($A$2:$A$1931,A430,$C$2:$C$1931,"&gt;"&amp;C430)+COUNTIFS($A$2:A430,A430,$C$2:C430,C430)</f>
        <v>5</v>
      </c>
      <c r="E430" s="59" t="str">
        <f aca="false">A430&amp;"|"&amp;D430</f>
        <v>BLR-Chikkanagamangala|5</v>
      </c>
    </row>
    <row r="431" customFormat="false" ht="15" hidden="false" customHeight="false" outlineLevel="0" collapsed="false">
      <c r="A431" s="59" t="s">
        <v>126</v>
      </c>
      <c r="B431" s="59" t="s">
        <v>435</v>
      </c>
      <c r="C431" s="60" t="n">
        <v>511.02</v>
      </c>
      <c r="D431" s="59" t="n">
        <f aca="false">COUNTIFS($A$2:$A$1931,A431,$C$2:$C$1931,"&gt;"&amp;C431)+COUNTIFS($A$2:A431,A431,$C$2:C431,C431)</f>
        <v>6</v>
      </c>
      <c r="E431" s="59" t="str">
        <f aca="false">A431&amp;"|"&amp;D431</f>
        <v>BLR-Chikkanagamangala|6</v>
      </c>
    </row>
    <row r="432" customFormat="false" ht="15" hidden="false" customHeight="false" outlineLevel="0" collapsed="false">
      <c r="A432" s="59" t="s">
        <v>126</v>
      </c>
      <c r="B432" s="59" t="s">
        <v>424</v>
      </c>
      <c r="C432" s="60" t="n">
        <v>402.38</v>
      </c>
      <c r="D432" s="59" t="n">
        <f aca="false">COUNTIFS($A$2:$A$1931,A432,$C$2:$C$1931,"&gt;"&amp;C432)+COUNTIFS($A$2:A432,A432,$C$2:C432,C432)</f>
        <v>7</v>
      </c>
      <c r="E432" s="59" t="str">
        <f aca="false">A432&amp;"|"&amp;D432</f>
        <v>BLR-Chikkanagamangala|7</v>
      </c>
    </row>
    <row r="433" customFormat="false" ht="15" hidden="false" customHeight="false" outlineLevel="0" collapsed="false">
      <c r="A433" s="59" t="s">
        <v>126</v>
      </c>
      <c r="B433" s="59" t="s">
        <v>412</v>
      </c>
      <c r="C433" s="60" t="n">
        <v>279</v>
      </c>
      <c r="D433" s="59" t="n">
        <f aca="false">COUNTIFS($A$2:$A$1931,A433,$C$2:$C$1931,"&gt;"&amp;C433)+COUNTIFS($A$2:A433,A433,$C$2:C433,C433)</f>
        <v>8</v>
      </c>
      <c r="E433" s="59" t="str">
        <f aca="false">A433&amp;"|"&amp;D433</f>
        <v>BLR-Chikkanagamangala|8</v>
      </c>
    </row>
    <row r="434" customFormat="false" ht="15" hidden="false" customHeight="false" outlineLevel="0" collapsed="false">
      <c r="A434" s="59" t="s">
        <v>126</v>
      </c>
      <c r="B434" s="59" t="s">
        <v>409</v>
      </c>
      <c r="C434" s="60" t="n">
        <v>278.45</v>
      </c>
      <c r="D434" s="59" t="n">
        <f aca="false">COUNTIFS($A$2:$A$1931,A434,$C$2:$C$1931,"&gt;"&amp;C434)+COUNTIFS($A$2:A434,A434,$C$2:C434,C434)</f>
        <v>9</v>
      </c>
      <c r="E434" s="59" t="str">
        <f aca="false">A434&amp;"|"&amp;D434</f>
        <v>BLR-Chikkanagamangala|9</v>
      </c>
    </row>
    <row r="435" customFormat="false" ht="15" hidden="false" customHeight="false" outlineLevel="0" collapsed="false">
      <c r="A435" s="59" t="s">
        <v>126</v>
      </c>
      <c r="B435" s="59" t="s">
        <v>410</v>
      </c>
      <c r="C435" s="60" t="n">
        <v>79.25</v>
      </c>
      <c r="D435" s="59" t="n">
        <f aca="false">COUNTIFS($A$2:$A$1931,A435,$C$2:$C$1931,"&gt;"&amp;C435)+COUNTIFS($A$2:A435,A435,$C$2:C435,C435)</f>
        <v>10</v>
      </c>
      <c r="E435" s="59" t="str">
        <f aca="false">A435&amp;"|"&amp;D435</f>
        <v>BLR-Chikkanagamangala|10</v>
      </c>
    </row>
    <row r="436" customFormat="false" ht="15" hidden="false" customHeight="false" outlineLevel="0" collapsed="false">
      <c r="A436" s="59" t="s">
        <v>126</v>
      </c>
      <c r="B436" s="59" t="s">
        <v>427</v>
      </c>
      <c r="C436" s="60" t="n">
        <v>11.45</v>
      </c>
      <c r="D436" s="59" t="n">
        <f aca="false">COUNTIFS($A$2:$A$1931,A436,$C$2:$C$1931,"&gt;"&amp;C436)+COUNTIFS($A$2:A436,A436,$C$2:C436,C436)</f>
        <v>11</v>
      </c>
      <c r="E436" s="59" t="str">
        <f aca="false">A436&amp;"|"&amp;D436</f>
        <v>BLR-Chikkanagamangala|11</v>
      </c>
    </row>
    <row r="437" customFormat="false" ht="15" hidden="false" customHeight="false" outlineLevel="0" collapsed="false">
      <c r="A437" s="59" t="s">
        <v>126</v>
      </c>
      <c r="B437" s="59" t="s">
        <v>426</v>
      </c>
      <c r="C437" s="60" t="n">
        <v>3.14</v>
      </c>
      <c r="D437" s="59" t="n">
        <f aca="false">COUNTIFS($A$2:$A$1931,A437,$C$2:$C$1931,"&gt;"&amp;C437)+COUNTIFS($A$2:A437,A437,$C$2:C437,C437)</f>
        <v>12</v>
      </c>
      <c r="E437" s="59" t="str">
        <f aca="false">A437&amp;"|"&amp;D437</f>
        <v>BLR-Chikkanagamangala|12</v>
      </c>
    </row>
    <row r="438" customFormat="false" ht="15" hidden="false" customHeight="false" outlineLevel="0" collapsed="false">
      <c r="A438" s="59" t="s">
        <v>154</v>
      </c>
      <c r="B438" s="59" t="s">
        <v>414</v>
      </c>
      <c r="C438" s="60" t="n">
        <v>27610.34</v>
      </c>
      <c r="D438" s="59" t="n">
        <f aca="false">COUNTIFS($A$2:$A$1931,A438,$C$2:$C$1931,"&gt;"&amp;C438)+COUNTIFS($A$2:A438,A438,$C$2:C438,C438)</f>
        <v>1</v>
      </c>
      <c r="E438" s="59" t="str">
        <f aca="false">A438&amp;"|"&amp;D438</f>
        <v>BLR-Cholayanakanalli|1</v>
      </c>
    </row>
    <row r="439" customFormat="false" ht="15" hidden="false" customHeight="false" outlineLevel="0" collapsed="false">
      <c r="A439" s="59" t="s">
        <v>154</v>
      </c>
      <c r="B439" s="59" t="s">
        <v>407</v>
      </c>
      <c r="C439" s="60" t="n">
        <v>7029.7</v>
      </c>
      <c r="D439" s="59" t="n">
        <f aca="false">COUNTIFS($A$2:$A$1931,A439,$C$2:$C$1931,"&gt;"&amp;C439)+COUNTIFS($A$2:A439,A439,$C$2:C439,C439)</f>
        <v>2</v>
      </c>
      <c r="E439" s="59" t="str">
        <f aca="false">A439&amp;"|"&amp;D439</f>
        <v>BLR-Cholayanakanalli|2</v>
      </c>
    </row>
    <row r="440" customFormat="false" ht="15" hidden="false" customHeight="false" outlineLevel="0" collapsed="false">
      <c r="A440" s="59" t="s">
        <v>154</v>
      </c>
      <c r="B440" s="59" t="s">
        <v>419</v>
      </c>
      <c r="C440" s="60" t="n">
        <v>6921.78</v>
      </c>
      <c r="D440" s="59" t="n">
        <f aca="false">COUNTIFS($A$2:$A$1931,A440,$C$2:$C$1931,"&gt;"&amp;C440)+COUNTIFS($A$2:A440,A440,$C$2:C440,C440)</f>
        <v>3</v>
      </c>
      <c r="E440" s="59" t="str">
        <f aca="false">A440&amp;"|"&amp;D440</f>
        <v>BLR-Cholayanakanalli|3</v>
      </c>
    </row>
    <row r="441" customFormat="false" ht="15" hidden="false" customHeight="false" outlineLevel="0" collapsed="false">
      <c r="A441" s="59" t="s">
        <v>154</v>
      </c>
      <c r="B441" s="59" t="s">
        <v>416</v>
      </c>
      <c r="C441" s="60" t="n">
        <v>3659.52</v>
      </c>
      <c r="D441" s="59" t="n">
        <f aca="false">COUNTIFS($A$2:$A$1931,A441,$C$2:$C$1931,"&gt;"&amp;C441)+COUNTIFS($A$2:A441,A441,$C$2:C441,C441)</f>
        <v>4</v>
      </c>
      <c r="E441" s="59" t="str">
        <f aca="false">A441&amp;"|"&amp;D441</f>
        <v>BLR-Cholayanakanalli|4</v>
      </c>
    </row>
    <row r="442" customFormat="false" ht="15" hidden="false" customHeight="false" outlineLevel="0" collapsed="false">
      <c r="A442" s="59" t="s">
        <v>154</v>
      </c>
      <c r="B442" s="59" t="s">
        <v>412</v>
      </c>
      <c r="C442" s="60" t="n">
        <v>2391.31</v>
      </c>
      <c r="D442" s="59" t="n">
        <f aca="false">COUNTIFS($A$2:$A$1931,A442,$C$2:$C$1931,"&gt;"&amp;C442)+COUNTIFS($A$2:A442,A442,$C$2:C442,C442)</f>
        <v>5</v>
      </c>
      <c r="E442" s="59" t="str">
        <f aca="false">A442&amp;"|"&amp;D442</f>
        <v>BLR-Cholayanakanalli|5</v>
      </c>
    </row>
    <row r="443" customFormat="false" ht="15" hidden="false" customHeight="false" outlineLevel="0" collapsed="false">
      <c r="A443" s="59" t="s">
        <v>154</v>
      </c>
      <c r="B443" s="59" t="s">
        <v>424</v>
      </c>
      <c r="C443" s="60" t="n">
        <v>1295.45</v>
      </c>
      <c r="D443" s="59" t="n">
        <f aca="false">COUNTIFS($A$2:$A$1931,A443,$C$2:$C$1931,"&gt;"&amp;C443)+COUNTIFS($A$2:A443,A443,$C$2:C443,C443)</f>
        <v>6</v>
      </c>
      <c r="E443" s="59" t="str">
        <f aca="false">A443&amp;"|"&amp;D443</f>
        <v>BLR-Cholayanakanalli|6</v>
      </c>
    </row>
    <row r="444" customFormat="false" ht="15" hidden="false" customHeight="false" outlineLevel="0" collapsed="false">
      <c r="A444" s="59" t="s">
        <v>154</v>
      </c>
      <c r="B444" s="59" t="s">
        <v>408</v>
      </c>
      <c r="C444" s="60" t="n">
        <v>1127.42</v>
      </c>
      <c r="D444" s="59" t="n">
        <f aca="false">COUNTIFS($A$2:$A$1931,A444,$C$2:$C$1931,"&gt;"&amp;C444)+COUNTIFS($A$2:A444,A444,$C$2:C444,C444)</f>
        <v>7</v>
      </c>
      <c r="E444" s="59" t="str">
        <f aca="false">A444&amp;"|"&amp;D444</f>
        <v>BLR-Cholayanakanalli|7</v>
      </c>
    </row>
    <row r="445" customFormat="false" ht="15" hidden="false" customHeight="false" outlineLevel="0" collapsed="false">
      <c r="A445" s="59" t="s">
        <v>154</v>
      </c>
      <c r="B445" s="59" t="s">
        <v>415</v>
      </c>
      <c r="C445" s="60" t="n">
        <v>143.13</v>
      </c>
      <c r="D445" s="59" t="n">
        <f aca="false">COUNTIFS($A$2:$A$1931,A445,$C$2:$C$1931,"&gt;"&amp;C445)+COUNTIFS($A$2:A445,A445,$C$2:C445,C445)</f>
        <v>8</v>
      </c>
      <c r="E445" s="59" t="str">
        <f aca="false">A445&amp;"|"&amp;D445</f>
        <v>BLR-Cholayanakanalli|8</v>
      </c>
    </row>
    <row r="446" customFormat="false" ht="15" hidden="false" customHeight="false" outlineLevel="0" collapsed="false">
      <c r="A446" s="59" t="s">
        <v>154</v>
      </c>
      <c r="B446" s="59" t="s">
        <v>423</v>
      </c>
      <c r="C446" s="60" t="n">
        <v>80</v>
      </c>
      <c r="D446" s="59" t="n">
        <f aca="false">COUNTIFS($A$2:$A$1931,A446,$C$2:$C$1931,"&gt;"&amp;C446)+COUNTIFS($A$2:A446,A446,$C$2:C446,C446)</f>
        <v>9</v>
      </c>
      <c r="E446" s="59" t="str">
        <f aca="false">A446&amp;"|"&amp;D446</f>
        <v>BLR-Cholayanakanalli|9</v>
      </c>
    </row>
    <row r="447" customFormat="false" ht="15" hidden="false" customHeight="false" outlineLevel="0" collapsed="false">
      <c r="A447" s="59" t="s">
        <v>298</v>
      </c>
      <c r="B447" s="59" t="s">
        <v>423</v>
      </c>
      <c r="C447" s="60" t="n">
        <v>2749.87</v>
      </c>
      <c r="D447" s="59" t="n">
        <f aca="false">COUNTIFS($A$2:$A$1931,A447,$C$2:$C$1931,"&gt;"&amp;C447)+COUNTIFS($A$2:A447,A447,$C$2:C447,C447)</f>
        <v>1</v>
      </c>
      <c r="E447" s="59" t="str">
        <f aca="false">A447&amp;"|"&amp;D447</f>
        <v>BLR-Choodasandra|1</v>
      </c>
    </row>
    <row r="448" customFormat="false" ht="15" hidden="false" customHeight="false" outlineLevel="0" collapsed="false">
      <c r="A448" s="59" t="s">
        <v>298</v>
      </c>
      <c r="B448" s="59" t="s">
        <v>424</v>
      </c>
      <c r="C448" s="60" t="n">
        <v>1025.39</v>
      </c>
      <c r="D448" s="59" t="n">
        <f aca="false">COUNTIFS($A$2:$A$1931,A448,$C$2:$C$1931,"&gt;"&amp;C448)+COUNTIFS($A$2:A448,A448,$C$2:C448,C448)</f>
        <v>2</v>
      </c>
      <c r="E448" s="59" t="str">
        <f aca="false">A448&amp;"|"&amp;D448</f>
        <v>BLR-Choodasandra|2</v>
      </c>
    </row>
    <row r="449" customFormat="false" ht="15" hidden="false" customHeight="false" outlineLevel="0" collapsed="false">
      <c r="A449" s="59" t="s">
        <v>298</v>
      </c>
      <c r="B449" s="59" t="s">
        <v>417</v>
      </c>
      <c r="C449" s="60" t="n">
        <v>797.05</v>
      </c>
      <c r="D449" s="59" t="n">
        <f aca="false">COUNTIFS($A$2:$A$1931,A449,$C$2:$C$1931,"&gt;"&amp;C449)+COUNTIFS($A$2:A449,A449,$C$2:C449,C449)</f>
        <v>3</v>
      </c>
      <c r="E449" s="59" t="str">
        <f aca="false">A449&amp;"|"&amp;D449</f>
        <v>BLR-Choodasandra|3</v>
      </c>
    </row>
    <row r="450" customFormat="false" ht="15" hidden="false" customHeight="false" outlineLevel="0" collapsed="false">
      <c r="A450" s="59" t="s">
        <v>298</v>
      </c>
      <c r="B450" s="59" t="s">
        <v>415</v>
      </c>
      <c r="C450" s="60" t="n">
        <v>241.1</v>
      </c>
      <c r="D450" s="59" t="n">
        <f aca="false">COUNTIFS($A$2:$A$1931,A450,$C$2:$C$1931,"&gt;"&amp;C450)+COUNTIFS($A$2:A450,A450,$C$2:C450,C450)</f>
        <v>4</v>
      </c>
      <c r="E450" s="59" t="str">
        <f aca="false">A450&amp;"|"&amp;D450</f>
        <v>BLR-Choodasandra|4</v>
      </c>
    </row>
    <row r="451" customFormat="false" ht="15" hidden="false" customHeight="false" outlineLevel="0" collapsed="false">
      <c r="A451" s="59" t="s">
        <v>298</v>
      </c>
      <c r="B451" s="59" t="s">
        <v>408</v>
      </c>
      <c r="C451" s="60" t="n">
        <v>139.5</v>
      </c>
      <c r="D451" s="59" t="n">
        <f aca="false">COUNTIFS($A$2:$A$1931,A451,$C$2:$C$1931,"&gt;"&amp;C451)+COUNTIFS($A$2:A451,A451,$C$2:C451,C451)</f>
        <v>5</v>
      </c>
      <c r="E451" s="59" t="str">
        <f aca="false">A451&amp;"|"&amp;D451</f>
        <v>BLR-Choodasandra|5</v>
      </c>
    </row>
    <row r="452" customFormat="false" ht="15" hidden="false" customHeight="false" outlineLevel="0" collapsed="false">
      <c r="A452" s="59" t="s">
        <v>298</v>
      </c>
      <c r="B452" s="59" t="s">
        <v>440</v>
      </c>
      <c r="C452" s="60" t="n">
        <v>58.19</v>
      </c>
      <c r="D452" s="59" t="n">
        <f aca="false">COUNTIFS($A$2:$A$1931,A452,$C$2:$C$1931,"&gt;"&amp;C452)+COUNTIFS($A$2:A452,A452,$C$2:C452,C452)</f>
        <v>6</v>
      </c>
      <c r="E452" s="59" t="str">
        <f aca="false">A452&amp;"|"&amp;D452</f>
        <v>BLR-Choodasandra|6</v>
      </c>
    </row>
    <row r="453" customFormat="false" ht="15" hidden="false" customHeight="false" outlineLevel="0" collapsed="false">
      <c r="A453" s="59" t="s">
        <v>68</v>
      </c>
      <c r="B453" s="59" t="s">
        <v>408</v>
      </c>
      <c r="C453" s="60" t="n">
        <v>15644.11</v>
      </c>
      <c r="D453" s="59" t="n">
        <f aca="false">COUNTIFS($A$2:$A$1931,A453,$C$2:$C$1931,"&gt;"&amp;C453)+COUNTIFS($A$2:A453,A453,$C$2:C453,C453)</f>
        <v>1</v>
      </c>
      <c r="E453" s="59" t="str">
        <f aca="false">A453&amp;"|"&amp;D453</f>
        <v>BLR-Dasarahalli|1</v>
      </c>
    </row>
    <row r="454" customFormat="false" ht="15" hidden="false" customHeight="false" outlineLevel="0" collapsed="false">
      <c r="A454" s="59" t="s">
        <v>68</v>
      </c>
      <c r="B454" s="59" t="s">
        <v>413</v>
      </c>
      <c r="C454" s="60" t="n">
        <v>14804.91</v>
      </c>
      <c r="D454" s="59" t="n">
        <f aca="false">COUNTIFS($A$2:$A$1931,A454,$C$2:$C$1931,"&gt;"&amp;C454)+COUNTIFS($A$2:A454,A454,$C$2:C454,C454)</f>
        <v>2</v>
      </c>
      <c r="E454" s="59" t="str">
        <f aca="false">A454&amp;"|"&amp;D454</f>
        <v>BLR-Dasarahalli|2</v>
      </c>
    </row>
    <row r="455" customFormat="false" ht="15" hidden="false" customHeight="false" outlineLevel="0" collapsed="false">
      <c r="A455" s="59" t="s">
        <v>68</v>
      </c>
      <c r="B455" s="59" t="s">
        <v>424</v>
      </c>
      <c r="C455" s="60" t="n">
        <v>6617.39</v>
      </c>
      <c r="D455" s="59" t="n">
        <f aca="false">COUNTIFS($A$2:$A$1931,A455,$C$2:$C$1931,"&gt;"&amp;C455)+COUNTIFS($A$2:A455,A455,$C$2:C455,C455)</f>
        <v>3</v>
      </c>
      <c r="E455" s="59" t="str">
        <f aca="false">A455&amp;"|"&amp;D455</f>
        <v>BLR-Dasarahalli|3</v>
      </c>
    </row>
    <row r="456" customFormat="false" ht="15" hidden="false" customHeight="false" outlineLevel="0" collapsed="false">
      <c r="A456" s="59" t="s">
        <v>68</v>
      </c>
      <c r="B456" s="59" t="s">
        <v>410</v>
      </c>
      <c r="C456" s="60" t="n">
        <v>4391.76</v>
      </c>
      <c r="D456" s="59" t="n">
        <f aca="false">COUNTIFS($A$2:$A$1931,A456,$C$2:$C$1931,"&gt;"&amp;C456)+COUNTIFS($A$2:A456,A456,$C$2:C456,C456)</f>
        <v>4</v>
      </c>
      <c r="E456" s="59" t="str">
        <f aca="false">A456&amp;"|"&amp;D456</f>
        <v>BLR-Dasarahalli|4</v>
      </c>
    </row>
    <row r="457" customFormat="false" ht="15" hidden="false" customHeight="false" outlineLevel="0" collapsed="false">
      <c r="A457" s="59" t="s">
        <v>68</v>
      </c>
      <c r="B457" s="59" t="s">
        <v>431</v>
      </c>
      <c r="C457" s="60" t="n">
        <v>1794.54</v>
      </c>
      <c r="D457" s="59" t="n">
        <f aca="false">COUNTIFS($A$2:$A$1931,A457,$C$2:$C$1931,"&gt;"&amp;C457)+COUNTIFS($A$2:A457,A457,$C$2:C457,C457)</f>
        <v>5</v>
      </c>
      <c r="E457" s="59" t="str">
        <f aca="false">A457&amp;"|"&amp;D457</f>
        <v>BLR-Dasarahalli|5</v>
      </c>
    </row>
    <row r="458" customFormat="false" ht="15" hidden="false" customHeight="false" outlineLevel="0" collapsed="false">
      <c r="A458" s="59" t="s">
        <v>68</v>
      </c>
      <c r="B458" s="59" t="s">
        <v>415</v>
      </c>
      <c r="C458" s="60" t="n">
        <v>1374.5</v>
      </c>
      <c r="D458" s="59" t="n">
        <f aca="false">COUNTIFS($A$2:$A$1931,A458,$C$2:$C$1931,"&gt;"&amp;C458)+COUNTIFS($A$2:A458,A458,$C$2:C458,C458)</f>
        <v>6</v>
      </c>
      <c r="E458" s="59" t="str">
        <f aca="false">A458&amp;"|"&amp;D458</f>
        <v>BLR-Dasarahalli|6</v>
      </c>
    </row>
    <row r="459" customFormat="false" ht="15" hidden="false" customHeight="false" outlineLevel="0" collapsed="false">
      <c r="A459" s="59" t="s">
        <v>94</v>
      </c>
      <c r="B459" s="59" t="s">
        <v>431</v>
      </c>
      <c r="C459" s="60" t="n">
        <v>5062.88</v>
      </c>
      <c r="D459" s="59" t="n">
        <f aca="false">COUNTIFS($A$2:$A$1931,A459,$C$2:$C$1931,"&gt;"&amp;C459)+COUNTIFS($A$2:A459,A459,$C$2:C459,C459)</f>
        <v>1</v>
      </c>
      <c r="E459" s="59" t="str">
        <f aca="false">A459&amp;"|"&amp;D459</f>
        <v>BLR-Devanahalli|1</v>
      </c>
    </row>
    <row r="460" customFormat="false" ht="15" hidden="false" customHeight="false" outlineLevel="0" collapsed="false">
      <c r="A460" s="59" t="s">
        <v>94</v>
      </c>
      <c r="B460" s="59" t="s">
        <v>415</v>
      </c>
      <c r="C460" s="60" t="n">
        <v>3452.46</v>
      </c>
      <c r="D460" s="59" t="n">
        <f aca="false">COUNTIFS($A$2:$A$1931,A460,$C$2:$C$1931,"&gt;"&amp;C460)+COUNTIFS($A$2:A460,A460,$C$2:C460,C460)</f>
        <v>2</v>
      </c>
      <c r="E460" s="59" t="str">
        <f aca="false">A460&amp;"|"&amp;D460</f>
        <v>BLR-Devanahalli|2</v>
      </c>
    </row>
    <row r="461" customFormat="false" ht="15" hidden="false" customHeight="false" outlineLevel="0" collapsed="false">
      <c r="A461" s="59" t="s">
        <v>94</v>
      </c>
      <c r="B461" s="59" t="s">
        <v>418</v>
      </c>
      <c r="C461" s="60" t="n">
        <v>2726.35</v>
      </c>
      <c r="D461" s="59" t="n">
        <f aca="false">COUNTIFS($A$2:$A$1931,A461,$C$2:$C$1931,"&gt;"&amp;C461)+COUNTIFS($A$2:A461,A461,$C$2:C461,C461)</f>
        <v>3</v>
      </c>
      <c r="E461" s="59" t="str">
        <f aca="false">A461&amp;"|"&amp;D461</f>
        <v>BLR-Devanahalli|3</v>
      </c>
    </row>
    <row r="462" customFormat="false" ht="15" hidden="false" customHeight="false" outlineLevel="0" collapsed="false">
      <c r="A462" s="59" t="s">
        <v>94</v>
      </c>
      <c r="B462" s="59" t="s">
        <v>410</v>
      </c>
      <c r="C462" s="60" t="n">
        <v>1875.52</v>
      </c>
      <c r="D462" s="59" t="n">
        <f aca="false">COUNTIFS($A$2:$A$1931,A462,$C$2:$C$1931,"&gt;"&amp;C462)+COUNTIFS($A$2:A462,A462,$C$2:C462,C462)</f>
        <v>4</v>
      </c>
      <c r="E462" s="59" t="str">
        <f aca="false">A462&amp;"|"&amp;D462</f>
        <v>BLR-Devanahalli|4</v>
      </c>
    </row>
    <row r="463" customFormat="false" ht="15" hidden="false" customHeight="false" outlineLevel="0" collapsed="false">
      <c r="A463" s="59" t="s">
        <v>94</v>
      </c>
      <c r="B463" s="59" t="s">
        <v>408</v>
      </c>
      <c r="C463" s="60" t="n">
        <v>1775.19</v>
      </c>
      <c r="D463" s="59" t="n">
        <f aca="false">COUNTIFS($A$2:$A$1931,A463,$C$2:$C$1931,"&gt;"&amp;C463)+COUNTIFS($A$2:A463,A463,$C$2:C463,C463)</f>
        <v>5</v>
      </c>
      <c r="E463" s="59" t="str">
        <f aca="false">A463&amp;"|"&amp;D463</f>
        <v>BLR-Devanahalli|5</v>
      </c>
    </row>
    <row r="464" customFormat="false" ht="15" hidden="false" customHeight="false" outlineLevel="0" collapsed="false">
      <c r="A464" s="59" t="s">
        <v>94</v>
      </c>
      <c r="B464" s="59" t="s">
        <v>417</v>
      </c>
      <c r="C464" s="60" t="n">
        <v>1357.71</v>
      </c>
      <c r="D464" s="59" t="n">
        <f aca="false">COUNTIFS($A$2:$A$1931,A464,$C$2:$C$1931,"&gt;"&amp;C464)+COUNTIFS($A$2:A464,A464,$C$2:C464,C464)</f>
        <v>6</v>
      </c>
      <c r="E464" s="59" t="str">
        <f aca="false">A464&amp;"|"&amp;D464</f>
        <v>BLR-Devanahalli|6</v>
      </c>
    </row>
    <row r="465" customFormat="false" ht="15" hidden="false" customHeight="false" outlineLevel="0" collapsed="false">
      <c r="A465" s="59" t="s">
        <v>94</v>
      </c>
      <c r="B465" s="59" t="s">
        <v>412</v>
      </c>
      <c r="C465" s="60" t="n">
        <v>721.8</v>
      </c>
      <c r="D465" s="59" t="n">
        <f aca="false">COUNTIFS($A$2:$A$1931,A465,$C$2:$C$1931,"&gt;"&amp;C465)+COUNTIFS($A$2:A465,A465,$C$2:C465,C465)</f>
        <v>7</v>
      </c>
      <c r="E465" s="59" t="str">
        <f aca="false">A465&amp;"|"&amp;D465</f>
        <v>BLR-Devanahalli|7</v>
      </c>
    </row>
    <row r="466" customFormat="false" ht="15" hidden="false" customHeight="false" outlineLevel="0" collapsed="false">
      <c r="A466" s="59" t="s">
        <v>94</v>
      </c>
      <c r="B466" s="59" t="s">
        <v>413</v>
      </c>
      <c r="C466" s="60" t="n">
        <v>402.45</v>
      </c>
      <c r="D466" s="59" t="n">
        <f aca="false">COUNTIFS($A$2:$A$1931,A466,$C$2:$C$1931,"&gt;"&amp;C466)+COUNTIFS($A$2:A466,A466,$C$2:C466,C466)</f>
        <v>8</v>
      </c>
      <c r="E466" s="59" t="str">
        <f aca="false">A466&amp;"|"&amp;D466</f>
        <v>BLR-Devanahalli|8</v>
      </c>
    </row>
    <row r="467" customFormat="false" ht="15" hidden="false" customHeight="false" outlineLevel="0" collapsed="false">
      <c r="A467" s="59" t="s">
        <v>94</v>
      </c>
      <c r="B467" s="59" t="s">
        <v>416</v>
      </c>
      <c r="C467" s="60" t="n">
        <v>228.78</v>
      </c>
      <c r="D467" s="59" t="n">
        <f aca="false">COUNTIFS($A$2:$A$1931,A467,$C$2:$C$1931,"&gt;"&amp;C467)+COUNTIFS($A$2:A467,A467,$C$2:C467,C467)</f>
        <v>9</v>
      </c>
      <c r="E467" s="59" t="str">
        <f aca="false">A467&amp;"|"&amp;D467</f>
        <v>BLR-Devanahalli|9</v>
      </c>
    </row>
    <row r="468" customFormat="false" ht="15" hidden="false" customHeight="false" outlineLevel="0" collapsed="false">
      <c r="A468" s="59" t="s">
        <v>193</v>
      </c>
      <c r="B468" s="59" t="s">
        <v>431</v>
      </c>
      <c r="C468" s="60" t="n">
        <v>5199.99</v>
      </c>
      <c r="D468" s="59" t="n">
        <f aca="false">COUNTIFS($A$2:$A$1931,A468,$C$2:$C$1931,"&gt;"&amp;C468)+COUNTIFS($A$2:A468,A468,$C$2:C468,C468)</f>
        <v>1</v>
      </c>
      <c r="E468" s="59" t="str">
        <f aca="false">A468&amp;"|"&amp;D468</f>
        <v>BLR-Devasandra Extension|1</v>
      </c>
    </row>
    <row r="469" customFormat="false" ht="15" hidden="false" customHeight="false" outlineLevel="0" collapsed="false">
      <c r="A469" s="59" t="s">
        <v>193</v>
      </c>
      <c r="B469" s="59" t="s">
        <v>417</v>
      </c>
      <c r="C469" s="60" t="n">
        <v>2040.59</v>
      </c>
      <c r="D469" s="59" t="n">
        <f aca="false">COUNTIFS($A$2:$A$1931,A469,$C$2:$C$1931,"&gt;"&amp;C469)+COUNTIFS($A$2:A469,A469,$C$2:C469,C469)</f>
        <v>2</v>
      </c>
      <c r="E469" s="59" t="str">
        <f aca="false">A469&amp;"|"&amp;D469</f>
        <v>BLR-Devasandra Extension|2</v>
      </c>
    </row>
    <row r="470" customFormat="false" ht="15" hidden="false" customHeight="false" outlineLevel="0" collapsed="false">
      <c r="A470" s="59" t="s">
        <v>193</v>
      </c>
      <c r="B470" s="59" t="s">
        <v>435</v>
      </c>
      <c r="C470" s="60" t="n">
        <v>804.96</v>
      </c>
      <c r="D470" s="59" t="n">
        <f aca="false">COUNTIFS($A$2:$A$1931,A470,$C$2:$C$1931,"&gt;"&amp;C470)+COUNTIFS($A$2:A470,A470,$C$2:C470,C470)</f>
        <v>3</v>
      </c>
      <c r="E470" s="59" t="str">
        <f aca="false">A470&amp;"|"&amp;D470</f>
        <v>BLR-Devasandra Extension|3</v>
      </c>
    </row>
    <row r="471" customFormat="false" ht="15" hidden="false" customHeight="false" outlineLevel="0" collapsed="false">
      <c r="A471" s="59" t="s">
        <v>193</v>
      </c>
      <c r="B471" s="59" t="s">
        <v>415</v>
      </c>
      <c r="C471" s="60" t="n">
        <v>799.73</v>
      </c>
      <c r="D471" s="59" t="n">
        <f aca="false">COUNTIFS($A$2:$A$1931,A471,$C$2:$C$1931,"&gt;"&amp;C471)+COUNTIFS($A$2:A471,A471,$C$2:C471,C471)</f>
        <v>4</v>
      </c>
      <c r="E471" s="59" t="str">
        <f aca="false">A471&amp;"|"&amp;D471</f>
        <v>BLR-Devasandra Extension|4</v>
      </c>
    </row>
    <row r="472" customFormat="false" ht="15" hidden="false" customHeight="false" outlineLevel="0" collapsed="false">
      <c r="A472" s="59" t="s">
        <v>193</v>
      </c>
      <c r="B472" s="59" t="s">
        <v>407</v>
      </c>
      <c r="C472" s="60" t="n">
        <v>705.56</v>
      </c>
      <c r="D472" s="59" t="n">
        <f aca="false">COUNTIFS($A$2:$A$1931,A472,$C$2:$C$1931,"&gt;"&amp;C472)+COUNTIFS($A$2:A472,A472,$C$2:C472,C472)</f>
        <v>5</v>
      </c>
      <c r="E472" s="59" t="str">
        <f aca="false">A472&amp;"|"&amp;D472</f>
        <v>BLR-Devasandra Extension|5</v>
      </c>
    </row>
    <row r="473" customFormat="false" ht="15" hidden="false" customHeight="false" outlineLevel="0" collapsed="false">
      <c r="A473" s="59" t="s">
        <v>193</v>
      </c>
      <c r="B473" s="59" t="s">
        <v>420</v>
      </c>
      <c r="C473" s="60" t="n">
        <v>254.24</v>
      </c>
      <c r="D473" s="59" t="n">
        <f aca="false">COUNTIFS($A$2:$A$1931,A473,$C$2:$C$1931,"&gt;"&amp;C473)+COUNTIFS($A$2:A473,A473,$C$2:C473,C473)</f>
        <v>6</v>
      </c>
      <c r="E473" s="59" t="str">
        <f aca="false">A473&amp;"|"&amp;D473</f>
        <v>BLR-Devasandra Extension|6</v>
      </c>
    </row>
    <row r="474" customFormat="false" ht="15" hidden="false" customHeight="false" outlineLevel="0" collapsed="false">
      <c r="A474" s="59" t="s">
        <v>193</v>
      </c>
      <c r="B474" s="59" t="s">
        <v>408</v>
      </c>
      <c r="C474" s="60" t="n">
        <v>243.75</v>
      </c>
      <c r="D474" s="59" t="n">
        <f aca="false">COUNTIFS($A$2:$A$1931,A474,$C$2:$C$1931,"&gt;"&amp;C474)+COUNTIFS($A$2:A474,A474,$C$2:C474,C474)</f>
        <v>7</v>
      </c>
      <c r="E474" s="59" t="str">
        <f aca="false">A474&amp;"|"&amp;D474</f>
        <v>BLR-Devasandra Extension|7</v>
      </c>
    </row>
    <row r="475" customFormat="false" ht="15" hidden="false" customHeight="false" outlineLevel="0" collapsed="false">
      <c r="A475" s="59" t="s">
        <v>193</v>
      </c>
      <c r="B475" s="59" t="s">
        <v>416</v>
      </c>
      <c r="C475" s="60" t="n">
        <v>139.69</v>
      </c>
      <c r="D475" s="59" t="n">
        <f aca="false">COUNTIFS($A$2:$A$1931,A475,$C$2:$C$1931,"&gt;"&amp;C475)+COUNTIFS($A$2:A475,A475,$C$2:C475,C475)</f>
        <v>8</v>
      </c>
      <c r="E475" s="59" t="str">
        <f aca="false">A475&amp;"|"&amp;D475</f>
        <v>BLR-Devasandra Extension|8</v>
      </c>
    </row>
    <row r="476" customFormat="false" ht="15" hidden="false" customHeight="false" outlineLevel="0" collapsed="false">
      <c r="A476" s="59" t="s">
        <v>193</v>
      </c>
      <c r="B476" s="59" t="s">
        <v>426</v>
      </c>
      <c r="C476" s="60" t="n">
        <v>17.13</v>
      </c>
      <c r="D476" s="59" t="n">
        <f aca="false">COUNTIFS($A$2:$A$1931,A476,$C$2:$C$1931,"&gt;"&amp;C476)+COUNTIFS($A$2:A476,A476,$C$2:C476,C476)</f>
        <v>9</v>
      </c>
      <c r="E476" s="59" t="str">
        <f aca="false">A476&amp;"|"&amp;D476</f>
        <v>BLR-Devasandra Extension|9</v>
      </c>
    </row>
    <row r="477" customFormat="false" ht="15" hidden="false" customHeight="false" outlineLevel="0" collapsed="false">
      <c r="A477" s="59" t="s">
        <v>193</v>
      </c>
      <c r="B477" s="59" t="s">
        <v>412</v>
      </c>
      <c r="C477" s="60" t="n">
        <v>9.11</v>
      </c>
      <c r="D477" s="59" t="n">
        <f aca="false">COUNTIFS($A$2:$A$1931,A477,$C$2:$C$1931,"&gt;"&amp;C477)+COUNTIFS($A$2:A477,A477,$C$2:C477,C477)</f>
        <v>10</v>
      </c>
      <c r="E477" s="59" t="str">
        <f aca="false">A477&amp;"|"&amp;D477</f>
        <v>BLR-Devasandra Extension|10</v>
      </c>
    </row>
    <row r="478" customFormat="false" ht="15" hidden="false" customHeight="false" outlineLevel="0" collapsed="false">
      <c r="A478" s="59" t="s">
        <v>45</v>
      </c>
      <c r="B478" s="59" t="s">
        <v>415</v>
      </c>
      <c r="C478" s="60" t="n">
        <v>13203.07</v>
      </c>
      <c r="D478" s="59" t="n">
        <f aca="false">COUNTIFS($A$2:$A$1931,A478,$C$2:$C$1931,"&gt;"&amp;C478)+COUNTIFS($A$2:A478,A478,$C$2:C478,C478)</f>
        <v>1</v>
      </c>
      <c r="E478" s="59" t="str">
        <f aca="false">A478&amp;"|"&amp;D478</f>
        <v>BLR-Doddakannelli|1</v>
      </c>
    </row>
    <row r="479" customFormat="false" ht="15" hidden="false" customHeight="false" outlineLevel="0" collapsed="false">
      <c r="A479" s="59" t="s">
        <v>45</v>
      </c>
      <c r="B479" s="59" t="s">
        <v>413</v>
      </c>
      <c r="C479" s="60" t="n">
        <v>8404.96</v>
      </c>
      <c r="D479" s="59" t="n">
        <f aca="false">COUNTIFS($A$2:$A$1931,A479,$C$2:$C$1931,"&gt;"&amp;C479)+COUNTIFS($A$2:A479,A479,$C$2:C479,C479)</f>
        <v>2</v>
      </c>
      <c r="E479" s="59" t="str">
        <f aca="false">A479&amp;"|"&amp;D479</f>
        <v>BLR-Doddakannelli|2</v>
      </c>
    </row>
    <row r="480" customFormat="false" ht="15" hidden="false" customHeight="false" outlineLevel="0" collapsed="false">
      <c r="A480" s="59" t="s">
        <v>45</v>
      </c>
      <c r="B480" s="59" t="s">
        <v>420</v>
      </c>
      <c r="C480" s="60" t="n">
        <v>7132.47</v>
      </c>
      <c r="D480" s="59" t="n">
        <f aca="false">COUNTIFS($A$2:$A$1931,A480,$C$2:$C$1931,"&gt;"&amp;C480)+COUNTIFS($A$2:A480,A480,$C$2:C480,C480)</f>
        <v>3</v>
      </c>
      <c r="E480" s="59" t="str">
        <f aca="false">A480&amp;"|"&amp;D480</f>
        <v>BLR-Doddakannelli|3</v>
      </c>
    </row>
    <row r="481" customFormat="false" ht="15" hidden="false" customHeight="false" outlineLevel="0" collapsed="false">
      <c r="A481" s="59" t="s">
        <v>45</v>
      </c>
      <c r="B481" s="59" t="s">
        <v>410</v>
      </c>
      <c r="C481" s="60" t="n">
        <v>3127.87</v>
      </c>
      <c r="D481" s="59" t="n">
        <f aca="false">COUNTIFS($A$2:$A$1931,A481,$C$2:$C$1931,"&gt;"&amp;C481)+COUNTIFS($A$2:A481,A481,$C$2:C481,C481)</f>
        <v>4</v>
      </c>
      <c r="E481" s="59" t="str">
        <f aca="false">A481&amp;"|"&amp;D481</f>
        <v>BLR-Doddakannelli|4</v>
      </c>
    </row>
    <row r="482" customFormat="false" ht="15" hidden="false" customHeight="false" outlineLevel="0" collapsed="false">
      <c r="A482" s="59" t="s">
        <v>45</v>
      </c>
      <c r="B482" s="59" t="s">
        <v>426</v>
      </c>
      <c r="C482" s="60" t="n">
        <v>2506.03</v>
      </c>
      <c r="D482" s="59" t="n">
        <f aca="false">COUNTIFS($A$2:$A$1931,A482,$C$2:$C$1931,"&gt;"&amp;C482)+COUNTIFS($A$2:A482,A482,$C$2:C482,C482)</f>
        <v>5</v>
      </c>
      <c r="E482" s="59" t="str">
        <f aca="false">A482&amp;"|"&amp;D482</f>
        <v>BLR-Doddakannelli|5</v>
      </c>
    </row>
    <row r="483" customFormat="false" ht="15" hidden="false" customHeight="false" outlineLevel="0" collapsed="false">
      <c r="A483" s="59" t="s">
        <v>45</v>
      </c>
      <c r="B483" s="59" t="s">
        <v>408</v>
      </c>
      <c r="C483" s="60" t="n">
        <v>779.24</v>
      </c>
      <c r="D483" s="59" t="n">
        <f aca="false">COUNTIFS($A$2:$A$1931,A483,$C$2:$C$1931,"&gt;"&amp;C483)+COUNTIFS($A$2:A483,A483,$C$2:C483,C483)</f>
        <v>6</v>
      </c>
      <c r="E483" s="59" t="str">
        <f aca="false">A483&amp;"|"&amp;D483</f>
        <v>BLR-Doddakannelli|6</v>
      </c>
    </row>
    <row r="484" customFormat="false" ht="15" hidden="false" customHeight="false" outlineLevel="0" collapsed="false">
      <c r="A484" s="59" t="s">
        <v>45</v>
      </c>
      <c r="B484" s="59" t="s">
        <v>424</v>
      </c>
      <c r="C484" s="60" t="n">
        <v>363.1</v>
      </c>
      <c r="D484" s="59" t="n">
        <f aca="false">COUNTIFS($A$2:$A$1931,A484,$C$2:$C$1931,"&gt;"&amp;C484)+COUNTIFS($A$2:A484,A484,$C$2:C484,C484)</f>
        <v>7</v>
      </c>
      <c r="E484" s="59" t="str">
        <f aca="false">A484&amp;"|"&amp;D484</f>
        <v>BLR-Doddakannelli|7</v>
      </c>
    </row>
    <row r="485" customFormat="false" ht="15" hidden="false" customHeight="false" outlineLevel="0" collapsed="false">
      <c r="A485" s="59" t="s">
        <v>45</v>
      </c>
      <c r="B485" s="59" t="s">
        <v>431</v>
      </c>
      <c r="C485" s="60" t="n">
        <v>263.17</v>
      </c>
      <c r="D485" s="59" t="n">
        <f aca="false">COUNTIFS($A$2:$A$1931,A485,$C$2:$C$1931,"&gt;"&amp;C485)+COUNTIFS($A$2:A485,A485,$C$2:C485,C485)</f>
        <v>8</v>
      </c>
      <c r="E485" s="59" t="str">
        <f aca="false">A485&amp;"|"&amp;D485</f>
        <v>BLR-Doddakannelli|8</v>
      </c>
    </row>
    <row r="486" customFormat="false" ht="15" hidden="false" customHeight="false" outlineLevel="0" collapsed="false">
      <c r="A486" s="59" t="s">
        <v>128</v>
      </c>
      <c r="B486" s="59" t="s">
        <v>410</v>
      </c>
      <c r="C486" s="60" t="n">
        <v>4183.86</v>
      </c>
      <c r="D486" s="59" t="n">
        <f aca="false">COUNTIFS($A$2:$A$1931,A486,$C$2:$C$1931,"&gt;"&amp;C486)+COUNTIFS($A$2:A486,A486,$C$2:C486,C486)</f>
        <v>1</v>
      </c>
      <c r="E486" s="59" t="str">
        <f aca="false">A486&amp;"|"&amp;D486</f>
        <v>BLR-Doddakannelli SS|1</v>
      </c>
    </row>
    <row r="487" customFormat="false" ht="15" hidden="false" customHeight="false" outlineLevel="0" collapsed="false">
      <c r="A487" s="59" t="s">
        <v>128</v>
      </c>
      <c r="B487" s="59" t="s">
        <v>415</v>
      </c>
      <c r="C487" s="60" t="n">
        <v>2628.66</v>
      </c>
      <c r="D487" s="59" t="n">
        <f aca="false">COUNTIFS($A$2:$A$1931,A487,$C$2:$C$1931,"&gt;"&amp;C487)+COUNTIFS($A$2:A487,A487,$C$2:C487,C487)</f>
        <v>2</v>
      </c>
      <c r="E487" s="59" t="str">
        <f aca="false">A487&amp;"|"&amp;D487</f>
        <v>BLR-Doddakannelli SS|2</v>
      </c>
    </row>
    <row r="488" customFormat="false" ht="15" hidden="false" customHeight="false" outlineLevel="0" collapsed="false">
      <c r="A488" s="59" t="s">
        <v>128</v>
      </c>
      <c r="B488" s="59" t="s">
        <v>411</v>
      </c>
      <c r="C488" s="60" t="n">
        <v>890.74</v>
      </c>
      <c r="D488" s="59" t="n">
        <f aca="false">COUNTIFS($A$2:$A$1931,A488,$C$2:$C$1931,"&gt;"&amp;C488)+COUNTIFS($A$2:A488,A488,$C$2:C488,C488)</f>
        <v>3</v>
      </c>
      <c r="E488" s="59" t="str">
        <f aca="false">A488&amp;"|"&amp;D488</f>
        <v>BLR-Doddakannelli SS|3</v>
      </c>
    </row>
    <row r="489" customFormat="false" ht="15" hidden="false" customHeight="false" outlineLevel="0" collapsed="false">
      <c r="A489" s="59" t="s">
        <v>128</v>
      </c>
      <c r="B489" s="59" t="s">
        <v>424</v>
      </c>
      <c r="C489" s="60" t="n">
        <v>545.17</v>
      </c>
      <c r="D489" s="59" t="n">
        <f aca="false">COUNTIFS($A$2:$A$1931,A489,$C$2:$C$1931,"&gt;"&amp;C489)+COUNTIFS($A$2:A489,A489,$C$2:C489,C489)</f>
        <v>4</v>
      </c>
      <c r="E489" s="59" t="str">
        <f aca="false">A489&amp;"|"&amp;D489</f>
        <v>BLR-Doddakannelli SS|4</v>
      </c>
    </row>
    <row r="490" customFormat="false" ht="15" hidden="false" customHeight="false" outlineLevel="0" collapsed="false">
      <c r="A490" s="59" t="s">
        <v>128</v>
      </c>
      <c r="B490" s="59" t="s">
        <v>417</v>
      </c>
      <c r="C490" s="60" t="n">
        <v>427.39</v>
      </c>
      <c r="D490" s="59" t="n">
        <f aca="false">COUNTIFS($A$2:$A$1931,A490,$C$2:$C$1931,"&gt;"&amp;C490)+COUNTIFS($A$2:A490,A490,$C$2:C490,C490)</f>
        <v>5</v>
      </c>
      <c r="E490" s="59" t="str">
        <f aca="false">A490&amp;"|"&amp;D490</f>
        <v>BLR-Doddakannelli SS|5</v>
      </c>
    </row>
    <row r="491" customFormat="false" ht="15" hidden="false" customHeight="false" outlineLevel="0" collapsed="false">
      <c r="A491" s="59" t="s">
        <v>128</v>
      </c>
      <c r="B491" s="59" t="s">
        <v>435</v>
      </c>
      <c r="C491" s="60" t="n">
        <v>273.6</v>
      </c>
      <c r="D491" s="59" t="n">
        <f aca="false">COUNTIFS($A$2:$A$1931,A491,$C$2:$C$1931,"&gt;"&amp;C491)+COUNTIFS($A$2:A491,A491,$C$2:C491,C491)</f>
        <v>6</v>
      </c>
      <c r="E491" s="59" t="str">
        <f aca="false">A491&amp;"|"&amp;D491</f>
        <v>BLR-Doddakannelli SS|6</v>
      </c>
    </row>
    <row r="492" customFormat="false" ht="15" hidden="false" customHeight="false" outlineLevel="0" collapsed="false">
      <c r="A492" s="59" t="s">
        <v>128</v>
      </c>
      <c r="B492" s="59" t="s">
        <v>408</v>
      </c>
      <c r="C492" s="60" t="n">
        <v>150.82</v>
      </c>
      <c r="D492" s="59" t="n">
        <f aca="false">COUNTIFS($A$2:$A$1931,A492,$C$2:$C$1931,"&gt;"&amp;C492)+COUNTIFS($A$2:A492,A492,$C$2:C492,C492)</f>
        <v>7</v>
      </c>
      <c r="E492" s="59" t="str">
        <f aca="false">A492&amp;"|"&amp;D492</f>
        <v>BLR-Doddakannelli SS|7</v>
      </c>
    </row>
    <row r="493" customFormat="false" ht="15" hidden="false" customHeight="false" outlineLevel="0" collapsed="false">
      <c r="A493" s="59" t="s">
        <v>128</v>
      </c>
      <c r="B493" s="59" t="s">
        <v>421</v>
      </c>
      <c r="C493" s="60" t="n">
        <v>141.9</v>
      </c>
      <c r="D493" s="59" t="n">
        <f aca="false">COUNTIFS($A$2:$A$1931,A493,$C$2:$C$1931,"&gt;"&amp;C493)+COUNTIFS($A$2:A493,A493,$C$2:C493,C493)</f>
        <v>8</v>
      </c>
      <c r="E493" s="59" t="str">
        <f aca="false">A493&amp;"|"&amp;D493</f>
        <v>BLR-Doddakannelli SS|8</v>
      </c>
    </row>
    <row r="494" customFormat="false" ht="15" hidden="false" customHeight="false" outlineLevel="0" collapsed="false">
      <c r="A494" s="59" t="s">
        <v>128</v>
      </c>
      <c r="B494" s="59" t="s">
        <v>442</v>
      </c>
      <c r="C494" s="60" t="n">
        <v>33.26</v>
      </c>
      <c r="D494" s="59" t="n">
        <f aca="false">COUNTIFS($A$2:$A$1931,A494,$C$2:$C$1931,"&gt;"&amp;C494)+COUNTIFS($A$2:A494,A494,$C$2:C494,C494)</f>
        <v>9</v>
      </c>
      <c r="E494" s="59" t="str">
        <f aca="false">A494&amp;"|"&amp;D494</f>
        <v>BLR-Doddakannelli SS|9</v>
      </c>
    </row>
    <row r="495" customFormat="false" ht="15" hidden="false" customHeight="false" outlineLevel="0" collapsed="false">
      <c r="A495" s="59" t="s">
        <v>152</v>
      </c>
      <c r="B495" s="59" t="s">
        <v>414</v>
      </c>
      <c r="C495" s="60" t="n">
        <v>3511.91</v>
      </c>
      <c r="D495" s="59" t="n">
        <f aca="false">COUNTIFS($A$2:$A$1931,A495,$C$2:$C$1931,"&gt;"&amp;C495)+COUNTIFS($A$2:A495,A495,$C$2:C495,C495)</f>
        <v>1</v>
      </c>
      <c r="E495" s="59" t="str">
        <f aca="false">A495&amp;"|"&amp;D495</f>
        <v>BLR-Doddanekundi|1</v>
      </c>
    </row>
    <row r="496" customFormat="false" ht="15" hidden="false" customHeight="false" outlineLevel="0" collapsed="false">
      <c r="A496" s="59" t="s">
        <v>152</v>
      </c>
      <c r="B496" s="59" t="s">
        <v>421</v>
      </c>
      <c r="C496" s="60" t="n">
        <v>1168.46</v>
      </c>
      <c r="D496" s="59" t="n">
        <f aca="false">COUNTIFS($A$2:$A$1931,A496,$C$2:$C$1931,"&gt;"&amp;C496)+COUNTIFS($A$2:A496,A496,$C$2:C496,C496)</f>
        <v>2</v>
      </c>
      <c r="E496" s="59" t="str">
        <f aca="false">A496&amp;"|"&amp;D496</f>
        <v>BLR-Doddanekundi|2</v>
      </c>
    </row>
    <row r="497" customFormat="false" ht="15" hidden="false" customHeight="false" outlineLevel="0" collapsed="false">
      <c r="A497" s="59" t="s">
        <v>152</v>
      </c>
      <c r="B497" s="59" t="s">
        <v>411</v>
      </c>
      <c r="C497" s="60" t="n">
        <v>1152.29</v>
      </c>
      <c r="D497" s="59" t="n">
        <f aca="false">COUNTIFS($A$2:$A$1931,A497,$C$2:$C$1931,"&gt;"&amp;C497)+COUNTIFS($A$2:A497,A497,$C$2:C497,C497)</f>
        <v>3</v>
      </c>
      <c r="E497" s="59" t="str">
        <f aca="false">A497&amp;"|"&amp;D497</f>
        <v>BLR-Doddanekundi|3</v>
      </c>
    </row>
    <row r="498" customFormat="false" ht="15" hidden="false" customHeight="false" outlineLevel="0" collapsed="false">
      <c r="A498" s="59" t="s">
        <v>152</v>
      </c>
      <c r="B498" s="59" t="s">
        <v>435</v>
      </c>
      <c r="C498" s="60" t="n">
        <v>1073.73</v>
      </c>
      <c r="D498" s="59" t="n">
        <f aca="false">COUNTIFS($A$2:$A$1931,A498,$C$2:$C$1931,"&gt;"&amp;C498)+COUNTIFS($A$2:A498,A498,$C$2:C498,C498)</f>
        <v>4</v>
      </c>
      <c r="E498" s="59" t="str">
        <f aca="false">A498&amp;"|"&amp;D498</f>
        <v>BLR-Doddanekundi|4</v>
      </c>
    </row>
    <row r="499" customFormat="false" ht="15" hidden="false" customHeight="false" outlineLevel="0" collapsed="false">
      <c r="A499" s="59" t="s">
        <v>152</v>
      </c>
      <c r="B499" s="59" t="s">
        <v>415</v>
      </c>
      <c r="C499" s="60" t="n">
        <v>838.64</v>
      </c>
      <c r="D499" s="59" t="n">
        <f aca="false">COUNTIFS($A$2:$A$1931,A499,$C$2:$C$1931,"&gt;"&amp;C499)+COUNTIFS($A$2:A499,A499,$C$2:C499,C499)</f>
        <v>5</v>
      </c>
      <c r="E499" s="59" t="str">
        <f aca="false">A499&amp;"|"&amp;D499</f>
        <v>BLR-Doddanekundi|5</v>
      </c>
    </row>
    <row r="500" customFormat="false" ht="15" hidden="false" customHeight="false" outlineLevel="0" collapsed="false">
      <c r="A500" s="59" t="s">
        <v>152</v>
      </c>
      <c r="B500" s="59" t="s">
        <v>409</v>
      </c>
      <c r="C500" s="60" t="n">
        <v>785.25</v>
      </c>
      <c r="D500" s="59" t="n">
        <f aca="false">COUNTIFS($A$2:$A$1931,A500,$C$2:$C$1931,"&gt;"&amp;C500)+COUNTIFS($A$2:A500,A500,$C$2:C500,C500)</f>
        <v>6</v>
      </c>
      <c r="E500" s="59" t="str">
        <f aca="false">A500&amp;"|"&amp;D500</f>
        <v>BLR-Doddanekundi|6</v>
      </c>
    </row>
    <row r="501" customFormat="false" ht="15" hidden="false" customHeight="false" outlineLevel="0" collapsed="false">
      <c r="A501" s="59" t="s">
        <v>152</v>
      </c>
      <c r="B501" s="59" t="s">
        <v>420</v>
      </c>
      <c r="C501" s="60" t="n">
        <v>558.99</v>
      </c>
      <c r="D501" s="59" t="n">
        <f aca="false">COUNTIFS($A$2:$A$1931,A501,$C$2:$C$1931,"&gt;"&amp;C501)+COUNTIFS($A$2:A501,A501,$C$2:C501,C501)</f>
        <v>7</v>
      </c>
      <c r="E501" s="59" t="str">
        <f aca="false">A501&amp;"|"&amp;D501</f>
        <v>BLR-Doddanekundi|7</v>
      </c>
    </row>
    <row r="502" customFormat="false" ht="15" hidden="false" customHeight="false" outlineLevel="0" collapsed="false">
      <c r="A502" s="59" t="s">
        <v>152</v>
      </c>
      <c r="B502" s="59" t="s">
        <v>431</v>
      </c>
      <c r="C502" s="60" t="n">
        <v>345.28</v>
      </c>
      <c r="D502" s="59" t="n">
        <f aca="false">COUNTIFS($A$2:$A$1931,A502,$C$2:$C$1931,"&gt;"&amp;C502)+COUNTIFS($A$2:A502,A502,$C$2:C502,C502)</f>
        <v>8</v>
      </c>
      <c r="E502" s="59" t="str">
        <f aca="false">A502&amp;"|"&amp;D502</f>
        <v>BLR-Doddanekundi|8</v>
      </c>
    </row>
    <row r="503" customFormat="false" ht="15" hidden="false" customHeight="false" outlineLevel="0" collapsed="false">
      <c r="A503" s="59" t="s">
        <v>142</v>
      </c>
      <c r="B503" s="59" t="s">
        <v>424</v>
      </c>
      <c r="C503" s="60" t="n">
        <v>2480.78</v>
      </c>
      <c r="D503" s="59" t="n">
        <f aca="false">COUNTIFS($A$2:$A$1931,A503,$C$2:$C$1931,"&gt;"&amp;C503)+COUNTIFS($A$2:A503,A503,$C$2:C503,C503)</f>
        <v>1</v>
      </c>
      <c r="E503" s="59" t="str">
        <f aca="false">A503&amp;"|"&amp;D503</f>
        <v>BLR-Doddathoguru|1</v>
      </c>
    </row>
    <row r="504" customFormat="false" ht="15" hidden="false" customHeight="false" outlineLevel="0" collapsed="false">
      <c r="A504" s="59" t="s">
        <v>142</v>
      </c>
      <c r="B504" s="59" t="s">
        <v>415</v>
      </c>
      <c r="C504" s="60" t="n">
        <v>1819.6</v>
      </c>
      <c r="D504" s="59" t="n">
        <f aca="false">COUNTIFS($A$2:$A$1931,A504,$C$2:$C$1931,"&gt;"&amp;C504)+COUNTIFS($A$2:A504,A504,$C$2:C504,C504)</f>
        <v>2</v>
      </c>
      <c r="E504" s="59" t="str">
        <f aca="false">A504&amp;"|"&amp;D504</f>
        <v>BLR-Doddathoguru|2</v>
      </c>
    </row>
    <row r="505" customFormat="false" ht="15" hidden="false" customHeight="false" outlineLevel="0" collapsed="false">
      <c r="A505" s="59" t="s">
        <v>142</v>
      </c>
      <c r="B505" s="59" t="s">
        <v>408</v>
      </c>
      <c r="C505" s="60" t="n">
        <v>1513.23</v>
      </c>
      <c r="D505" s="59" t="n">
        <f aca="false">COUNTIFS($A$2:$A$1931,A505,$C$2:$C$1931,"&gt;"&amp;C505)+COUNTIFS($A$2:A505,A505,$C$2:C505,C505)</f>
        <v>3</v>
      </c>
      <c r="E505" s="59" t="str">
        <f aca="false">A505&amp;"|"&amp;D505</f>
        <v>BLR-Doddathoguru|3</v>
      </c>
    </row>
    <row r="506" customFormat="false" ht="15" hidden="false" customHeight="false" outlineLevel="0" collapsed="false">
      <c r="A506" s="59" t="s">
        <v>142</v>
      </c>
      <c r="B506" s="59" t="s">
        <v>418</v>
      </c>
      <c r="C506" s="60" t="n">
        <v>1367.49</v>
      </c>
      <c r="D506" s="59" t="n">
        <f aca="false">COUNTIFS($A$2:$A$1931,A506,$C$2:$C$1931,"&gt;"&amp;C506)+COUNTIFS($A$2:A506,A506,$C$2:C506,C506)</f>
        <v>4</v>
      </c>
      <c r="E506" s="59" t="str">
        <f aca="false">A506&amp;"|"&amp;D506</f>
        <v>BLR-Doddathoguru|4</v>
      </c>
    </row>
    <row r="507" customFormat="false" ht="15" hidden="false" customHeight="false" outlineLevel="0" collapsed="false">
      <c r="A507" s="59" t="s">
        <v>142</v>
      </c>
      <c r="B507" s="59" t="s">
        <v>412</v>
      </c>
      <c r="C507" s="60" t="n">
        <v>769.96</v>
      </c>
      <c r="D507" s="59" t="n">
        <f aca="false">COUNTIFS($A$2:$A$1931,A507,$C$2:$C$1931,"&gt;"&amp;C507)+COUNTIFS($A$2:A507,A507,$C$2:C507,C507)</f>
        <v>5</v>
      </c>
      <c r="E507" s="59" t="str">
        <f aca="false">A507&amp;"|"&amp;D507</f>
        <v>BLR-Doddathoguru|5</v>
      </c>
    </row>
    <row r="508" customFormat="false" ht="15" hidden="false" customHeight="false" outlineLevel="0" collapsed="false">
      <c r="A508" s="59" t="s">
        <v>199</v>
      </c>
      <c r="B508" s="59" t="s">
        <v>420</v>
      </c>
      <c r="C508" s="60" t="n">
        <v>3921.29</v>
      </c>
      <c r="D508" s="59" t="n">
        <f aca="false">COUNTIFS($A$2:$A$1931,A508,$C$2:$C$1931,"&gt;"&amp;C508)+COUNTIFS($A$2:A508,A508,$C$2:C508,C508)</f>
        <v>1</v>
      </c>
      <c r="E508" s="59" t="str">
        <f aca="false">A508&amp;"|"&amp;D508</f>
        <v>BLR-Doomasandra|1</v>
      </c>
    </row>
    <row r="509" customFormat="false" ht="15" hidden="false" customHeight="false" outlineLevel="0" collapsed="false">
      <c r="A509" s="59" t="s">
        <v>199</v>
      </c>
      <c r="B509" s="59" t="s">
        <v>415</v>
      </c>
      <c r="C509" s="60" t="n">
        <v>1288.43</v>
      </c>
      <c r="D509" s="59" t="n">
        <f aca="false">COUNTIFS($A$2:$A$1931,A509,$C$2:$C$1931,"&gt;"&amp;C509)+COUNTIFS($A$2:A509,A509,$C$2:C509,C509)</f>
        <v>2</v>
      </c>
      <c r="E509" s="59" t="str">
        <f aca="false">A509&amp;"|"&amp;D509</f>
        <v>BLR-Doomasandra|2</v>
      </c>
    </row>
    <row r="510" customFormat="false" ht="15" hidden="false" customHeight="false" outlineLevel="0" collapsed="false">
      <c r="A510" s="59" t="s">
        <v>199</v>
      </c>
      <c r="B510" s="59" t="s">
        <v>409</v>
      </c>
      <c r="C510" s="60" t="n">
        <v>1240.23</v>
      </c>
      <c r="D510" s="59" t="n">
        <f aca="false">COUNTIFS($A$2:$A$1931,A510,$C$2:$C$1931,"&gt;"&amp;C510)+COUNTIFS($A$2:A510,A510,$C$2:C510,C510)</f>
        <v>3</v>
      </c>
      <c r="E510" s="59" t="str">
        <f aca="false">A510&amp;"|"&amp;D510</f>
        <v>BLR-Doomasandra|3</v>
      </c>
    </row>
    <row r="511" customFormat="false" ht="15" hidden="false" customHeight="false" outlineLevel="0" collapsed="false">
      <c r="A511" s="59" t="s">
        <v>199</v>
      </c>
      <c r="B511" s="59" t="s">
        <v>419</v>
      </c>
      <c r="C511" s="60" t="n">
        <v>661</v>
      </c>
      <c r="D511" s="59" t="n">
        <f aca="false">COUNTIFS($A$2:$A$1931,A511,$C$2:$C$1931,"&gt;"&amp;C511)+COUNTIFS($A$2:A511,A511,$C$2:C511,C511)</f>
        <v>4</v>
      </c>
      <c r="E511" s="59" t="str">
        <f aca="false">A511&amp;"|"&amp;D511</f>
        <v>BLR-Doomasandra|4</v>
      </c>
    </row>
    <row r="512" customFormat="false" ht="15" hidden="false" customHeight="false" outlineLevel="0" collapsed="false">
      <c r="A512" s="59" t="s">
        <v>199</v>
      </c>
      <c r="B512" s="59" t="s">
        <v>413</v>
      </c>
      <c r="C512" s="60" t="n">
        <v>282.9</v>
      </c>
      <c r="D512" s="59" t="n">
        <f aca="false">COUNTIFS($A$2:$A$1931,A512,$C$2:$C$1931,"&gt;"&amp;C512)+COUNTIFS($A$2:A512,A512,$C$2:C512,C512)</f>
        <v>5</v>
      </c>
      <c r="E512" s="59" t="str">
        <f aca="false">A512&amp;"|"&amp;D512</f>
        <v>BLR-Doomasandra|5</v>
      </c>
    </row>
    <row r="513" customFormat="false" ht="15" hidden="false" customHeight="false" outlineLevel="0" collapsed="false">
      <c r="A513" s="59" t="s">
        <v>199</v>
      </c>
      <c r="B513" s="59" t="s">
        <v>439</v>
      </c>
      <c r="C513" s="60" t="n">
        <v>79.94</v>
      </c>
      <c r="D513" s="59" t="n">
        <f aca="false">COUNTIFS($A$2:$A$1931,A513,$C$2:$C$1931,"&gt;"&amp;C513)+COUNTIFS($A$2:A513,A513,$C$2:C513,C513)</f>
        <v>6</v>
      </c>
      <c r="E513" s="59" t="str">
        <f aca="false">A513&amp;"|"&amp;D513</f>
        <v>BLR-Doomasandra|6</v>
      </c>
    </row>
    <row r="514" customFormat="false" ht="15" hidden="false" customHeight="false" outlineLevel="0" collapsed="false">
      <c r="A514" s="59" t="s">
        <v>30</v>
      </c>
      <c r="B514" s="59" t="s">
        <v>408</v>
      </c>
      <c r="C514" s="60" t="n">
        <v>36687.13</v>
      </c>
      <c r="D514" s="59" t="n">
        <f aca="false">COUNTIFS($A$2:$A$1931,A514,$C$2:$C$1931,"&gt;"&amp;C514)+COUNTIFS($A$2:A514,A514,$C$2:C514,C514)</f>
        <v>1</v>
      </c>
      <c r="E514" s="59" t="str">
        <f aca="false">A514&amp;"|"&amp;D514</f>
        <v>BLR-Dooravani Nagar|1</v>
      </c>
    </row>
    <row r="515" customFormat="false" ht="15" hidden="false" customHeight="false" outlineLevel="0" collapsed="false">
      <c r="A515" s="59" t="s">
        <v>30</v>
      </c>
      <c r="B515" s="59" t="s">
        <v>415</v>
      </c>
      <c r="C515" s="60" t="n">
        <v>24753.3</v>
      </c>
      <c r="D515" s="59" t="n">
        <f aca="false">COUNTIFS($A$2:$A$1931,A515,$C$2:$C$1931,"&gt;"&amp;C515)+COUNTIFS($A$2:A515,A515,$C$2:C515,C515)</f>
        <v>2</v>
      </c>
      <c r="E515" s="59" t="str">
        <f aca="false">A515&amp;"|"&amp;D515</f>
        <v>BLR-Dooravani Nagar|2</v>
      </c>
    </row>
    <row r="516" customFormat="false" ht="15" hidden="false" customHeight="false" outlineLevel="0" collapsed="false">
      <c r="A516" s="59" t="s">
        <v>30</v>
      </c>
      <c r="B516" s="59" t="s">
        <v>418</v>
      </c>
      <c r="C516" s="60" t="n">
        <v>17557.82</v>
      </c>
      <c r="D516" s="59" t="n">
        <f aca="false">COUNTIFS($A$2:$A$1931,A516,$C$2:$C$1931,"&gt;"&amp;C516)+COUNTIFS($A$2:A516,A516,$C$2:C516,C516)</f>
        <v>3</v>
      </c>
      <c r="E516" s="59" t="str">
        <f aca="false">A516&amp;"|"&amp;D516</f>
        <v>BLR-Dooravani Nagar|3</v>
      </c>
    </row>
    <row r="517" customFormat="false" ht="15" hidden="false" customHeight="false" outlineLevel="0" collapsed="false">
      <c r="A517" s="59" t="s">
        <v>30</v>
      </c>
      <c r="B517" s="59" t="s">
        <v>413</v>
      </c>
      <c r="C517" s="60" t="n">
        <v>16833.89</v>
      </c>
      <c r="D517" s="59" t="n">
        <f aca="false">COUNTIFS($A$2:$A$1931,A517,$C$2:$C$1931,"&gt;"&amp;C517)+COUNTIFS($A$2:A517,A517,$C$2:C517,C517)</f>
        <v>4</v>
      </c>
      <c r="E517" s="59" t="str">
        <f aca="false">A517&amp;"|"&amp;D517</f>
        <v>BLR-Dooravani Nagar|4</v>
      </c>
    </row>
    <row r="518" customFormat="false" ht="15" hidden="false" customHeight="false" outlineLevel="0" collapsed="false">
      <c r="A518" s="59" t="s">
        <v>30</v>
      </c>
      <c r="B518" s="59" t="s">
        <v>409</v>
      </c>
      <c r="C518" s="60" t="n">
        <v>8148.74</v>
      </c>
      <c r="D518" s="59" t="n">
        <f aca="false">COUNTIFS($A$2:$A$1931,A518,$C$2:$C$1931,"&gt;"&amp;C518)+COUNTIFS($A$2:A518,A518,$C$2:C518,C518)</f>
        <v>5</v>
      </c>
      <c r="E518" s="59" t="str">
        <f aca="false">A518&amp;"|"&amp;D518</f>
        <v>BLR-Dooravani Nagar|5</v>
      </c>
    </row>
    <row r="519" customFormat="false" ht="15" hidden="false" customHeight="false" outlineLevel="0" collapsed="false">
      <c r="A519" s="59" t="s">
        <v>30</v>
      </c>
      <c r="B519" s="59" t="s">
        <v>417</v>
      </c>
      <c r="C519" s="60" t="n">
        <v>4054.36</v>
      </c>
      <c r="D519" s="59" t="n">
        <f aca="false">COUNTIFS($A$2:$A$1931,A519,$C$2:$C$1931,"&gt;"&amp;C519)+COUNTIFS($A$2:A519,A519,$C$2:C519,C519)</f>
        <v>6</v>
      </c>
      <c r="E519" s="59" t="str">
        <f aca="false">A519&amp;"|"&amp;D519</f>
        <v>BLR-Dooravani Nagar|6</v>
      </c>
    </row>
    <row r="520" customFormat="false" ht="15" hidden="false" customHeight="false" outlineLevel="0" collapsed="false">
      <c r="A520" s="59" t="s">
        <v>30</v>
      </c>
      <c r="B520" s="59" t="s">
        <v>420</v>
      </c>
      <c r="C520" s="60" t="n">
        <v>906.32</v>
      </c>
      <c r="D520" s="59" t="n">
        <f aca="false">COUNTIFS($A$2:$A$1931,A520,$C$2:$C$1931,"&gt;"&amp;C520)+COUNTIFS($A$2:A520,A520,$C$2:C520,C520)</f>
        <v>7</v>
      </c>
      <c r="E520" s="59" t="str">
        <f aca="false">A520&amp;"|"&amp;D520</f>
        <v>BLR-Dooravani Nagar|7</v>
      </c>
    </row>
    <row r="521" customFormat="false" ht="15" hidden="false" customHeight="false" outlineLevel="0" collapsed="false">
      <c r="A521" s="59" t="s">
        <v>30</v>
      </c>
      <c r="B521" s="59" t="s">
        <v>412</v>
      </c>
      <c r="C521" s="60" t="n">
        <v>128.21</v>
      </c>
      <c r="D521" s="59" t="n">
        <f aca="false">COUNTIFS($A$2:$A$1931,A521,$C$2:$C$1931,"&gt;"&amp;C521)+COUNTIFS($A$2:A521,A521,$C$2:C521,C521)</f>
        <v>8</v>
      </c>
      <c r="E521" s="59" t="str">
        <f aca="false">A521&amp;"|"&amp;D521</f>
        <v>BLR-Dooravani Nagar|8</v>
      </c>
    </row>
    <row r="522" customFormat="false" ht="15" hidden="false" customHeight="false" outlineLevel="0" collapsed="false">
      <c r="A522" s="59" t="s">
        <v>30</v>
      </c>
      <c r="B522" s="59" t="s">
        <v>431</v>
      </c>
      <c r="C522" s="60" t="n">
        <v>84.93</v>
      </c>
      <c r="D522" s="59" t="n">
        <f aca="false">COUNTIFS($A$2:$A$1931,A522,$C$2:$C$1931,"&gt;"&amp;C522)+COUNTIFS($A$2:A522,A522,$C$2:C522,C522)</f>
        <v>9</v>
      </c>
      <c r="E522" s="59" t="str">
        <f aca="false">A522&amp;"|"&amp;D522</f>
        <v>BLR-Dooravani Nagar|9</v>
      </c>
    </row>
    <row r="523" customFormat="false" ht="15" hidden="false" customHeight="false" outlineLevel="0" collapsed="false">
      <c r="A523" s="59" t="s">
        <v>81</v>
      </c>
      <c r="B523" s="59" t="s">
        <v>424</v>
      </c>
      <c r="C523" s="60" t="n">
        <v>6749.28</v>
      </c>
      <c r="D523" s="59" t="n">
        <f aca="false">COUNTIFS($A$2:$A$1931,A523,$C$2:$C$1931,"&gt;"&amp;C523)+COUNTIFS($A$2:A523,A523,$C$2:C523,C523)</f>
        <v>1</v>
      </c>
      <c r="E523" s="59" t="str">
        <f aca="false">A523&amp;"|"&amp;D523</f>
        <v>BLR-Dooravani Nagar SS|1</v>
      </c>
    </row>
    <row r="524" customFormat="false" ht="15" hidden="false" customHeight="false" outlineLevel="0" collapsed="false">
      <c r="A524" s="59" t="s">
        <v>81</v>
      </c>
      <c r="B524" s="59" t="s">
        <v>410</v>
      </c>
      <c r="C524" s="60" t="n">
        <v>4125.55</v>
      </c>
      <c r="D524" s="59" t="n">
        <f aca="false">COUNTIFS($A$2:$A$1931,A524,$C$2:$C$1931,"&gt;"&amp;C524)+COUNTIFS($A$2:A524,A524,$C$2:C524,C524)</f>
        <v>2</v>
      </c>
      <c r="E524" s="59" t="str">
        <f aca="false">A524&amp;"|"&amp;D524</f>
        <v>BLR-Dooravani Nagar SS|2</v>
      </c>
    </row>
    <row r="525" customFormat="false" ht="15" hidden="false" customHeight="false" outlineLevel="0" collapsed="false">
      <c r="A525" s="59" t="s">
        <v>81</v>
      </c>
      <c r="B525" s="59" t="s">
        <v>420</v>
      </c>
      <c r="C525" s="60" t="n">
        <v>2943.14</v>
      </c>
      <c r="D525" s="59" t="n">
        <f aca="false">COUNTIFS($A$2:$A$1931,A525,$C$2:$C$1931,"&gt;"&amp;C525)+COUNTIFS($A$2:A525,A525,$C$2:C525,C525)</f>
        <v>3</v>
      </c>
      <c r="E525" s="59" t="str">
        <f aca="false">A525&amp;"|"&amp;D525</f>
        <v>BLR-Dooravani Nagar SS|3</v>
      </c>
    </row>
    <row r="526" customFormat="false" ht="15" hidden="false" customHeight="false" outlineLevel="0" collapsed="false">
      <c r="A526" s="59" t="s">
        <v>81</v>
      </c>
      <c r="B526" s="59" t="s">
        <v>426</v>
      </c>
      <c r="C526" s="60" t="n">
        <v>2554.86</v>
      </c>
      <c r="D526" s="59" t="n">
        <f aca="false">COUNTIFS($A$2:$A$1931,A526,$C$2:$C$1931,"&gt;"&amp;C526)+COUNTIFS($A$2:A526,A526,$C$2:C526,C526)</f>
        <v>4</v>
      </c>
      <c r="E526" s="59" t="str">
        <f aca="false">A526&amp;"|"&amp;D526</f>
        <v>BLR-Dooravani Nagar SS|4</v>
      </c>
    </row>
    <row r="527" customFormat="false" ht="15" hidden="false" customHeight="false" outlineLevel="0" collapsed="false">
      <c r="A527" s="59" t="s">
        <v>81</v>
      </c>
      <c r="B527" s="59" t="s">
        <v>408</v>
      </c>
      <c r="C527" s="60" t="n">
        <v>1950.22</v>
      </c>
      <c r="D527" s="59" t="n">
        <f aca="false">COUNTIFS($A$2:$A$1931,A527,$C$2:$C$1931,"&gt;"&amp;C527)+COUNTIFS($A$2:A527,A527,$C$2:C527,C527)</f>
        <v>5</v>
      </c>
      <c r="E527" s="59" t="str">
        <f aca="false">A527&amp;"|"&amp;D527</f>
        <v>BLR-Dooravani Nagar SS|5</v>
      </c>
    </row>
    <row r="528" customFormat="false" ht="15" hidden="false" customHeight="false" outlineLevel="0" collapsed="false">
      <c r="A528" s="59" t="s">
        <v>81</v>
      </c>
      <c r="B528" s="59" t="s">
        <v>417</v>
      </c>
      <c r="C528" s="60" t="n">
        <v>1815.32</v>
      </c>
      <c r="D528" s="59" t="n">
        <f aca="false">COUNTIFS($A$2:$A$1931,A528,$C$2:$C$1931,"&gt;"&amp;C528)+COUNTIFS($A$2:A528,A528,$C$2:C528,C528)</f>
        <v>6</v>
      </c>
      <c r="E528" s="59" t="str">
        <f aca="false">A528&amp;"|"&amp;D528</f>
        <v>BLR-Dooravani Nagar SS|6</v>
      </c>
    </row>
    <row r="529" customFormat="false" ht="15" hidden="false" customHeight="false" outlineLevel="0" collapsed="false">
      <c r="A529" s="59" t="s">
        <v>81</v>
      </c>
      <c r="B529" s="59" t="s">
        <v>409</v>
      </c>
      <c r="C529" s="60" t="n">
        <v>1501.24</v>
      </c>
      <c r="D529" s="59" t="n">
        <f aca="false">COUNTIFS($A$2:$A$1931,A529,$C$2:$C$1931,"&gt;"&amp;C529)+COUNTIFS($A$2:A529,A529,$C$2:C529,C529)</f>
        <v>7</v>
      </c>
      <c r="E529" s="59" t="str">
        <f aca="false">A529&amp;"|"&amp;D529</f>
        <v>BLR-Dooravani Nagar SS|7</v>
      </c>
    </row>
    <row r="530" customFormat="false" ht="15" hidden="false" customHeight="false" outlineLevel="0" collapsed="false">
      <c r="A530" s="59" t="s">
        <v>81</v>
      </c>
      <c r="B530" s="59" t="s">
        <v>413</v>
      </c>
      <c r="C530" s="60" t="n">
        <v>1202.09</v>
      </c>
      <c r="D530" s="59" t="n">
        <f aca="false">COUNTIFS($A$2:$A$1931,A530,$C$2:$C$1931,"&gt;"&amp;C530)+COUNTIFS($A$2:A530,A530,$C$2:C530,C530)</f>
        <v>8</v>
      </c>
      <c r="E530" s="59" t="str">
        <f aca="false">A530&amp;"|"&amp;D530</f>
        <v>BLR-Dooravani Nagar SS|8</v>
      </c>
    </row>
    <row r="531" customFormat="false" ht="15" hidden="false" customHeight="false" outlineLevel="0" collapsed="false">
      <c r="A531" s="59" t="s">
        <v>81</v>
      </c>
      <c r="B531" s="59" t="s">
        <v>431</v>
      </c>
      <c r="C531" s="60" t="n">
        <v>968.6</v>
      </c>
      <c r="D531" s="59" t="n">
        <f aca="false">COUNTIFS($A$2:$A$1931,A531,$C$2:$C$1931,"&gt;"&amp;C531)+COUNTIFS($A$2:A531,A531,$C$2:C531,C531)</f>
        <v>9</v>
      </c>
      <c r="E531" s="59" t="str">
        <f aca="false">A531&amp;"|"&amp;D531</f>
        <v>BLR-Dooravani Nagar SS|9</v>
      </c>
    </row>
    <row r="532" customFormat="false" ht="15" hidden="false" customHeight="false" outlineLevel="0" collapsed="false">
      <c r="A532" s="59" t="s">
        <v>81</v>
      </c>
      <c r="B532" s="59" t="s">
        <v>425</v>
      </c>
      <c r="C532" s="60" t="n">
        <v>536.66</v>
      </c>
      <c r="D532" s="59" t="n">
        <f aca="false">COUNTIFS($A$2:$A$1931,A532,$C$2:$C$1931,"&gt;"&amp;C532)+COUNTIFS($A$2:A532,A532,$C$2:C532,C532)</f>
        <v>10</v>
      </c>
      <c r="E532" s="59" t="str">
        <f aca="false">A532&amp;"|"&amp;D532</f>
        <v>BLR-Dooravani Nagar SS|10</v>
      </c>
    </row>
    <row r="533" customFormat="false" ht="15" hidden="false" customHeight="false" outlineLevel="0" collapsed="false">
      <c r="A533" s="59" t="s">
        <v>81</v>
      </c>
      <c r="B533" s="59" t="s">
        <v>418</v>
      </c>
      <c r="C533" s="60" t="n">
        <v>438.14</v>
      </c>
      <c r="D533" s="59" t="n">
        <f aca="false">COUNTIFS($A$2:$A$1931,A533,$C$2:$C$1931,"&gt;"&amp;C533)+COUNTIFS($A$2:A533,A533,$C$2:C533,C533)</f>
        <v>11</v>
      </c>
      <c r="E533" s="59" t="str">
        <f aca="false">A533&amp;"|"&amp;D533</f>
        <v>BLR-Dooravani Nagar SS|11</v>
      </c>
    </row>
    <row r="534" customFormat="false" ht="15" hidden="false" customHeight="false" outlineLevel="0" collapsed="false">
      <c r="A534" s="59" t="s">
        <v>81</v>
      </c>
      <c r="B534" s="59" t="s">
        <v>444</v>
      </c>
      <c r="C534" s="60" t="n">
        <v>125.29</v>
      </c>
      <c r="D534" s="59" t="n">
        <f aca="false">COUNTIFS($A$2:$A$1931,A534,$C$2:$C$1931,"&gt;"&amp;C534)+COUNTIFS($A$2:A534,A534,$C$2:C534,C534)</f>
        <v>12</v>
      </c>
      <c r="E534" s="59" t="str">
        <f aca="false">A534&amp;"|"&amp;D534</f>
        <v>BLR-Dooravani Nagar SS|12</v>
      </c>
    </row>
    <row r="535" customFormat="false" ht="15" hidden="false" customHeight="false" outlineLevel="0" collapsed="false">
      <c r="A535" s="59" t="s">
        <v>81</v>
      </c>
      <c r="B535" s="59" t="s">
        <v>412</v>
      </c>
      <c r="C535" s="60" t="n">
        <v>62.38</v>
      </c>
      <c r="D535" s="59" t="n">
        <f aca="false">COUNTIFS($A$2:$A$1931,A535,$C$2:$C$1931,"&gt;"&amp;C535)+COUNTIFS($A$2:A535,A535,$C$2:C535,C535)</f>
        <v>13</v>
      </c>
      <c r="E535" s="59" t="str">
        <f aca="false">A535&amp;"|"&amp;D535</f>
        <v>BLR-Dooravani Nagar SS|13</v>
      </c>
    </row>
    <row r="536" customFormat="false" ht="15" hidden="false" customHeight="false" outlineLevel="0" collapsed="false">
      <c r="A536" s="59" t="s">
        <v>212</v>
      </c>
      <c r="B536" s="59" t="s">
        <v>410</v>
      </c>
      <c r="C536" s="60" t="n">
        <v>1849.38</v>
      </c>
      <c r="D536" s="59" t="n">
        <f aca="false">COUNTIFS($A$2:$A$1931,A536,$C$2:$C$1931,"&gt;"&amp;C536)+COUNTIFS($A$2:A536,A536,$C$2:C536,C536)</f>
        <v>1</v>
      </c>
      <c r="E536" s="59" t="str">
        <f aca="false">A536&amp;"|"&amp;D536</f>
        <v>BLR-Eldorado|1</v>
      </c>
    </row>
    <row r="537" customFormat="false" ht="15" hidden="false" customHeight="false" outlineLevel="0" collapsed="false">
      <c r="A537" s="59" t="s">
        <v>212</v>
      </c>
      <c r="B537" s="59" t="s">
        <v>408</v>
      </c>
      <c r="C537" s="60" t="n">
        <v>73.96</v>
      </c>
      <c r="D537" s="59" t="n">
        <f aca="false">COUNTIFS($A$2:$A$1931,A537,$C$2:$C$1931,"&gt;"&amp;C537)+COUNTIFS($A$2:A537,A537,$C$2:C537,C537)</f>
        <v>2</v>
      </c>
      <c r="E537" s="59" t="str">
        <f aca="false">A537&amp;"|"&amp;D537</f>
        <v>BLR-Eldorado|2</v>
      </c>
    </row>
    <row r="538" customFormat="false" ht="15" hidden="false" customHeight="false" outlineLevel="0" collapsed="false">
      <c r="A538" s="59" t="s">
        <v>212</v>
      </c>
      <c r="B538" s="59" t="s">
        <v>415</v>
      </c>
      <c r="C538" s="60" t="n">
        <v>17.16</v>
      </c>
      <c r="D538" s="59" t="n">
        <f aca="false">COUNTIFS($A$2:$A$1931,A538,$C$2:$C$1931,"&gt;"&amp;C538)+COUNTIFS($A$2:A538,A538,$C$2:C538,C538)</f>
        <v>3</v>
      </c>
      <c r="E538" s="59" t="str">
        <f aca="false">A538&amp;"|"&amp;D538</f>
        <v>BLR-Eldorado|3</v>
      </c>
    </row>
    <row r="539" customFormat="false" ht="15" hidden="false" customHeight="false" outlineLevel="0" collapsed="false">
      <c r="A539" s="59" t="s">
        <v>235</v>
      </c>
      <c r="B539" s="59" t="s">
        <v>413</v>
      </c>
      <c r="C539" s="60" t="n">
        <v>14864.59</v>
      </c>
      <c r="D539" s="59" t="n">
        <f aca="false">COUNTIFS($A$2:$A$1931,A539,$C$2:$C$1931,"&gt;"&amp;C539)+COUNTIFS($A$2:A539,A539,$C$2:C539,C539)</f>
        <v>1</v>
      </c>
      <c r="E539" s="59" t="str">
        <f aca="false">A539&amp;"|"&amp;D539</f>
        <v>BLR-Electronic City Network-2|1</v>
      </c>
    </row>
    <row r="540" customFormat="false" ht="15" hidden="false" customHeight="false" outlineLevel="0" collapsed="false">
      <c r="A540" s="59" t="s">
        <v>235</v>
      </c>
      <c r="B540" s="59" t="s">
        <v>408</v>
      </c>
      <c r="C540" s="60" t="n">
        <v>4774.8</v>
      </c>
      <c r="D540" s="59" t="n">
        <f aca="false">COUNTIFS($A$2:$A$1931,A540,$C$2:$C$1931,"&gt;"&amp;C540)+COUNTIFS($A$2:A540,A540,$C$2:C540,C540)</f>
        <v>2</v>
      </c>
      <c r="E540" s="59" t="str">
        <f aca="false">A540&amp;"|"&amp;D540</f>
        <v>BLR-Electronic City Network-2|2</v>
      </c>
    </row>
    <row r="541" customFormat="false" ht="15" hidden="false" customHeight="false" outlineLevel="0" collapsed="false">
      <c r="A541" s="59" t="s">
        <v>235</v>
      </c>
      <c r="B541" s="59" t="s">
        <v>424</v>
      </c>
      <c r="C541" s="60" t="n">
        <v>2219.03</v>
      </c>
      <c r="D541" s="59" t="n">
        <f aca="false">COUNTIFS($A$2:$A$1931,A541,$C$2:$C$1931,"&gt;"&amp;C541)+COUNTIFS($A$2:A541,A541,$C$2:C541,C541)</f>
        <v>3</v>
      </c>
      <c r="E541" s="59" t="str">
        <f aca="false">A541&amp;"|"&amp;D541</f>
        <v>BLR-Electronic City Network-2|3</v>
      </c>
    </row>
    <row r="542" customFormat="false" ht="15" hidden="false" customHeight="false" outlineLevel="0" collapsed="false">
      <c r="A542" s="59" t="s">
        <v>235</v>
      </c>
      <c r="B542" s="59" t="s">
        <v>431</v>
      </c>
      <c r="C542" s="60" t="n">
        <v>1948.58</v>
      </c>
      <c r="D542" s="59" t="n">
        <f aca="false">COUNTIFS($A$2:$A$1931,A542,$C$2:$C$1931,"&gt;"&amp;C542)+COUNTIFS($A$2:A542,A542,$C$2:C542,C542)</f>
        <v>4</v>
      </c>
      <c r="E542" s="59" t="str">
        <f aca="false">A542&amp;"|"&amp;D542</f>
        <v>BLR-Electronic City Network-2|4</v>
      </c>
    </row>
    <row r="543" customFormat="false" ht="15" hidden="false" customHeight="false" outlineLevel="0" collapsed="false">
      <c r="A543" s="59" t="s">
        <v>235</v>
      </c>
      <c r="B543" s="59" t="s">
        <v>415</v>
      </c>
      <c r="C543" s="60" t="n">
        <v>796.02</v>
      </c>
      <c r="D543" s="59" t="n">
        <f aca="false">COUNTIFS($A$2:$A$1931,A543,$C$2:$C$1931,"&gt;"&amp;C543)+COUNTIFS($A$2:A543,A543,$C$2:C543,C543)</f>
        <v>5</v>
      </c>
      <c r="E543" s="59" t="str">
        <f aca="false">A543&amp;"|"&amp;D543</f>
        <v>BLR-Electronic City Network-2|5</v>
      </c>
    </row>
    <row r="544" customFormat="false" ht="15" hidden="false" customHeight="false" outlineLevel="0" collapsed="false">
      <c r="A544" s="59" t="s">
        <v>235</v>
      </c>
      <c r="B544" s="59" t="s">
        <v>418</v>
      </c>
      <c r="C544" s="60" t="n">
        <v>157.08</v>
      </c>
      <c r="D544" s="59" t="n">
        <f aca="false">COUNTIFS($A$2:$A$1931,A544,$C$2:$C$1931,"&gt;"&amp;C544)+COUNTIFS($A$2:A544,A544,$C$2:C544,C544)</f>
        <v>6</v>
      </c>
      <c r="E544" s="59" t="str">
        <f aca="false">A544&amp;"|"&amp;D544</f>
        <v>BLR-Electronic City Network-2|6</v>
      </c>
    </row>
    <row r="545" customFormat="false" ht="15" hidden="false" customHeight="false" outlineLevel="0" collapsed="false">
      <c r="A545" s="59" t="s">
        <v>235</v>
      </c>
      <c r="B545" s="59" t="s">
        <v>423</v>
      </c>
      <c r="C545" s="60" t="n">
        <v>75.28</v>
      </c>
      <c r="D545" s="59" t="n">
        <f aca="false">COUNTIFS($A$2:$A$1931,A545,$C$2:$C$1931,"&gt;"&amp;C545)+COUNTIFS($A$2:A545,A545,$C$2:C545,C545)</f>
        <v>7</v>
      </c>
      <c r="E545" s="59" t="str">
        <f aca="false">A545&amp;"|"&amp;D545</f>
        <v>BLR-Electronic City Network-2|7</v>
      </c>
    </row>
    <row r="546" customFormat="false" ht="15" hidden="false" customHeight="false" outlineLevel="0" collapsed="false">
      <c r="A546" s="59" t="s">
        <v>134</v>
      </c>
      <c r="B546" s="59" t="s">
        <v>409</v>
      </c>
      <c r="C546" s="60" t="n">
        <v>5080.34</v>
      </c>
      <c r="D546" s="59" t="n">
        <f aca="false">COUNTIFS($A$2:$A$1931,A546,$C$2:$C$1931,"&gt;"&amp;C546)+COUNTIFS($A$2:A546,A546,$C$2:C546,C546)</f>
        <v>1</v>
      </c>
      <c r="E546" s="59" t="str">
        <f aca="false">A546&amp;"|"&amp;D546</f>
        <v>BLR-Electronic City New|1</v>
      </c>
    </row>
    <row r="547" customFormat="false" ht="15" hidden="false" customHeight="false" outlineLevel="0" collapsed="false">
      <c r="A547" s="59" t="s">
        <v>134</v>
      </c>
      <c r="B547" s="59" t="s">
        <v>424</v>
      </c>
      <c r="C547" s="60" t="n">
        <v>3219.39</v>
      </c>
      <c r="D547" s="59" t="n">
        <f aca="false">COUNTIFS($A$2:$A$1931,A547,$C$2:$C$1931,"&gt;"&amp;C547)+COUNTIFS($A$2:A547,A547,$C$2:C547,C547)</f>
        <v>2</v>
      </c>
      <c r="E547" s="59" t="str">
        <f aca="false">A547&amp;"|"&amp;D547</f>
        <v>BLR-Electronic City New|2</v>
      </c>
    </row>
    <row r="548" customFormat="false" ht="15" hidden="false" customHeight="false" outlineLevel="0" collapsed="false">
      <c r="A548" s="59" t="s">
        <v>134</v>
      </c>
      <c r="B548" s="59" t="s">
        <v>408</v>
      </c>
      <c r="C548" s="60" t="n">
        <v>3116.52</v>
      </c>
      <c r="D548" s="59" t="n">
        <f aca="false">COUNTIFS($A$2:$A$1931,A548,$C$2:$C$1931,"&gt;"&amp;C548)+COUNTIFS($A$2:A548,A548,$C$2:C548,C548)</f>
        <v>3</v>
      </c>
      <c r="E548" s="59" t="str">
        <f aca="false">A548&amp;"|"&amp;D548</f>
        <v>BLR-Electronic City New|3</v>
      </c>
    </row>
    <row r="549" customFormat="false" ht="15" hidden="false" customHeight="false" outlineLevel="0" collapsed="false">
      <c r="A549" s="59" t="s">
        <v>134</v>
      </c>
      <c r="B549" s="59" t="s">
        <v>418</v>
      </c>
      <c r="C549" s="60" t="n">
        <v>2915.46</v>
      </c>
      <c r="D549" s="59" t="n">
        <f aca="false">COUNTIFS($A$2:$A$1931,A549,$C$2:$C$1931,"&gt;"&amp;C549)+COUNTIFS($A$2:A549,A549,$C$2:C549,C549)</f>
        <v>4</v>
      </c>
      <c r="E549" s="59" t="str">
        <f aca="false">A549&amp;"|"&amp;D549</f>
        <v>BLR-Electronic City New|4</v>
      </c>
    </row>
    <row r="550" customFormat="false" ht="15" hidden="false" customHeight="false" outlineLevel="0" collapsed="false">
      <c r="A550" s="59" t="s">
        <v>134</v>
      </c>
      <c r="B550" s="59" t="s">
        <v>407</v>
      </c>
      <c r="C550" s="60" t="n">
        <v>257.05</v>
      </c>
      <c r="D550" s="59" t="n">
        <f aca="false">COUNTIFS($A$2:$A$1931,A550,$C$2:$C$1931,"&gt;"&amp;C550)+COUNTIFS($A$2:A550,A550,$C$2:C550,C550)</f>
        <v>5</v>
      </c>
      <c r="E550" s="59" t="str">
        <f aca="false">A550&amp;"|"&amp;D550</f>
        <v>BLR-Electronic City New|5</v>
      </c>
    </row>
    <row r="551" customFormat="false" ht="15" hidden="false" customHeight="false" outlineLevel="0" collapsed="false">
      <c r="A551" s="59" t="s">
        <v>134</v>
      </c>
      <c r="B551" s="59" t="s">
        <v>423</v>
      </c>
      <c r="C551" s="60" t="n">
        <v>150.71</v>
      </c>
      <c r="D551" s="59" t="n">
        <f aca="false">COUNTIFS($A$2:$A$1931,A551,$C$2:$C$1931,"&gt;"&amp;C551)+COUNTIFS($A$2:A551,A551,$C$2:C551,C551)</f>
        <v>6</v>
      </c>
      <c r="E551" s="59" t="str">
        <f aca="false">A551&amp;"|"&amp;D551</f>
        <v>BLR-Electronic City New|6</v>
      </c>
    </row>
    <row r="552" customFormat="false" ht="15" hidden="false" customHeight="false" outlineLevel="0" collapsed="false">
      <c r="A552" s="59" t="s">
        <v>134</v>
      </c>
      <c r="B552" s="59" t="s">
        <v>413</v>
      </c>
      <c r="C552" s="60" t="n">
        <v>74.02</v>
      </c>
      <c r="D552" s="59" t="n">
        <f aca="false">COUNTIFS($A$2:$A$1931,A552,$C$2:$C$1931,"&gt;"&amp;C552)+COUNTIFS($A$2:A552,A552,$C$2:C552,C552)</f>
        <v>7</v>
      </c>
      <c r="E552" s="59" t="str">
        <f aca="false">A552&amp;"|"&amp;D552</f>
        <v>BLR-Electronic City New|7</v>
      </c>
    </row>
    <row r="553" customFormat="false" ht="15" hidden="false" customHeight="false" outlineLevel="0" collapsed="false">
      <c r="A553" s="59" t="s">
        <v>177</v>
      </c>
      <c r="B553" s="59" t="s">
        <v>445</v>
      </c>
      <c r="C553" s="60" t="n">
        <v>4945.42</v>
      </c>
      <c r="D553" s="59" t="n">
        <f aca="false">COUNTIFS($A$2:$A$1931,A553,$C$2:$C$1931,"&gt;"&amp;C553)+COUNTIFS($A$2:A553,A553,$C$2:C553,C553)</f>
        <v>1</v>
      </c>
      <c r="E553" s="59" t="str">
        <f aca="false">A553&amp;"|"&amp;D553</f>
        <v>BLR-Electronic City SS|1</v>
      </c>
    </row>
    <row r="554" customFormat="false" ht="15" hidden="false" customHeight="false" outlineLevel="0" collapsed="false">
      <c r="A554" s="59" t="s">
        <v>177</v>
      </c>
      <c r="B554" s="59" t="s">
        <v>416</v>
      </c>
      <c r="C554" s="60" t="n">
        <v>855.05</v>
      </c>
      <c r="D554" s="59" t="n">
        <f aca="false">COUNTIFS($A$2:$A$1931,A554,$C$2:$C$1931,"&gt;"&amp;C554)+COUNTIFS($A$2:A554,A554,$C$2:C554,C554)</f>
        <v>2</v>
      </c>
      <c r="E554" s="59" t="str">
        <f aca="false">A554&amp;"|"&amp;D554</f>
        <v>BLR-Electronic City SS|2</v>
      </c>
    </row>
    <row r="555" customFormat="false" ht="15" hidden="false" customHeight="false" outlineLevel="0" collapsed="false">
      <c r="A555" s="59" t="s">
        <v>177</v>
      </c>
      <c r="B555" s="59" t="s">
        <v>444</v>
      </c>
      <c r="C555" s="60" t="n">
        <v>814.32</v>
      </c>
      <c r="D555" s="59" t="n">
        <f aca="false">COUNTIFS($A$2:$A$1931,A555,$C$2:$C$1931,"&gt;"&amp;C555)+COUNTIFS($A$2:A555,A555,$C$2:C555,C555)</f>
        <v>3</v>
      </c>
      <c r="E555" s="59" t="str">
        <f aca="false">A555&amp;"|"&amp;D555</f>
        <v>BLR-Electronic City SS|3</v>
      </c>
    </row>
    <row r="556" customFormat="false" ht="15" hidden="false" customHeight="false" outlineLevel="0" collapsed="false">
      <c r="A556" s="59" t="s">
        <v>177</v>
      </c>
      <c r="B556" s="59" t="s">
        <v>415</v>
      </c>
      <c r="C556" s="60" t="n">
        <v>812.98</v>
      </c>
      <c r="D556" s="59" t="n">
        <f aca="false">COUNTIFS($A$2:$A$1931,A556,$C$2:$C$1931,"&gt;"&amp;C556)+COUNTIFS($A$2:A556,A556,$C$2:C556,C556)</f>
        <v>4</v>
      </c>
      <c r="E556" s="59" t="str">
        <f aca="false">A556&amp;"|"&amp;D556</f>
        <v>BLR-Electronic City SS|4</v>
      </c>
    </row>
    <row r="557" customFormat="false" ht="15" hidden="false" customHeight="false" outlineLevel="0" collapsed="false">
      <c r="A557" s="59" t="s">
        <v>177</v>
      </c>
      <c r="B557" s="59" t="s">
        <v>408</v>
      </c>
      <c r="C557" s="60" t="n">
        <v>303.09</v>
      </c>
      <c r="D557" s="59" t="n">
        <f aca="false">COUNTIFS($A$2:$A$1931,A557,$C$2:$C$1931,"&gt;"&amp;C557)+COUNTIFS($A$2:A557,A557,$C$2:C557,C557)</f>
        <v>5</v>
      </c>
      <c r="E557" s="59" t="str">
        <f aca="false">A557&amp;"|"&amp;D557</f>
        <v>BLR-Electronic City SS|5</v>
      </c>
    </row>
    <row r="558" customFormat="false" ht="15" hidden="false" customHeight="false" outlineLevel="0" collapsed="false">
      <c r="A558" s="59" t="s">
        <v>177</v>
      </c>
      <c r="B558" s="59" t="s">
        <v>409</v>
      </c>
      <c r="C558" s="60" t="n">
        <v>270.58</v>
      </c>
      <c r="D558" s="59" t="n">
        <f aca="false">COUNTIFS($A$2:$A$1931,A558,$C$2:$C$1931,"&gt;"&amp;C558)+COUNTIFS($A$2:A558,A558,$C$2:C558,C558)</f>
        <v>6</v>
      </c>
      <c r="E558" s="59" t="str">
        <f aca="false">A558&amp;"|"&amp;D558</f>
        <v>BLR-Electronic City SS|6</v>
      </c>
    </row>
    <row r="559" customFormat="false" ht="15" hidden="false" customHeight="false" outlineLevel="0" collapsed="false">
      <c r="A559" s="59" t="s">
        <v>177</v>
      </c>
      <c r="B559" s="59" t="s">
        <v>420</v>
      </c>
      <c r="C559" s="60" t="n">
        <v>115.59</v>
      </c>
      <c r="D559" s="59" t="n">
        <f aca="false">COUNTIFS($A$2:$A$1931,A559,$C$2:$C$1931,"&gt;"&amp;C559)+COUNTIFS($A$2:A559,A559,$C$2:C559,C559)</f>
        <v>7</v>
      </c>
      <c r="E559" s="59" t="str">
        <f aca="false">A559&amp;"|"&amp;D559</f>
        <v>BLR-Electronic City SS|7</v>
      </c>
    </row>
    <row r="560" customFormat="false" ht="15" hidden="false" customHeight="false" outlineLevel="0" collapsed="false">
      <c r="A560" s="59" t="s">
        <v>49</v>
      </c>
      <c r="B560" s="59" t="s">
        <v>418</v>
      </c>
      <c r="C560" s="60" t="n">
        <v>20085.28</v>
      </c>
      <c r="D560" s="59" t="n">
        <f aca="false">COUNTIFS($A$2:$A$1931,A560,$C$2:$C$1931,"&gt;"&amp;C560)+COUNTIFS($A$2:A560,A560,$C$2:C560,C560)</f>
        <v>1</v>
      </c>
      <c r="E560" s="59" t="str">
        <f aca="false">A560&amp;"|"&amp;D560</f>
        <v>BLR-Electronic city network|1</v>
      </c>
    </row>
    <row r="561" customFormat="false" ht="15" hidden="false" customHeight="false" outlineLevel="0" collapsed="false">
      <c r="A561" s="59" t="s">
        <v>49</v>
      </c>
      <c r="B561" s="59" t="s">
        <v>409</v>
      </c>
      <c r="C561" s="60" t="n">
        <v>11724.35</v>
      </c>
      <c r="D561" s="59" t="n">
        <f aca="false">COUNTIFS($A$2:$A$1931,A561,$C$2:$C$1931,"&gt;"&amp;C561)+COUNTIFS($A$2:A561,A561,$C$2:C561,C561)</f>
        <v>2</v>
      </c>
      <c r="E561" s="59" t="str">
        <f aca="false">A561&amp;"|"&amp;D561</f>
        <v>BLR-Electronic city network|2</v>
      </c>
    </row>
    <row r="562" customFormat="false" ht="15" hidden="false" customHeight="false" outlineLevel="0" collapsed="false">
      <c r="A562" s="59" t="s">
        <v>49</v>
      </c>
      <c r="B562" s="59" t="s">
        <v>424</v>
      </c>
      <c r="C562" s="60" t="n">
        <v>10468.16</v>
      </c>
      <c r="D562" s="59" t="n">
        <f aca="false">COUNTIFS($A$2:$A$1931,A562,$C$2:$C$1931,"&gt;"&amp;C562)+COUNTIFS($A$2:A562,A562,$C$2:C562,C562)</f>
        <v>3</v>
      </c>
      <c r="E562" s="59" t="str">
        <f aca="false">A562&amp;"|"&amp;D562</f>
        <v>BLR-Electronic city network|3</v>
      </c>
    </row>
    <row r="563" customFormat="false" ht="15" hidden="false" customHeight="false" outlineLevel="0" collapsed="false">
      <c r="A563" s="59" t="s">
        <v>49</v>
      </c>
      <c r="B563" s="59" t="s">
        <v>408</v>
      </c>
      <c r="C563" s="60" t="n">
        <v>7604.35</v>
      </c>
      <c r="D563" s="59" t="n">
        <f aca="false">COUNTIFS($A$2:$A$1931,A563,$C$2:$C$1931,"&gt;"&amp;C563)+COUNTIFS($A$2:A563,A563,$C$2:C563,C563)</f>
        <v>4</v>
      </c>
      <c r="E563" s="59" t="str">
        <f aca="false">A563&amp;"|"&amp;D563</f>
        <v>BLR-Electronic city network|4</v>
      </c>
    </row>
    <row r="564" customFormat="false" ht="15" hidden="false" customHeight="false" outlineLevel="0" collapsed="false">
      <c r="A564" s="59" t="s">
        <v>49</v>
      </c>
      <c r="B564" s="59" t="s">
        <v>420</v>
      </c>
      <c r="C564" s="60" t="n">
        <v>4537.55</v>
      </c>
      <c r="D564" s="59" t="n">
        <f aca="false">COUNTIFS($A$2:$A$1931,A564,$C$2:$C$1931,"&gt;"&amp;C564)+COUNTIFS($A$2:A564,A564,$C$2:C564,C564)</f>
        <v>5</v>
      </c>
      <c r="E564" s="59" t="str">
        <f aca="false">A564&amp;"|"&amp;D564</f>
        <v>BLR-Electronic city network|5</v>
      </c>
    </row>
    <row r="565" customFormat="false" ht="15" hidden="false" customHeight="false" outlineLevel="0" collapsed="false">
      <c r="A565" s="59" t="s">
        <v>49</v>
      </c>
      <c r="B565" s="59" t="s">
        <v>413</v>
      </c>
      <c r="C565" s="60" t="n">
        <v>2953.15</v>
      </c>
      <c r="D565" s="59" t="n">
        <f aca="false">COUNTIFS($A$2:$A$1931,A565,$C$2:$C$1931,"&gt;"&amp;C565)+COUNTIFS($A$2:A565,A565,$C$2:C565,C565)</f>
        <v>6</v>
      </c>
      <c r="E565" s="59" t="str">
        <f aca="false">A565&amp;"|"&amp;D565</f>
        <v>BLR-Electronic city network|6</v>
      </c>
    </row>
    <row r="566" customFormat="false" ht="15" hidden="false" customHeight="false" outlineLevel="0" collapsed="false">
      <c r="A566" s="59" t="s">
        <v>49</v>
      </c>
      <c r="B566" s="59" t="s">
        <v>417</v>
      </c>
      <c r="C566" s="60" t="n">
        <v>1943.25</v>
      </c>
      <c r="D566" s="59" t="n">
        <f aca="false">COUNTIFS($A$2:$A$1931,A566,$C$2:$C$1931,"&gt;"&amp;C566)+COUNTIFS($A$2:A566,A566,$C$2:C566,C566)</f>
        <v>7</v>
      </c>
      <c r="E566" s="59" t="str">
        <f aca="false">A566&amp;"|"&amp;D566</f>
        <v>BLR-Electronic city network|7</v>
      </c>
    </row>
    <row r="567" customFormat="false" ht="15" hidden="false" customHeight="false" outlineLevel="0" collapsed="false">
      <c r="A567" s="59" t="s">
        <v>49</v>
      </c>
      <c r="B567" s="59" t="s">
        <v>410</v>
      </c>
      <c r="C567" s="60" t="n">
        <v>1111.65</v>
      </c>
      <c r="D567" s="59" t="n">
        <f aca="false">COUNTIFS($A$2:$A$1931,A567,$C$2:$C$1931,"&gt;"&amp;C567)+COUNTIFS($A$2:A567,A567,$C$2:C567,C567)</f>
        <v>8</v>
      </c>
      <c r="E567" s="59" t="str">
        <f aca="false">A567&amp;"|"&amp;D567</f>
        <v>BLR-Electronic city network|8</v>
      </c>
    </row>
    <row r="568" customFormat="false" ht="15" hidden="false" customHeight="false" outlineLevel="0" collapsed="false">
      <c r="A568" s="59" t="s">
        <v>49</v>
      </c>
      <c r="B568" s="59" t="s">
        <v>431</v>
      </c>
      <c r="C568" s="60" t="n">
        <v>1019.99</v>
      </c>
      <c r="D568" s="59" t="n">
        <f aca="false">COUNTIFS($A$2:$A$1931,A568,$C$2:$C$1931,"&gt;"&amp;C568)+COUNTIFS($A$2:A568,A568,$C$2:C568,C568)</f>
        <v>9</v>
      </c>
      <c r="E568" s="59" t="str">
        <f aca="false">A568&amp;"|"&amp;D568</f>
        <v>BLR-Electronic city network|9</v>
      </c>
    </row>
    <row r="569" customFormat="false" ht="15" hidden="false" customHeight="false" outlineLevel="0" collapsed="false">
      <c r="A569" s="59" t="s">
        <v>49</v>
      </c>
      <c r="B569" s="59" t="s">
        <v>412</v>
      </c>
      <c r="C569" s="60" t="n">
        <v>394.82</v>
      </c>
      <c r="D569" s="59" t="n">
        <f aca="false">COUNTIFS($A$2:$A$1931,A569,$C$2:$C$1931,"&gt;"&amp;C569)+COUNTIFS($A$2:A569,A569,$C$2:C569,C569)</f>
        <v>10</v>
      </c>
      <c r="E569" s="59" t="str">
        <f aca="false">A569&amp;"|"&amp;D569</f>
        <v>BLR-Electronic city network|10</v>
      </c>
    </row>
    <row r="570" customFormat="false" ht="15" hidden="false" customHeight="false" outlineLevel="0" collapsed="false">
      <c r="A570" s="59" t="s">
        <v>49</v>
      </c>
      <c r="B570" s="59" t="s">
        <v>415</v>
      </c>
      <c r="C570" s="60" t="n">
        <v>293.93</v>
      </c>
      <c r="D570" s="59" t="n">
        <f aca="false">COUNTIFS($A$2:$A$1931,A570,$C$2:$C$1931,"&gt;"&amp;C570)+COUNTIFS($A$2:A570,A570,$C$2:C570,C570)</f>
        <v>11</v>
      </c>
      <c r="E570" s="59" t="str">
        <f aca="false">A570&amp;"|"&amp;D570</f>
        <v>BLR-Electronic city network|11</v>
      </c>
    </row>
    <row r="571" customFormat="false" ht="15" hidden="false" customHeight="false" outlineLevel="0" collapsed="false">
      <c r="A571" s="59" t="s">
        <v>49</v>
      </c>
      <c r="B571" s="59" t="s">
        <v>423</v>
      </c>
      <c r="C571" s="60" t="n">
        <v>240</v>
      </c>
      <c r="D571" s="59" t="n">
        <f aca="false">COUNTIFS($A$2:$A$1931,A571,$C$2:$C$1931,"&gt;"&amp;C571)+COUNTIFS($A$2:A571,A571,$C$2:C571,C571)</f>
        <v>12</v>
      </c>
      <c r="E571" s="59" t="str">
        <f aca="false">A571&amp;"|"&amp;D571</f>
        <v>BLR-Electronic city network|12</v>
      </c>
    </row>
    <row r="572" customFormat="false" ht="15" hidden="false" customHeight="false" outlineLevel="0" collapsed="false">
      <c r="A572" s="59" t="s">
        <v>266</v>
      </c>
      <c r="B572" s="59" t="s">
        <v>424</v>
      </c>
      <c r="C572" s="60" t="n">
        <v>1024.65</v>
      </c>
      <c r="D572" s="59" t="n">
        <f aca="false">COUNTIFS($A$2:$A$1931,A572,$C$2:$C$1931,"&gt;"&amp;C572)+COUNTIFS($A$2:A572,A572,$C$2:C572,C572)</f>
        <v>1</v>
      </c>
      <c r="E572" s="59" t="str">
        <f aca="false">A572&amp;"|"&amp;D572</f>
        <v>BLR-GUNJUR Network|1</v>
      </c>
    </row>
    <row r="573" customFormat="false" ht="15" hidden="false" customHeight="false" outlineLevel="0" collapsed="false">
      <c r="A573" s="59" t="s">
        <v>266</v>
      </c>
      <c r="B573" s="59" t="s">
        <v>415</v>
      </c>
      <c r="C573" s="60" t="n">
        <v>83.71</v>
      </c>
      <c r="D573" s="59" t="n">
        <f aca="false">COUNTIFS($A$2:$A$1931,A573,$C$2:$C$1931,"&gt;"&amp;C573)+COUNTIFS($A$2:A573,A573,$C$2:C573,C573)</f>
        <v>2</v>
      </c>
      <c r="E573" s="59" t="str">
        <f aca="false">A573&amp;"|"&amp;D573</f>
        <v>BLR-GUNJUR Network|2</v>
      </c>
    </row>
    <row r="574" customFormat="false" ht="15" hidden="false" customHeight="false" outlineLevel="0" collapsed="false">
      <c r="A574" s="59" t="s">
        <v>84</v>
      </c>
      <c r="B574" s="59" t="s">
        <v>413</v>
      </c>
      <c r="C574" s="60" t="n">
        <v>8745.18</v>
      </c>
      <c r="D574" s="59" t="n">
        <f aca="false">COUNTIFS($A$2:$A$1931,A574,$C$2:$C$1931,"&gt;"&amp;C574)+COUNTIFS($A$2:A574,A574,$C$2:C574,C574)</f>
        <v>1</v>
      </c>
      <c r="E574" s="59" t="str">
        <f aca="false">A574&amp;"|"&amp;D574</f>
        <v>BLR-Garudachar Palya|1</v>
      </c>
    </row>
    <row r="575" customFormat="false" ht="15" hidden="false" customHeight="false" outlineLevel="0" collapsed="false">
      <c r="A575" s="59" t="s">
        <v>84</v>
      </c>
      <c r="B575" s="59" t="s">
        <v>410</v>
      </c>
      <c r="C575" s="60" t="n">
        <v>2563.08</v>
      </c>
      <c r="D575" s="59" t="n">
        <f aca="false">COUNTIFS($A$2:$A$1931,A575,$C$2:$C$1931,"&gt;"&amp;C575)+COUNTIFS($A$2:A575,A575,$C$2:C575,C575)</f>
        <v>2</v>
      </c>
      <c r="E575" s="59" t="str">
        <f aca="false">A575&amp;"|"&amp;D575</f>
        <v>BLR-Garudachar Palya|2</v>
      </c>
    </row>
    <row r="576" customFormat="false" ht="15" hidden="false" customHeight="false" outlineLevel="0" collapsed="false">
      <c r="A576" s="59" t="s">
        <v>84</v>
      </c>
      <c r="B576" s="59" t="s">
        <v>417</v>
      </c>
      <c r="C576" s="60" t="n">
        <v>1025.13</v>
      </c>
      <c r="D576" s="59" t="n">
        <f aca="false">COUNTIFS($A$2:$A$1931,A576,$C$2:$C$1931,"&gt;"&amp;C576)+COUNTIFS($A$2:A576,A576,$C$2:C576,C576)</f>
        <v>3</v>
      </c>
      <c r="E576" s="59" t="str">
        <f aca="false">A576&amp;"|"&amp;D576</f>
        <v>BLR-Garudachar Palya|3</v>
      </c>
    </row>
    <row r="577" customFormat="false" ht="15" hidden="false" customHeight="false" outlineLevel="0" collapsed="false">
      <c r="A577" s="59" t="s">
        <v>84</v>
      </c>
      <c r="B577" s="59" t="s">
        <v>409</v>
      </c>
      <c r="C577" s="60" t="n">
        <v>706.37</v>
      </c>
      <c r="D577" s="59" t="n">
        <f aca="false">COUNTIFS($A$2:$A$1931,A577,$C$2:$C$1931,"&gt;"&amp;C577)+COUNTIFS($A$2:A577,A577,$C$2:C577,C577)</f>
        <v>4</v>
      </c>
      <c r="E577" s="59" t="str">
        <f aca="false">A577&amp;"|"&amp;D577</f>
        <v>BLR-Garudachar Palya|4</v>
      </c>
    </row>
    <row r="578" customFormat="false" ht="15" hidden="false" customHeight="false" outlineLevel="0" collapsed="false">
      <c r="A578" s="59" t="s">
        <v>84</v>
      </c>
      <c r="B578" s="59" t="s">
        <v>408</v>
      </c>
      <c r="C578" s="60" t="n">
        <v>573.43</v>
      </c>
      <c r="D578" s="59" t="n">
        <f aca="false">COUNTIFS($A$2:$A$1931,A578,$C$2:$C$1931,"&gt;"&amp;C578)+COUNTIFS($A$2:A578,A578,$C$2:C578,C578)</f>
        <v>5</v>
      </c>
      <c r="E578" s="59" t="str">
        <f aca="false">A578&amp;"|"&amp;D578</f>
        <v>BLR-Garudachar Palya|5</v>
      </c>
    </row>
    <row r="579" customFormat="false" ht="15" hidden="false" customHeight="false" outlineLevel="0" collapsed="false">
      <c r="A579" s="59" t="s">
        <v>84</v>
      </c>
      <c r="B579" s="59" t="s">
        <v>420</v>
      </c>
      <c r="C579" s="60" t="n">
        <v>513.92</v>
      </c>
      <c r="D579" s="59" t="n">
        <f aca="false">COUNTIFS($A$2:$A$1931,A579,$C$2:$C$1931,"&gt;"&amp;C579)+COUNTIFS($A$2:A579,A579,$C$2:C579,C579)</f>
        <v>6</v>
      </c>
      <c r="E579" s="59" t="str">
        <f aca="false">A579&amp;"|"&amp;D579</f>
        <v>BLR-Garudachar Palya|6</v>
      </c>
    </row>
    <row r="580" customFormat="false" ht="15" hidden="false" customHeight="false" outlineLevel="0" collapsed="false">
      <c r="A580" s="59" t="s">
        <v>84</v>
      </c>
      <c r="B580" s="59" t="s">
        <v>418</v>
      </c>
      <c r="C580" s="60" t="n">
        <v>423.77</v>
      </c>
      <c r="D580" s="59" t="n">
        <f aca="false">COUNTIFS($A$2:$A$1931,A580,$C$2:$C$1931,"&gt;"&amp;C580)+COUNTIFS($A$2:A580,A580,$C$2:C580,C580)</f>
        <v>7</v>
      </c>
      <c r="E580" s="59" t="str">
        <f aca="false">A580&amp;"|"&amp;D580</f>
        <v>BLR-Garudachar Palya|7</v>
      </c>
    </row>
    <row r="581" customFormat="false" ht="15" hidden="false" customHeight="false" outlineLevel="0" collapsed="false">
      <c r="A581" s="59" t="s">
        <v>84</v>
      </c>
      <c r="B581" s="59" t="s">
        <v>423</v>
      </c>
      <c r="C581" s="60" t="n">
        <v>319.52</v>
      </c>
      <c r="D581" s="59" t="n">
        <f aca="false">COUNTIFS($A$2:$A$1931,A581,$C$2:$C$1931,"&gt;"&amp;C581)+COUNTIFS($A$2:A581,A581,$C$2:C581,C581)</f>
        <v>8</v>
      </c>
      <c r="E581" s="59" t="str">
        <f aca="false">A581&amp;"|"&amp;D581</f>
        <v>BLR-Garudachar Palya|8</v>
      </c>
    </row>
    <row r="582" customFormat="false" ht="15" hidden="false" customHeight="false" outlineLevel="0" collapsed="false">
      <c r="A582" s="59" t="s">
        <v>84</v>
      </c>
      <c r="B582" s="59" t="s">
        <v>424</v>
      </c>
      <c r="C582" s="60" t="n">
        <v>192.16</v>
      </c>
      <c r="D582" s="59" t="n">
        <f aca="false">COUNTIFS($A$2:$A$1931,A582,$C$2:$C$1931,"&gt;"&amp;C582)+COUNTIFS($A$2:A582,A582,$C$2:C582,C582)</f>
        <v>9</v>
      </c>
      <c r="E582" s="59" t="str">
        <f aca="false">A582&amp;"|"&amp;D582</f>
        <v>BLR-Garudachar Palya|9</v>
      </c>
    </row>
    <row r="583" customFormat="false" ht="15" hidden="false" customHeight="false" outlineLevel="0" collapsed="false">
      <c r="A583" s="59" t="s">
        <v>174</v>
      </c>
      <c r="B583" s="59" t="s">
        <v>417</v>
      </c>
      <c r="C583" s="60" t="n">
        <v>918.74</v>
      </c>
      <c r="D583" s="59" t="n">
        <f aca="false">COUNTIFS($A$2:$A$1931,A583,$C$2:$C$1931,"&gt;"&amp;C583)+COUNTIFS($A$2:A583,A583,$C$2:C583,C583)</f>
        <v>1</v>
      </c>
      <c r="E583" s="59" t="str">
        <f aca="false">A583&amp;"|"&amp;D583</f>
        <v>BLR-Golahalli|1</v>
      </c>
    </row>
    <row r="584" customFormat="false" ht="15" hidden="false" customHeight="false" outlineLevel="0" collapsed="false">
      <c r="A584" s="59" t="s">
        <v>174</v>
      </c>
      <c r="B584" s="59" t="s">
        <v>418</v>
      </c>
      <c r="C584" s="60" t="n">
        <v>400.92</v>
      </c>
      <c r="D584" s="59" t="n">
        <f aca="false">COUNTIFS($A$2:$A$1931,A584,$C$2:$C$1931,"&gt;"&amp;C584)+COUNTIFS($A$2:A584,A584,$C$2:C584,C584)</f>
        <v>2</v>
      </c>
      <c r="E584" s="59" t="str">
        <f aca="false">A584&amp;"|"&amp;D584</f>
        <v>BLR-Golahalli|2</v>
      </c>
    </row>
    <row r="585" customFormat="false" ht="15" hidden="false" customHeight="false" outlineLevel="0" collapsed="false">
      <c r="A585" s="59" t="s">
        <v>174</v>
      </c>
      <c r="B585" s="59" t="s">
        <v>412</v>
      </c>
      <c r="C585" s="60" t="n">
        <v>222.6</v>
      </c>
      <c r="D585" s="59" t="n">
        <f aca="false">COUNTIFS($A$2:$A$1931,A585,$C$2:$C$1931,"&gt;"&amp;C585)+COUNTIFS($A$2:A585,A585,$C$2:C585,C585)</f>
        <v>3</v>
      </c>
      <c r="E585" s="59" t="str">
        <f aca="false">A585&amp;"|"&amp;D585</f>
        <v>BLR-Golahalli|3</v>
      </c>
    </row>
    <row r="586" customFormat="false" ht="15" hidden="false" customHeight="false" outlineLevel="0" collapsed="false">
      <c r="A586" s="59" t="s">
        <v>174</v>
      </c>
      <c r="B586" s="59" t="s">
        <v>409</v>
      </c>
      <c r="C586" s="60" t="n">
        <v>21.66</v>
      </c>
      <c r="D586" s="59" t="n">
        <f aca="false">COUNTIFS($A$2:$A$1931,A586,$C$2:$C$1931,"&gt;"&amp;C586)+COUNTIFS($A$2:A586,A586,$C$2:C586,C586)</f>
        <v>4</v>
      </c>
      <c r="E586" s="59" t="str">
        <f aca="false">A586&amp;"|"&amp;D586</f>
        <v>BLR-Golahalli|4</v>
      </c>
    </row>
    <row r="587" customFormat="false" ht="15" hidden="false" customHeight="false" outlineLevel="0" collapsed="false">
      <c r="A587" s="59" t="s">
        <v>286</v>
      </c>
      <c r="B587" s="59" t="s">
        <v>423</v>
      </c>
      <c r="C587" s="60" t="n">
        <v>419.59</v>
      </c>
      <c r="D587" s="59" t="n">
        <f aca="false">COUNTIFS($A$2:$A$1931,A587,$C$2:$C$1931,"&gt;"&amp;C587)+COUNTIFS($A$2:A587,A587,$C$2:C587,C587)</f>
        <v>1</v>
      </c>
      <c r="E587" s="59" t="str">
        <f aca="false">A587&amp;"|"&amp;D587</f>
        <v>BLR-Goraguntepalya|1</v>
      </c>
    </row>
    <row r="588" customFormat="false" ht="15" hidden="false" customHeight="false" outlineLevel="0" collapsed="false">
      <c r="A588" s="59" t="s">
        <v>286</v>
      </c>
      <c r="B588" s="59" t="s">
        <v>412</v>
      </c>
      <c r="C588" s="60" t="n">
        <v>289.28</v>
      </c>
      <c r="D588" s="59" t="n">
        <f aca="false">COUNTIFS($A$2:$A$1931,A588,$C$2:$C$1931,"&gt;"&amp;C588)+COUNTIFS($A$2:A588,A588,$C$2:C588,C588)</f>
        <v>2</v>
      </c>
      <c r="E588" s="59" t="str">
        <f aca="false">A588&amp;"|"&amp;D588</f>
        <v>BLR-Goraguntepalya|2</v>
      </c>
    </row>
    <row r="589" customFormat="false" ht="15" hidden="false" customHeight="false" outlineLevel="0" collapsed="false">
      <c r="A589" s="59" t="s">
        <v>293</v>
      </c>
      <c r="B589" s="59" t="s">
        <v>410</v>
      </c>
      <c r="C589" s="60" t="n">
        <v>7183.06</v>
      </c>
      <c r="D589" s="59" t="n">
        <f aca="false">COUNTIFS($A$2:$A$1931,A589,$C$2:$C$1931,"&gt;"&amp;C589)+COUNTIFS($A$2:A589,A589,$C$2:C589,C589)</f>
        <v>1</v>
      </c>
      <c r="E589" s="59" t="str">
        <f aca="false">A589&amp;"|"&amp;D589</f>
        <v>BLR-Gunjur New|1</v>
      </c>
    </row>
    <row r="590" customFormat="false" ht="15" hidden="false" customHeight="false" outlineLevel="0" collapsed="false">
      <c r="A590" s="59" t="s">
        <v>293</v>
      </c>
      <c r="B590" s="59" t="s">
        <v>431</v>
      </c>
      <c r="C590" s="60" t="n">
        <v>3096.29</v>
      </c>
      <c r="D590" s="59" t="n">
        <f aca="false">COUNTIFS($A$2:$A$1931,A590,$C$2:$C$1931,"&gt;"&amp;C590)+COUNTIFS($A$2:A590,A590,$C$2:C590,C590)</f>
        <v>2</v>
      </c>
      <c r="E590" s="59" t="str">
        <f aca="false">A590&amp;"|"&amp;D590</f>
        <v>BLR-Gunjur New|2</v>
      </c>
    </row>
    <row r="591" customFormat="false" ht="15" hidden="false" customHeight="false" outlineLevel="0" collapsed="false">
      <c r="A591" s="59" t="s">
        <v>293</v>
      </c>
      <c r="B591" s="59" t="s">
        <v>412</v>
      </c>
      <c r="C591" s="60" t="n">
        <v>2566.74</v>
      </c>
      <c r="D591" s="59" t="n">
        <f aca="false">COUNTIFS($A$2:$A$1931,A591,$C$2:$C$1931,"&gt;"&amp;C591)+COUNTIFS($A$2:A591,A591,$C$2:C591,C591)</f>
        <v>3</v>
      </c>
      <c r="E591" s="59" t="str">
        <f aca="false">A591&amp;"|"&amp;D591</f>
        <v>BLR-Gunjur New|3</v>
      </c>
    </row>
    <row r="592" customFormat="false" ht="15" hidden="false" customHeight="false" outlineLevel="0" collapsed="false">
      <c r="A592" s="59" t="s">
        <v>293</v>
      </c>
      <c r="B592" s="59" t="s">
        <v>409</v>
      </c>
      <c r="C592" s="60" t="n">
        <v>1931.01</v>
      </c>
      <c r="D592" s="59" t="n">
        <f aca="false">COUNTIFS($A$2:$A$1931,A592,$C$2:$C$1931,"&gt;"&amp;C592)+COUNTIFS($A$2:A592,A592,$C$2:C592,C592)</f>
        <v>4</v>
      </c>
      <c r="E592" s="59" t="str">
        <f aca="false">A592&amp;"|"&amp;D592</f>
        <v>BLR-Gunjur New|4</v>
      </c>
    </row>
    <row r="593" customFormat="false" ht="15" hidden="false" customHeight="false" outlineLevel="0" collapsed="false">
      <c r="A593" s="59" t="s">
        <v>293</v>
      </c>
      <c r="B593" s="59" t="s">
        <v>424</v>
      </c>
      <c r="C593" s="60" t="n">
        <v>1256.55</v>
      </c>
      <c r="D593" s="59" t="n">
        <f aca="false">COUNTIFS($A$2:$A$1931,A593,$C$2:$C$1931,"&gt;"&amp;C593)+COUNTIFS($A$2:A593,A593,$C$2:C593,C593)</f>
        <v>5</v>
      </c>
      <c r="E593" s="59" t="str">
        <f aca="false">A593&amp;"|"&amp;D593</f>
        <v>BLR-Gunjur New|5</v>
      </c>
    </row>
    <row r="594" customFormat="false" ht="15" hidden="false" customHeight="false" outlineLevel="0" collapsed="false">
      <c r="A594" s="59" t="s">
        <v>293</v>
      </c>
      <c r="B594" s="59" t="s">
        <v>420</v>
      </c>
      <c r="C594" s="60" t="n">
        <v>323.1</v>
      </c>
      <c r="D594" s="59" t="n">
        <f aca="false">COUNTIFS($A$2:$A$1931,A594,$C$2:$C$1931,"&gt;"&amp;C594)+COUNTIFS($A$2:A594,A594,$C$2:C594,C594)</f>
        <v>6</v>
      </c>
      <c r="E594" s="59" t="str">
        <f aca="false">A594&amp;"|"&amp;D594</f>
        <v>BLR-Gunjur New|6</v>
      </c>
    </row>
    <row r="595" customFormat="false" ht="15" hidden="false" customHeight="false" outlineLevel="0" collapsed="false">
      <c r="A595" s="59" t="s">
        <v>293</v>
      </c>
      <c r="B595" s="59" t="s">
        <v>423</v>
      </c>
      <c r="C595" s="60" t="n">
        <v>160</v>
      </c>
      <c r="D595" s="59" t="n">
        <f aca="false">COUNTIFS($A$2:$A$1931,A595,$C$2:$C$1931,"&gt;"&amp;C595)+COUNTIFS($A$2:A595,A595,$C$2:C595,C595)</f>
        <v>7</v>
      </c>
      <c r="E595" s="59" t="str">
        <f aca="false">A595&amp;"|"&amp;D595</f>
        <v>BLR-Gunjur New|7</v>
      </c>
    </row>
    <row r="596" customFormat="false" ht="15" hidden="false" customHeight="false" outlineLevel="0" collapsed="false">
      <c r="A596" s="59" t="s">
        <v>89</v>
      </c>
      <c r="B596" s="59" t="s">
        <v>409</v>
      </c>
      <c r="C596" s="60" t="n">
        <v>19969.31</v>
      </c>
      <c r="D596" s="59" t="n">
        <f aca="false">COUNTIFS($A$2:$A$1931,A596,$C$2:$C$1931,"&gt;"&amp;C596)+COUNTIFS($A$2:A596,A596,$C$2:C596,C596)</f>
        <v>1</v>
      </c>
      <c r="E596" s="59" t="str">
        <f aca="false">A596&amp;"|"&amp;D596</f>
        <v>BLR-HBR Layout|1</v>
      </c>
    </row>
    <row r="597" customFormat="false" ht="15" hidden="false" customHeight="false" outlineLevel="0" collapsed="false">
      <c r="A597" s="59" t="s">
        <v>89</v>
      </c>
      <c r="B597" s="59" t="s">
        <v>417</v>
      </c>
      <c r="C597" s="60" t="n">
        <v>4207.93</v>
      </c>
      <c r="D597" s="59" t="n">
        <f aca="false">COUNTIFS($A$2:$A$1931,A597,$C$2:$C$1931,"&gt;"&amp;C597)+COUNTIFS($A$2:A597,A597,$C$2:C597,C597)</f>
        <v>2</v>
      </c>
      <c r="E597" s="59" t="str">
        <f aca="false">A597&amp;"|"&amp;D597</f>
        <v>BLR-HBR Layout|2</v>
      </c>
    </row>
    <row r="598" customFormat="false" ht="15" hidden="false" customHeight="false" outlineLevel="0" collapsed="false">
      <c r="A598" s="59" t="s">
        <v>89</v>
      </c>
      <c r="B598" s="59" t="s">
        <v>413</v>
      </c>
      <c r="C598" s="60" t="n">
        <v>3767.47</v>
      </c>
      <c r="D598" s="59" t="n">
        <f aca="false">COUNTIFS($A$2:$A$1931,A598,$C$2:$C$1931,"&gt;"&amp;C598)+COUNTIFS($A$2:A598,A598,$C$2:C598,C598)</f>
        <v>3</v>
      </c>
      <c r="E598" s="59" t="str">
        <f aca="false">A598&amp;"|"&amp;D598</f>
        <v>BLR-HBR Layout|3</v>
      </c>
    </row>
    <row r="599" customFormat="false" ht="15" hidden="false" customHeight="false" outlineLevel="0" collapsed="false">
      <c r="A599" s="59" t="s">
        <v>89</v>
      </c>
      <c r="B599" s="59" t="s">
        <v>408</v>
      </c>
      <c r="C599" s="60" t="n">
        <v>1977.27</v>
      </c>
      <c r="D599" s="59" t="n">
        <f aca="false">COUNTIFS($A$2:$A$1931,A599,$C$2:$C$1931,"&gt;"&amp;C599)+COUNTIFS($A$2:A599,A599,$C$2:C599,C599)</f>
        <v>4</v>
      </c>
      <c r="E599" s="59" t="str">
        <f aca="false">A599&amp;"|"&amp;D599</f>
        <v>BLR-HBR Layout|4</v>
      </c>
    </row>
    <row r="600" customFormat="false" ht="15" hidden="false" customHeight="false" outlineLevel="0" collapsed="false">
      <c r="A600" s="59" t="s">
        <v>89</v>
      </c>
      <c r="B600" s="59" t="s">
        <v>418</v>
      </c>
      <c r="C600" s="60" t="n">
        <v>1533.84</v>
      </c>
      <c r="D600" s="59" t="n">
        <f aca="false">COUNTIFS($A$2:$A$1931,A600,$C$2:$C$1931,"&gt;"&amp;C600)+COUNTIFS($A$2:A600,A600,$C$2:C600,C600)</f>
        <v>5</v>
      </c>
      <c r="E600" s="59" t="str">
        <f aca="false">A600&amp;"|"&amp;D600</f>
        <v>BLR-HBR Layout|5</v>
      </c>
    </row>
    <row r="601" customFormat="false" ht="15" hidden="false" customHeight="false" outlineLevel="0" collapsed="false">
      <c r="A601" s="59" t="s">
        <v>89</v>
      </c>
      <c r="B601" s="59" t="s">
        <v>412</v>
      </c>
      <c r="C601" s="60" t="n">
        <v>1302.33</v>
      </c>
      <c r="D601" s="59" t="n">
        <f aca="false">COUNTIFS($A$2:$A$1931,A601,$C$2:$C$1931,"&gt;"&amp;C601)+COUNTIFS($A$2:A601,A601,$C$2:C601,C601)</f>
        <v>6</v>
      </c>
      <c r="E601" s="59" t="str">
        <f aca="false">A601&amp;"|"&amp;D601</f>
        <v>BLR-HBR Layout|6</v>
      </c>
    </row>
    <row r="602" customFormat="false" ht="15" hidden="false" customHeight="false" outlineLevel="0" collapsed="false">
      <c r="A602" s="59" t="s">
        <v>89</v>
      </c>
      <c r="B602" s="59" t="s">
        <v>446</v>
      </c>
      <c r="C602" s="60" t="n">
        <v>1067</v>
      </c>
      <c r="D602" s="59" t="n">
        <f aca="false">COUNTIFS($A$2:$A$1931,A602,$C$2:$C$1931,"&gt;"&amp;C602)+COUNTIFS($A$2:A602,A602,$C$2:C602,C602)</f>
        <v>7</v>
      </c>
      <c r="E602" s="59" t="str">
        <f aca="false">A602&amp;"|"&amp;D602</f>
        <v>BLR-HBR Layout|7</v>
      </c>
    </row>
    <row r="603" customFormat="false" ht="15" hidden="false" customHeight="false" outlineLevel="0" collapsed="false">
      <c r="A603" s="59" t="s">
        <v>89</v>
      </c>
      <c r="B603" s="59" t="s">
        <v>420</v>
      </c>
      <c r="C603" s="60" t="n">
        <v>790.85</v>
      </c>
      <c r="D603" s="59" t="n">
        <f aca="false">COUNTIFS($A$2:$A$1931,A603,$C$2:$C$1931,"&gt;"&amp;C603)+COUNTIFS($A$2:A603,A603,$C$2:C603,C603)</f>
        <v>8</v>
      </c>
      <c r="E603" s="59" t="str">
        <f aca="false">A603&amp;"|"&amp;D603</f>
        <v>BLR-HBR Layout|8</v>
      </c>
    </row>
    <row r="604" customFormat="false" ht="15" hidden="false" customHeight="false" outlineLevel="0" collapsed="false">
      <c r="A604" s="59" t="s">
        <v>89</v>
      </c>
      <c r="B604" s="59" t="s">
        <v>410</v>
      </c>
      <c r="C604" s="60" t="n">
        <v>651.29</v>
      </c>
      <c r="D604" s="59" t="n">
        <f aca="false">COUNTIFS($A$2:$A$1931,A604,$C$2:$C$1931,"&gt;"&amp;C604)+COUNTIFS($A$2:A604,A604,$C$2:C604,C604)</f>
        <v>9</v>
      </c>
      <c r="E604" s="59" t="str">
        <f aca="false">A604&amp;"|"&amp;D604</f>
        <v>BLR-HBR Layout|9</v>
      </c>
    </row>
    <row r="605" customFormat="false" ht="15" hidden="false" customHeight="false" outlineLevel="0" collapsed="false">
      <c r="A605" s="59" t="s">
        <v>91</v>
      </c>
      <c r="B605" s="59" t="s">
        <v>409</v>
      </c>
      <c r="C605" s="60" t="n">
        <v>7103.66</v>
      </c>
      <c r="D605" s="59" t="n">
        <f aca="false">COUNTIFS($A$2:$A$1931,A605,$C$2:$C$1931,"&gt;"&amp;C605)+COUNTIFS($A$2:A605,A605,$C$2:C605,C605)</f>
        <v>1</v>
      </c>
      <c r="E605" s="59" t="str">
        <f aca="false">A605&amp;"|"&amp;D605</f>
        <v>BLR-HEBBAL NEW|1</v>
      </c>
    </row>
    <row r="606" customFormat="false" ht="15" hidden="false" customHeight="false" outlineLevel="0" collapsed="false">
      <c r="A606" s="59" t="s">
        <v>91</v>
      </c>
      <c r="B606" s="59" t="s">
        <v>413</v>
      </c>
      <c r="C606" s="60" t="n">
        <v>3526.27</v>
      </c>
      <c r="D606" s="59" t="n">
        <f aca="false">COUNTIFS($A$2:$A$1931,A606,$C$2:$C$1931,"&gt;"&amp;C606)+COUNTIFS($A$2:A606,A606,$C$2:C606,C606)</f>
        <v>2</v>
      </c>
      <c r="E606" s="59" t="str">
        <f aca="false">A606&amp;"|"&amp;D606</f>
        <v>BLR-HEBBAL NEW|2</v>
      </c>
    </row>
    <row r="607" customFormat="false" ht="15" hidden="false" customHeight="false" outlineLevel="0" collapsed="false">
      <c r="A607" s="59" t="s">
        <v>91</v>
      </c>
      <c r="B607" s="59" t="s">
        <v>414</v>
      </c>
      <c r="C607" s="60" t="n">
        <v>3211.95</v>
      </c>
      <c r="D607" s="59" t="n">
        <f aca="false">COUNTIFS($A$2:$A$1931,A607,$C$2:$C$1931,"&gt;"&amp;C607)+COUNTIFS($A$2:A607,A607,$C$2:C607,C607)</f>
        <v>3</v>
      </c>
      <c r="E607" s="59" t="str">
        <f aca="false">A607&amp;"|"&amp;D607</f>
        <v>BLR-HEBBAL NEW|3</v>
      </c>
    </row>
    <row r="608" customFormat="false" ht="15" hidden="false" customHeight="false" outlineLevel="0" collapsed="false">
      <c r="A608" s="59" t="s">
        <v>91</v>
      </c>
      <c r="B608" s="59" t="s">
        <v>407</v>
      </c>
      <c r="C608" s="60" t="n">
        <v>2752.03</v>
      </c>
      <c r="D608" s="59" t="n">
        <f aca="false">COUNTIFS($A$2:$A$1931,A608,$C$2:$C$1931,"&gt;"&amp;C608)+COUNTIFS($A$2:A608,A608,$C$2:C608,C608)</f>
        <v>4</v>
      </c>
      <c r="E608" s="59" t="str">
        <f aca="false">A608&amp;"|"&amp;D608</f>
        <v>BLR-HEBBAL NEW|4</v>
      </c>
    </row>
    <row r="609" customFormat="false" ht="15" hidden="false" customHeight="false" outlineLevel="0" collapsed="false">
      <c r="A609" s="59" t="s">
        <v>91</v>
      </c>
      <c r="B609" s="59" t="s">
        <v>412</v>
      </c>
      <c r="C609" s="60" t="n">
        <v>2454.9</v>
      </c>
      <c r="D609" s="59" t="n">
        <f aca="false">COUNTIFS($A$2:$A$1931,A609,$C$2:$C$1931,"&gt;"&amp;C609)+COUNTIFS($A$2:A609,A609,$C$2:C609,C609)</f>
        <v>5</v>
      </c>
      <c r="E609" s="59" t="str">
        <f aca="false">A609&amp;"|"&amp;D609</f>
        <v>BLR-HEBBAL NEW|5</v>
      </c>
    </row>
    <row r="610" customFormat="false" ht="15" hidden="false" customHeight="false" outlineLevel="0" collapsed="false">
      <c r="A610" s="59" t="s">
        <v>91</v>
      </c>
      <c r="B610" s="59" t="s">
        <v>426</v>
      </c>
      <c r="C610" s="60" t="n">
        <v>1963.25</v>
      </c>
      <c r="D610" s="59" t="n">
        <f aca="false">COUNTIFS($A$2:$A$1931,A610,$C$2:$C$1931,"&gt;"&amp;C610)+COUNTIFS($A$2:A610,A610,$C$2:C610,C610)</f>
        <v>6</v>
      </c>
      <c r="E610" s="59" t="str">
        <f aca="false">A610&amp;"|"&amp;D610</f>
        <v>BLR-HEBBAL NEW|6</v>
      </c>
    </row>
    <row r="611" customFormat="false" ht="15" hidden="false" customHeight="false" outlineLevel="0" collapsed="false">
      <c r="A611" s="59" t="s">
        <v>91</v>
      </c>
      <c r="B611" s="59" t="s">
        <v>420</v>
      </c>
      <c r="C611" s="60" t="n">
        <v>1216.57</v>
      </c>
      <c r="D611" s="59" t="n">
        <f aca="false">COUNTIFS($A$2:$A$1931,A611,$C$2:$C$1931,"&gt;"&amp;C611)+COUNTIFS($A$2:A611,A611,$C$2:C611,C611)</f>
        <v>7</v>
      </c>
      <c r="E611" s="59" t="str">
        <f aca="false">A611&amp;"|"&amp;D611</f>
        <v>BLR-HEBBAL NEW|7</v>
      </c>
    </row>
    <row r="612" customFormat="false" ht="15" hidden="false" customHeight="false" outlineLevel="0" collapsed="false">
      <c r="A612" s="59" t="s">
        <v>91</v>
      </c>
      <c r="B612" s="59" t="s">
        <v>418</v>
      </c>
      <c r="C612" s="60" t="n">
        <v>792.25</v>
      </c>
      <c r="D612" s="59" t="n">
        <f aca="false">COUNTIFS($A$2:$A$1931,A612,$C$2:$C$1931,"&gt;"&amp;C612)+COUNTIFS($A$2:A612,A612,$C$2:C612,C612)</f>
        <v>8</v>
      </c>
      <c r="E612" s="59" t="str">
        <f aca="false">A612&amp;"|"&amp;D612</f>
        <v>BLR-HEBBAL NEW|8</v>
      </c>
    </row>
    <row r="613" customFormat="false" ht="15" hidden="false" customHeight="false" outlineLevel="0" collapsed="false">
      <c r="A613" s="59" t="s">
        <v>91</v>
      </c>
      <c r="B613" s="59" t="s">
        <v>417</v>
      </c>
      <c r="C613" s="60" t="n">
        <v>288.26</v>
      </c>
      <c r="D613" s="59" t="n">
        <f aca="false">COUNTIFS($A$2:$A$1931,A613,$C$2:$C$1931,"&gt;"&amp;C613)+COUNTIFS($A$2:A613,A613,$C$2:C613,C613)</f>
        <v>9</v>
      </c>
      <c r="E613" s="59" t="str">
        <f aca="false">A613&amp;"|"&amp;D613</f>
        <v>BLR-HEBBAL NEW|9</v>
      </c>
    </row>
    <row r="614" customFormat="false" ht="15" hidden="false" customHeight="false" outlineLevel="0" collapsed="false">
      <c r="A614" s="59" t="s">
        <v>91</v>
      </c>
      <c r="B614" s="59" t="s">
        <v>432</v>
      </c>
      <c r="C614" s="60" t="n">
        <v>21.85</v>
      </c>
      <c r="D614" s="59" t="n">
        <f aca="false">COUNTIFS($A$2:$A$1931,A614,$C$2:$C$1931,"&gt;"&amp;C614)+COUNTIFS($A$2:A614,A614,$C$2:C614,C614)</f>
        <v>10</v>
      </c>
      <c r="E614" s="59" t="str">
        <f aca="false">A614&amp;"|"&amp;D614</f>
        <v>BLR-HEBBAL NEW|10</v>
      </c>
    </row>
    <row r="615" customFormat="false" ht="15" hidden="false" customHeight="false" outlineLevel="0" collapsed="false">
      <c r="A615" s="59" t="s">
        <v>36</v>
      </c>
      <c r="B615" s="59" t="s">
        <v>409</v>
      </c>
      <c r="C615" s="60" t="n">
        <v>12365.56</v>
      </c>
      <c r="D615" s="59" t="n">
        <f aca="false">COUNTIFS($A$2:$A$1931,A615,$C$2:$C$1931,"&gt;"&amp;C615)+COUNTIFS($A$2:A615,A615,$C$2:C615,C615)</f>
        <v>1</v>
      </c>
      <c r="E615" s="59" t="str">
        <f aca="false">A615&amp;"|"&amp;D615</f>
        <v>BLR-HSR Layout New|1</v>
      </c>
    </row>
    <row r="616" customFormat="false" ht="15" hidden="false" customHeight="false" outlineLevel="0" collapsed="false">
      <c r="A616" s="59" t="s">
        <v>36</v>
      </c>
      <c r="B616" s="59" t="s">
        <v>420</v>
      </c>
      <c r="C616" s="60" t="n">
        <v>5167.52</v>
      </c>
      <c r="D616" s="59" t="n">
        <f aca="false">COUNTIFS($A$2:$A$1931,A616,$C$2:$C$1931,"&gt;"&amp;C616)+COUNTIFS($A$2:A616,A616,$C$2:C616,C616)</f>
        <v>2</v>
      </c>
      <c r="E616" s="59" t="str">
        <f aca="false">A616&amp;"|"&amp;D616</f>
        <v>BLR-HSR Layout New|2</v>
      </c>
    </row>
    <row r="617" customFormat="false" ht="15" hidden="false" customHeight="false" outlineLevel="0" collapsed="false">
      <c r="A617" s="59" t="s">
        <v>36</v>
      </c>
      <c r="B617" s="59" t="s">
        <v>413</v>
      </c>
      <c r="C617" s="60" t="n">
        <v>4714.66</v>
      </c>
      <c r="D617" s="59" t="n">
        <f aca="false">COUNTIFS($A$2:$A$1931,A617,$C$2:$C$1931,"&gt;"&amp;C617)+COUNTIFS($A$2:A617,A617,$C$2:C617,C617)</f>
        <v>3</v>
      </c>
      <c r="E617" s="59" t="str">
        <f aca="false">A617&amp;"|"&amp;D617</f>
        <v>BLR-HSR Layout New|3</v>
      </c>
    </row>
    <row r="618" customFormat="false" ht="15" hidden="false" customHeight="false" outlineLevel="0" collapsed="false">
      <c r="A618" s="59" t="s">
        <v>36</v>
      </c>
      <c r="B618" s="59" t="s">
        <v>417</v>
      </c>
      <c r="C618" s="60" t="n">
        <v>3397.11</v>
      </c>
      <c r="D618" s="59" t="n">
        <f aca="false">COUNTIFS($A$2:$A$1931,A618,$C$2:$C$1931,"&gt;"&amp;C618)+COUNTIFS($A$2:A618,A618,$C$2:C618,C618)</f>
        <v>4</v>
      </c>
      <c r="E618" s="59" t="str">
        <f aca="false">A618&amp;"|"&amp;D618</f>
        <v>BLR-HSR Layout New|4</v>
      </c>
    </row>
    <row r="619" customFormat="false" ht="15" hidden="false" customHeight="false" outlineLevel="0" collapsed="false">
      <c r="A619" s="59" t="s">
        <v>36</v>
      </c>
      <c r="B619" s="59" t="s">
        <v>415</v>
      </c>
      <c r="C619" s="60" t="n">
        <v>3330.85</v>
      </c>
      <c r="D619" s="59" t="n">
        <f aca="false">COUNTIFS($A$2:$A$1931,A619,$C$2:$C$1931,"&gt;"&amp;C619)+COUNTIFS($A$2:A619,A619,$C$2:C619,C619)</f>
        <v>5</v>
      </c>
      <c r="E619" s="59" t="str">
        <f aca="false">A619&amp;"|"&amp;D619</f>
        <v>BLR-HSR Layout New|5</v>
      </c>
    </row>
    <row r="620" customFormat="false" ht="15" hidden="false" customHeight="false" outlineLevel="0" collapsed="false">
      <c r="A620" s="59" t="s">
        <v>36</v>
      </c>
      <c r="B620" s="59" t="s">
        <v>418</v>
      </c>
      <c r="C620" s="60" t="n">
        <v>1259.52</v>
      </c>
      <c r="D620" s="59" t="n">
        <f aca="false">COUNTIFS($A$2:$A$1931,A620,$C$2:$C$1931,"&gt;"&amp;C620)+COUNTIFS($A$2:A620,A620,$C$2:C620,C620)</f>
        <v>6</v>
      </c>
      <c r="E620" s="59" t="str">
        <f aca="false">A620&amp;"|"&amp;D620</f>
        <v>BLR-HSR Layout New|6</v>
      </c>
    </row>
    <row r="621" customFormat="false" ht="15" hidden="false" customHeight="false" outlineLevel="0" collapsed="false">
      <c r="A621" s="59" t="s">
        <v>36</v>
      </c>
      <c r="B621" s="59" t="s">
        <v>412</v>
      </c>
      <c r="C621" s="60" t="n">
        <v>991.02</v>
      </c>
      <c r="D621" s="59" t="n">
        <f aca="false">COUNTIFS($A$2:$A$1931,A621,$C$2:$C$1931,"&gt;"&amp;C621)+COUNTIFS($A$2:A621,A621,$C$2:C621,C621)</f>
        <v>7</v>
      </c>
      <c r="E621" s="59" t="str">
        <f aca="false">A621&amp;"|"&amp;D621</f>
        <v>BLR-HSR Layout New|7</v>
      </c>
    </row>
    <row r="622" customFormat="false" ht="15" hidden="false" customHeight="false" outlineLevel="0" collapsed="false">
      <c r="A622" s="59" t="s">
        <v>36</v>
      </c>
      <c r="B622" s="59" t="s">
        <v>408</v>
      </c>
      <c r="C622" s="60" t="n">
        <v>658.27</v>
      </c>
      <c r="D622" s="59" t="n">
        <f aca="false">COUNTIFS($A$2:$A$1931,A622,$C$2:$C$1931,"&gt;"&amp;C622)+COUNTIFS($A$2:A622,A622,$C$2:C622,C622)</f>
        <v>8</v>
      </c>
      <c r="E622" s="59" t="str">
        <f aca="false">A622&amp;"|"&amp;D622</f>
        <v>BLR-HSR Layout New|8</v>
      </c>
    </row>
    <row r="623" customFormat="false" ht="15" hidden="false" customHeight="false" outlineLevel="0" collapsed="false">
      <c r="A623" s="59" t="s">
        <v>36</v>
      </c>
      <c r="B623" s="59" t="s">
        <v>426</v>
      </c>
      <c r="C623" s="60" t="n">
        <v>528.04</v>
      </c>
      <c r="D623" s="59" t="n">
        <f aca="false">COUNTIFS($A$2:$A$1931,A623,$C$2:$C$1931,"&gt;"&amp;C623)+COUNTIFS($A$2:A623,A623,$C$2:C623,C623)</f>
        <v>9</v>
      </c>
      <c r="E623" s="59" t="str">
        <f aca="false">A623&amp;"|"&amp;D623</f>
        <v>BLR-HSR Layout New|9</v>
      </c>
    </row>
    <row r="624" customFormat="false" ht="15" hidden="false" customHeight="false" outlineLevel="0" collapsed="false">
      <c r="A624" s="59" t="s">
        <v>36</v>
      </c>
      <c r="B624" s="59" t="s">
        <v>424</v>
      </c>
      <c r="C624" s="60" t="n">
        <v>127.36</v>
      </c>
      <c r="D624" s="59" t="n">
        <f aca="false">COUNTIFS($A$2:$A$1931,A624,$C$2:$C$1931,"&gt;"&amp;C624)+COUNTIFS($A$2:A624,A624,$C$2:C624,C624)</f>
        <v>10</v>
      </c>
      <c r="E624" s="59" t="str">
        <f aca="false">A624&amp;"|"&amp;D624</f>
        <v>BLR-HSR Layout New|10</v>
      </c>
    </row>
    <row r="625" customFormat="false" ht="15" hidden="false" customHeight="false" outlineLevel="0" collapsed="false">
      <c r="A625" s="59" t="s">
        <v>169</v>
      </c>
      <c r="B625" s="59" t="s">
        <v>418</v>
      </c>
      <c r="C625" s="60" t="n">
        <v>7988.64</v>
      </c>
      <c r="D625" s="59" t="n">
        <f aca="false">COUNTIFS($A$2:$A$1931,A625,$C$2:$C$1931,"&gt;"&amp;C625)+COUNTIFS($A$2:A625,A625,$C$2:C625,C625)</f>
        <v>1</v>
      </c>
      <c r="E625" s="59" t="str">
        <f aca="false">A625&amp;"|"&amp;D625</f>
        <v>BLR-HSR SS|1</v>
      </c>
    </row>
    <row r="626" customFormat="false" ht="15" hidden="false" customHeight="false" outlineLevel="0" collapsed="false">
      <c r="A626" s="59" t="s">
        <v>169</v>
      </c>
      <c r="B626" s="59" t="s">
        <v>426</v>
      </c>
      <c r="C626" s="60" t="n">
        <v>6311.23</v>
      </c>
      <c r="D626" s="59" t="n">
        <f aca="false">COUNTIFS($A$2:$A$1931,A626,$C$2:$C$1931,"&gt;"&amp;C626)+COUNTIFS($A$2:A626,A626,$C$2:C626,C626)</f>
        <v>2</v>
      </c>
      <c r="E626" s="59" t="str">
        <f aca="false">A626&amp;"|"&amp;D626</f>
        <v>BLR-HSR SS|2</v>
      </c>
    </row>
    <row r="627" customFormat="false" ht="15" hidden="false" customHeight="false" outlineLevel="0" collapsed="false">
      <c r="A627" s="59" t="s">
        <v>169</v>
      </c>
      <c r="B627" s="59" t="s">
        <v>410</v>
      </c>
      <c r="C627" s="60" t="n">
        <v>4882.13</v>
      </c>
      <c r="D627" s="59" t="n">
        <f aca="false">COUNTIFS($A$2:$A$1931,A627,$C$2:$C$1931,"&gt;"&amp;C627)+COUNTIFS($A$2:A627,A627,$C$2:C627,C627)</f>
        <v>3</v>
      </c>
      <c r="E627" s="59" t="str">
        <f aca="false">A627&amp;"|"&amp;D627</f>
        <v>BLR-HSR SS|3</v>
      </c>
    </row>
    <row r="628" customFormat="false" ht="15" hidden="false" customHeight="false" outlineLevel="0" collapsed="false">
      <c r="A628" s="59" t="s">
        <v>169</v>
      </c>
      <c r="B628" s="59" t="s">
        <v>412</v>
      </c>
      <c r="C628" s="60" t="n">
        <v>4833.72</v>
      </c>
      <c r="D628" s="59" t="n">
        <f aca="false">COUNTIFS($A$2:$A$1931,A628,$C$2:$C$1931,"&gt;"&amp;C628)+COUNTIFS($A$2:A628,A628,$C$2:C628,C628)</f>
        <v>4</v>
      </c>
      <c r="E628" s="59" t="str">
        <f aca="false">A628&amp;"|"&amp;D628</f>
        <v>BLR-HSR SS|4</v>
      </c>
    </row>
    <row r="629" customFormat="false" ht="15" hidden="false" customHeight="false" outlineLevel="0" collapsed="false">
      <c r="A629" s="59" t="s">
        <v>169</v>
      </c>
      <c r="B629" s="59" t="s">
        <v>431</v>
      </c>
      <c r="C629" s="60" t="n">
        <v>3533.1</v>
      </c>
      <c r="D629" s="59" t="n">
        <f aca="false">COUNTIFS($A$2:$A$1931,A629,$C$2:$C$1931,"&gt;"&amp;C629)+COUNTIFS($A$2:A629,A629,$C$2:C629,C629)</f>
        <v>5</v>
      </c>
      <c r="E629" s="59" t="str">
        <f aca="false">A629&amp;"|"&amp;D629</f>
        <v>BLR-HSR SS|5</v>
      </c>
    </row>
    <row r="630" customFormat="false" ht="15" hidden="false" customHeight="false" outlineLevel="0" collapsed="false">
      <c r="A630" s="59" t="s">
        <v>169</v>
      </c>
      <c r="B630" s="59" t="s">
        <v>409</v>
      </c>
      <c r="C630" s="60" t="n">
        <v>3496.76</v>
      </c>
      <c r="D630" s="59" t="n">
        <f aca="false">COUNTIFS($A$2:$A$1931,A630,$C$2:$C$1931,"&gt;"&amp;C630)+COUNTIFS($A$2:A630,A630,$C$2:C630,C630)</f>
        <v>6</v>
      </c>
      <c r="E630" s="59" t="str">
        <f aca="false">A630&amp;"|"&amp;D630</f>
        <v>BLR-HSR SS|6</v>
      </c>
    </row>
    <row r="631" customFormat="false" ht="15" hidden="false" customHeight="false" outlineLevel="0" collapsed="false">
      <c r="A631" s="59" t="s">
        <v>169</v>
      </c>
      <c r="B631" s="59" t="s">
        <v>420</v>
      </c>
      <c r="C631" s="60" t="n">
        <v>2277.59</v>
      </c>
      <c r="D631" s="59" t="n">
        <f aca="false">COUNTIFS($A$2:$A$1931,A631,$C$2:$C$1931,"&gt;"&amp;C631)+COUNTIFS($A$2:A631,A631,$C$2:C631,C631)</f>
        <v>7</v>
      </c>
      <c r="E631" s="59" t="str">
        <f aca="false">A631&amp;"|"&amp;D631</f>
        <v>BLR-HSR SS|7</v>
      </c>
    </row>
    <row r="632" customFormat="false" ht="15" hidden="false" customHeight="false" outlineLevel="0" collapsed="false">
      <c r="A632" s="59" t="s">
        <v>169</v>
      </c>
      <c r="B632" s="59" t="s">
        <v>424</v>
      </c>
      <c r="C632" s="60" t="n">
        <v>2009.3</v>
      </c>
      <c r="D632" s="59" t="n">
        <f aca="false">COUNTIFS($A$2:$A$1931,A632,$C$2:$C$1931,"&gt;"&amp;C632)+COUNTIFS($A$2:A632,A632,$C$2:C632,C632)</f>
        <v>8</v>
      </c>
      <c r="E632" s="59" t="str">
        <f aca="false">A632&amp;"|"&amp;D632</f>
        <v>BLR-HSR SS|8</v>
      </c>
    </row>
    <row r="633" customFormat="false" ht="15" hidden="false" customHeight="false" outlineLevel="0" collapsed="false">
      <c r="A633" s="59" t="s">
        <v>169</v>
      </c>
      <c r="B633" s="59" t="s">
        <v>415</v>
      </c>
      <c r="C633" s="60" t="n">
        <v>1850.7</v>
      </c>
      <c r="D633" s="59" t="n">
        <f aca="false">COUNTIFS($A$2:$A$1931,A633,$C$2:$C$1931,"&gt;"&amp;C633)+COUNTIFS($A$2:A633,A633,$C$2:C633,C633)</f>
        <v>9</v>
      </c>
      <c r="E633" s="59" t="str">
        <f aca="false">A633&amp;"|"&amp;D633</f>
        <v>BLR-HSR SS|9</v>
      </c>
    </row>
    <row r="634" customFormat="false" ht="15" hidden="false" customHeight="false" outlineLevel="0" collapsed="false">
      <c r="A634" s="59" t="s">
        <v>169</v>
      </c>
      <c r="B634" s="59" t="s">
        <v>414</v>
      </c>
      <c r="C634" s="60" t="n">
        <v>1624.66</v>
      </c>
      <c r="D634" s="59" t="n">
        <f aca="false">COUNTIFS($A$2:$A$1931,A634,$C$2:$C$1931,"&gt;"&amp;C634)+COUNTIFS($A$2:A634,A634,$C$2:C634,C634)</f>
        <v>10</v>
      </c>
      <c r="E634" s="59" t="str">
        <f aca="false">A634&amp;"|"&amp;D634</f>
        <v>BLR-HSR SS|10</v>
      </c>
    </row>
    <row r="635" customFormat="false" ht="15" hidden="false" customHeight="false" outlineLevel="0" collapsed="false">
      <c r="A635" s="59" t="s">
        <v>169</v>
      </c>
      <c r="B635" s="59" t="s">
        <v>416</v>
      </c>
      <c r="C635" s="60" t="n">
        <v>1056.16</v>
      </c>
      <c r="D635" s="59" t="n">
        <f aca="false">COUNTIFS($A$2:$A$1931,A635,$C$2:$C$1931,"&gt;"&amp;C635)+COUNTIFS($A$2:A635,A635,$C$2:C635,C635)</f>
        <v>11</v>
      </c>
      <c r="E635" s="59" t="str">
        <f aca="false">A635&amp;"|"&amp;D635</f>
        <v>BLR-HSR SS|11</v>
      </c>
    </row>
    <row r="636" customFormat="false" ht="15" hidden="false" customHeight="false" outlineLevel="0" collapsed="false">
      <c r="A636" s="59" t="s">
        <v>169</v>
      </c>
      <c r="B636" s="59" t="s">
        <v>419</v>
      </c>
      <c r="C636" s="60" t="n">
        <v>887</v>
      </c>
      <c r="D636" s="59" t="n">
        <f aca="false">COUNTIFS($A$2:$A$1931,A636,$C$2:$C$1931,"&gt;"&amp;C636)+COUNTIFS($A$2:A636,A636,$C$2:C636,C636)</f>
        <v>12</v>
      </c>
      <c r="E636" s="59" t="str">
        <f aca="false">A636&amp;"|"&amp;D636</f>
        <v>BLR-HSR SS|12</v>
      </c>
    </row>
    <row r="637" customFormat="false" ht="15" hidden="false" customHeight="false" outlineLevel="0" collapsed="false">
      <c r="A637" s="59" t="s">
        <v>169</v>
      </c>
      <c r="B637" s="59" t="s">
        <v>411</v>
      </c>
      <c r="C637" s="60" t="n">
        <v>819.57</v>
      </c>
      <c r="D637" s="59" t="n">
        <f aca="false">COUNTIFS($A$2:$A$1931,A637,$C$2:$C$1931,"&gt;"&amp;C637)+COUNTIFS($A$2:A637,A637,$C$2:C637,C637)</f>
        <v>13</v>
      </c>
      <c r="E637" s="59" t="str">
        <f aca="false">A637&amp;"|"&amp;D637</f>
        <v>BLR-HSR SS|13</v>
      </c>
    </row>
    <row r="638" customFormat="false" ht="15" hidden="false" customHeight="false" outlineLevel="0" collapsed="false">
      <c r="A638" s="59" t="s">
        <v>169</v>
      </c>
      <c r="B638" s="59" t="s">
        <v>413</v>
      </c>
      <c r="C638" s="60" t="n">
        <v>771.37</v>
      </c>
      <c r="D638" s="59" t="n">
        <f aca="false">COUNTIFS($A$2:$A$1931,A638,$C$2:$C$1931,"&gt;"&amp;C638)+COUNTIFS($A$2:A638,A638,$C$2:C638,C638)</f>
        <v>14</v>
      </c>
      <c r="E638" s="59" t="str">
        <f aca="false">A638&amp;"|"&amp;D638</f>
        <v>BLR-HSR SS|14</v>
      </c>
    </row>
    <row r="639" customFormat="false" ht="15" hidden="false" customHeight="false" outlineLevel="0" collapsed="false">
      <c r="A639" s="59" t="s">
        <v>169</v>
      </c>
      <c r="B639" s="59" t="s">
        <v>428</v>
      </c>
      <c r="C639" s="60" t="n">
        <v>645.86</v>
      </c>
      <c r="D639" s="59" t="n">
        <f aca="false">COUNTIFS($A$2:$A$1931,A639,$C$2:$C$1931,"&gt;"&amp;C639)+COUNTIFS($A$2:A639,A639,$C$2:C639,C639)</f>
        <v>15</v>
      </c>
      <c r="E639" s="59" t="str">
        <f aca="false">A639&amp;"|"&amp;D639</f>
        <v>BLR-HSR SS|15</v>
      </c>
    </row>
    <row r="640" customFormat="false" ht="15" hidden="false" customHeight="false" outlineLevel="0" collapsed="false">
      <c r="A640" s="59" t="s">
        <v>169</v>
      </c>
      <c r="B640" s="59" t="s">
        <v>442</v>
      </c>
      <c r="C640" s="60" t="n">
        <v>545.79</v>
      </c>
      <c r="D640" s="59" t="n">
        <f aca="false">COUNTIFS($A$2:$A$1931,A640,$C$2:$C$1931,"&gt;"&amp;C640)+COUNTIFS($A$2:A640,A640,$C$2:C640,C640)</f>
        <v>16</v>
      </c>
      <c r="E640" s="59" t="str">
        <f aca="false">A640&amp;"|"&amp;D640</f>
        <v>BLR-HSR SS|16</v>
      </c>
    </row>
    <row r="641" customFormat="false" ht="15" hidden="false" customHeight="false" outlineLevel="0" collapsed="false">
      <c r="A641" s="59" t="s">
        <v>169</v>
      </c>
      <c r="B641" s="59" t="s">
        <v>408</v>
      </c>
      <c r="C641" s="60" t="n">
        <v>267.75</v>
      </c>
      <c r="D641" s="59" t="n">
        <f aca="false">COUNTIFS($A$2:$A$1931,A641,$C$2:$C$1931,"&gt;"&amp;C641)+COUNTIFS($A$2:A641,A641,$C$2:C641,C641)</f>
        <v>17</v>
      </c>
      <c r="E641" s="59" t="str">
        <f aca="false">A641&amp;"|"&amp;D641</f>
        <v>BLR-HSR SS|17</v>
      </c>
    </row>
    <row r="642" customFormat="false" ht="15" hidden="false" customHeight="false" outlineLevel="0" collapsed="false">
      <c r="A642" s="59" t="s">
        <v>169</v>
      </c>
      <c r="B642" s="59" t="s">
        <v>421</v>
      </c>
      <c r="C642" s="60" t="n">
        <v>176.4</v>
      </c>
      <c r="D642" s="59" t="n">
        <f aca="false">COUNTIFS($A$2:$A$1931,A642,$C$2:$C$1931,"&gt;"&amp;C642)+COUNTIFS($A$2:A642,A642,$C$2:C642,C642)</f>
        <v>18</v>
      </c>
      <c r="E642" s="59" t="str">
        <f aca="false">A642&amp;"|"&amp;D642</f>
        <v>BLR-HSR SS|18</v>
      </c>
    </row>
    <row r="643" customFormat="false" ht="15" hidden="false" customHeight="false" outlineLevel="0" collapsed="false">
      <c r="A643" s="59" t="s">
        <v>169</v>
      </c>
      <c r="B643" s="59" t="s">
        <v>429</v>
      </c>
      <c r="C643" s="60" t="n">
        <v>159.18</v>
      </c>
      <c r="D643" s="59" t="n">
        <f aca="false">COUNTIFS($A$2:$A$1931,A643,$C$2:$C$1931,"&gt;"&amp;C643)+COUNTIFS($A$2:A643,A643,$C$2:C643,C643)</f>
        <v>19</v>
      </c>
      <c r="E643" s="59" t="str">
        <f aca="false">A643&amp;"|"&amp;D643</f>
        <v>BLR-HSR SS|19</v>
      </c>
    </row>
    <row r="644" customFormat="false" ht="15" hidden="false" customHeight="false" outlineLevel="0" collapsed="false">
      <c r="A644" s="59" t="s">
        <v>169</v>
      </c>
      <c r="B644" s="59" t="s">
        <v>430</v>
      </c>
      <c r="C644" s="60" t="n">
        <v>77.82</v>
      </c>
      <c r="D644" s="59" t="n">
        <f aca="false">COUNTIFS($A$2:$A$1931,A644,$C$2:$C$1931,"&gt;"&amp;C644)+COUNTIFS($A$2:A644,A644,$C$2:C644,C644)</f>
        <v>20</v>
      </c>
      <c r="E644" s="59" t="str">
        <f aca="false">A644&amp;"|"&amp;D644</f>
        <v>BLR-HSR SS|20</v>
      </c>
    </row>
    <row r="645" customFormat="false" ht="15" hidden="false" customHeight="false" outlineLevel="0" collapsed="false">
      <c r="A645" s="59" t="s">
        <v>169</v>
      </c>
      <c r="B645" s="59" t="s">
        <v>407</v>
      </c>
      <c r="C645" s="60" t="n">
        <v>55.05</v>
      </c>
      <c r="D645" s="59" t="n">
        <f aca="false">COUNTIFS($A$2:$A$1931,A645,$C$2:$C$1931,"&gt;"&amp;C645)+COUNTIFS($A$2:A645,A645,$C$2:C645,C645)</f>
        <v>21</v>
      </c>
      <c r="E645" s="59" t="str">
        <f aca="false">A645&amp;"|"&amp;D645</f>
        <v>BLR-HSR SS|21</v>
      </c>
    </row>
    <row r="646" customFormat="false" ht="15" hidden="false" customHeight="false" outlineLevel="0" collapsed="false">
      <c r="A646" s="59" t="s">
        <v>169</v>
      </c>
      <c r="B646" s="59" t="s">
        <v>444</v>
      </c>
      <c r="C646" s="60" t="n">
        <v>32.01</v>
      </c>
      <c r="D646" s="59" t="n">
        <f aca="false">COUNTIFS($A$2:$A$1931,A646,$C$2:$C$1931,"&gt;"&amp;C646)+COUNTIFS($A$2:A646,A646,$C$2:C646,C646)</f>
        <v>22</v>
      </c>
      <c r="E646" s="59" t="str">
        <f aca="false">A646&amp;"|"&amp;D646</f>
        <v>BLR-HSR SS|22</v>
      </c>
    </row>
    <row r="647" customFormat="false" ht="15" hidden="false" customHeight="false" outlineLevel="0" collapsed="false">
      <c r="A647" s="59" t="s">
        <v>169</v>
      </c>
      <c r="B647" s="59" t="s">
        <v>447</v>
      </c>
      <c r="C647" s="60" t="n">
        <v>8.88</v>
      </c>
      <c r="D647" s="59" t="n">
        <f aca="false">COUNTIFS($A$2:$A$1931,A647,$C$2:$C$1931,"&gt;"&amp;C647)+COUNTIFS($A$2:A647,A647,$C$2:C647,C647)</f>
        <v>23</v>
      </c>
      <c r="E647" s="59" t="str">
        <f aca="false">A647&amp;"|"&amp;D647</f>
        <v>BLR-HSR SS|23</v>
      </c>
    </row>
    <row r="648" customFormat="false" ht="15" hidden="false" customHeight="false" outlineLevel="0" collapsed="false">
      <c r="A648" s="59" t="s">
        <v>65</v>
      </c>
      <c r="B648" s="59" t="s">
        <v>426</v>
      </c>
      <c r="C648" s="60" t="n">
        <v>14183.29</v>
      </c>
      <c r="D648" s="59" t="n">
        <f aca="false">COUNTIFS($A$2:$A$1931,A648,$C$2:$C$1931,"&gt;"&amp;C648)+COUNTIFS($A$2:A648,A648,$C$2:C648,C648)</f>
        <v>1</v>
      </c>
      <c r="E648" s="59" t="str">
        <f aca="false">A648&amp;"|"&amp;D648</f>
        <v>BLR-HSR-2|1</v>
      </c>
    </row>
    <row r="649" customFormat="false" ht="15" hidden="false" customHeight="false" outlineLevel="0" collapsed="false">
      <c r="A649" s="59" t="s">
        <v>65</v>
      </c>
      <c r="B649" s="59" t="s">
        <v>420</v>
      </c>
      <c r="C649" s="60" t="n">
        <v>4321.08</v>
      </c>
      <c r="D649" s="59" t="n">
        <f aca="false">COUNTIFS($A$2:$A$1931,A649,$C$2:$C$1931,"&gt;"&amp;C649)+COUNTIFS($A$2:A649,A649,$C$2:C649,C649)</f>
        <v>2</v>
      </c>
      <c r="E649" s="59" t="str">
        <f aca="false">A649&amp;"|"&amp;D649</f>
        <v>BLR-HSR-2|2</v>
      </c>
    </row>
    <row r="650" customFormat="false" ht="15" hidden="false" customHeight="false" outlineLevel="0" collapsed="false">
      <c r="A650" s="59" t="s">
        <v>65</v>
      </c>
      <c r="B650" s="59" t="s">
        <v>412</v>
      </c>
      <c r="C650" s="60" t="n">
        <v>2525.54</v>
      </c>
      <c r="D650" s="59" t="n">
        <f aca="false">COUNTIFS($A$2:$A$1931,A650,$C$2:$C$1931,"&gt;"&amp;C650)+COUNTIFS($A$2:A650,A650,$C$2:C650,C650)</f>
        <v>3</v>
      </c>
      <c r="E650" s="59" t="str">
        <f aca="false">A650&amp;"|"&amp;D650</f>
        <v>BLR-HSR-2|3</v>
      </c>
    </row>
    <row r="651" customFormat="false" ht="15" hidden="false" customHeight="false" outlineLevel="0" collapsed="false">
      <c r="A651" s="59" t="s">
        <v>65</v>
      </c>
      <c r="B651" s="59" t="s">
        <v>413</v>
      </c>
      <c r="C651" s="60" t="n">
        <v>1923.31</v>
      </c>
      <c r="D651" s="59" t="n">
        <f aca="false">COUNTIFS($A$2:$A$1931,A651,$C$2:$C$1931,"&gt;"&amp;C651)+COUNTIFS($A$2:A651,A651,$C$2:C651,C651)</f>
        <v>4</v>
      </c>
      <c r="E651" s="59" t="str">
        <f aca="false">A651&amp;"|"&amp;D651</f>
        <v>BLR-HSR-2|4</v>
      </c>
    </row>
    <row r="652" customFormat="false" ht="15" hidden="false" customHeight="false" outlineLevel="0" collapsed="false">
      <c r="A652" s="59" t="s">
        <v>65</v>
      </c>
      <c r="B652" s="59" t="s">
        <v>424</v>
      </c>
      <c r="C652" s="60" t="n">
        <v>1350.62</v>
      </c>
      <c r="D652" s="59" t="n">
        <f aca="false">COUNTIFS($A$2:$A$1931,A652,$C$2:$C$1931,"&gt;"&amp;C652)+COUNTIFS($A$2:A652,A652,$C$2:C652,C652)</f>
        <v>5</v>
      </c>
      <c r="E652" s="59" t="str">
        <f aca="false">A652&amp;"|"&amp;D652</f>
        <v>BLR-HSR-2|5</v>
      </c>
    </row>
    <row r="653" customFormat="false" ht="15" hidden="false" customHeight="false" outlineLevel="0" collapsed="false">
      <c r="A653" s="59" t="s">
        <v>65</v>
      </c>
      <c r="B653" s="59" t="s">
        <v>409</v>
      </c>
      <c r="C653" s="60" t="n">
        <v>1056.09</v>
      </c>
      <c r="D653" s="59" t="n">
        <f aca="false">COUNTIFS($A$2:$A$1931,A653,$C$2:$C$1931,"&gt;"&amp;C653)+COUNTIFS($A$2:A653,A653,$C$2:C653,C653)</f>
        <v>6</v>
      </c>
      <c r="E653" s="59" t="str">
        <f aca="false">A653&amp;"|"&amp;D653</f>
        <v>BLR-HSR-2|6</v>
      </c>
    </row>
    <row r="654" customFormat="false" ht="15" hidden="false" customHeight="false" outlineLevel="0" collapsed="false">
      <c r="A654" s="59" t="s">
        <v>65</v>
      </c>
      <c r="B654" s="59" t="s">
        <v>417</v>
      </c>
      <c r="C654" s="60" t="n">
        <v>540.35</v>
      </c>
      <c r="D654" s="59" t="n">
        <f aca="false">COUNTIFS($A$2:$A$1931,A654,$C$2:$C$1931,"&gt;"&amp;C654)+COUNTIFS($A$2:A654,A654,$C$2:C654,C654)</f>
        <v>7</v>
      </c>
      <c r="E654" s="59" t="str">
        <f aca="false">A654&amp;"|"&amp;D654</f>
        <v>BLR-HSR-2|7</v>
      </c>
    </row>
    <row r="655" customFormat="false" ht="15" hidden="false" customHeight="false" outlineLevel="0" collapsed="false">
      <c r="A655" s="59" t="s">
        <v>65</v>
      </c>
      <c r="B655" s="59" t="s">
        <v>423</v>
      </c>
      <c r="C655" s="60" t="n">
        <v>133.12</v>
      </c>
      <c r="D655" s="59" t="n">
        <f aca="false">COUNTIFS($A$2:$A$1931,A655,$C$2:$C$1931,"&gt;"&amp;C655)+COUNTIFS($A$2:A655,A655,$C$2:C655,C655)</f>
        <v>8</v>
      </c>
      <c r="E655" s="59" t="str">
        <f aca="false">A655&amp;"|"&amp;D655</f>
        <v>BLR-HSR-2|8</v>
      </c>
    </row>
    <row r="656" customFormat="false" ht="15" hidden="false" customHeight="false" outlineLevel="0" collapsed="false">
      <c r="A656" s="59" t="s">
        <v>65</v>
      </c>
      <c r="B656" s="59" t="s">
        <v>415</v>
      </c>
      <c r="C656" s="60" t="n">
        <v>92.82</v>
      </c>
      <c r="D656" s="59" t="n">
        <f aca="false">COUNTIFS($A$2:$A$1931,A656,$C$2:$C$1931,"&gt;"&amp;C656)+COUNTIFS($A$2:A656,A656,$C$2:C656,C656)</f>
        <v>9</v>
      </c>
      <c r="E656" s="59" t="str">
        <f aca="false">A656&amp;"|"&amp;D656</f>
        <v>BLR-HSR-2|9</v>
      </c>
    </row>
    <row r="657" customFormat="false" ht="15" hidden="false" customHeight="false" outlineLevel="0" collapsed="false">
      <c r="A657" s="59" t="s">
        <v>65</v>
      </c>
      <c r="B657" s="59" t="s">
        <v>408</v>
      </c>
      <c r="C657" s="60" t="n">
        <v>34.54</v>
      </c>
      <c r="D657" s="59" t="n">
        <f aca="false">COUNTIFS($A$2:$A$1931,A657,$C$2:$C$1931,"&gt;"&amp;C657)+COUNTIFS($A$2:A657,A657,$C$2:C657,C657)</f>
        <v>10</v>
      </c>
      <c r="E657" s="59" t="str">
        <f aca="false">A657&amp;"|"&amp;D657</f>
        <v>BLR-HSR-2|10</v>
      </c>
    </row>
    <row r="658" customFormat="false" ht="15" hidden="false" customHeight="false" outlineLevel="0" collapsed="false">
      <c r="A658" s="59" t="s">
        <v>65</v>
      </c>
      <c r="B658" s="59" t="s">
        <v>414</v>
      </c>
      <c r="C658" s="60" t="n">
        <v>25.68</v>
      </c>
      <c r="D658" s="59" t="n">
        <f aca="false">COUNTIFS($A$2:$A$1931,A658,$C$2:$C$1931,"&gt;"&amp;C658)+COUNTIFS($A$2:A658,A658,$C$2:C658,C658)</f>
        <v>11</v>
      </c>
      <c r="E658" s="59" t="str">
        <f aca="false">A658&amp;"|"&amp;D658</f>
        <v>BLR-HSR-2|11</v>
      </c>
    </row>
    <row r="659" customFormat="false" ht="15" hidden="false" customHeight="false" outlineLevel="0" collapsed="false">
      <c r="A659" s="59" t="s">
        <v>32</v>
      </c>
      <c r="B659" s="59" t="s">
        <v>408</v>
      </c>
      <c r="C659" s="60" t="n">
        <v>27221.27</v>
      </c>
      <c r="D659" s="59" t="n">
        <f aca="false">COUNTIFS($A$2:$A$1931,A659,$C$2:$C$1931,"&gt;"&amp;C659)+COUNTIFS($A$2:A659,A659,$C$2:C659,C659)</f>
        <v>1</v>
      </c>
      <c r="E659" s="59" t="str">
        <f aca="false">A659&amp;"|"&amp;D659</f>
        <v>BLR-HSR-3|1</v>
      </c>
    </row>
    <row r="660" customFormat="false" ht="15" hidden="false" customHeight="false" outlineLevel="0" collapsed="false">
      <c r="A660" s="59" t="s">
        <v>32</v>
      </c>
      <c r="B660" s="59" t="s">
        <v>418</v>
      </c>
      <c r="C660" s="60" t="n">
        <v>14322.02</v>
      </c>
      <c r="D660" s="59" t="n">
        <f aca="false">COUNTIFS($A$2:$A$1931,A660,$C$2:$C$1931,"&gt;"&amp;C660)+COUNTIFS($A$2:A660,A660,$C$2:C660,C660)</f>
        <v>2</v>
      </c>
      <c r="E660" s="59" t="str">
        <f aca="false">A660&amp;"|"&amp;D660</f>
        <v>BLR-HSR-3|2</v>
      </c>
    </row>
    <row r="661" customFormat="false" ht="15" hidden="false" customHeight="false" outlineLevel="0" collapsed="false">
      <c r="A661" s="59" t="s">
        <v>32</v>
      </c>
      <c r="B661" s="59" t="s">
        <v>412</v>
      </c>
      <c r="C661" s="60" t="n">
        <v>11198.62</v>
      </c>
      <c r="D661" s="59" t="n">
        <f aca="false">COUNTIFS($A$2:$A$1931,A661,$C$2:$C$1931,"&gt;"&amp;C661)+COUNTIFS($A$2:A661,A661,$C$2:C661,C661)</f>
        <v>3</v>
      </c>
      <c r="E661" s="59" t="str">
        <f aca="false">A661&amp;"|"&amp;D661</f>
        <v>BLR-HSR-3|3</v>
      </c>
    </row>
    <row r="662" customFormat="false" ht="15" hidden="false" customHeight="false" outlineLevel="0" collapsed="false">
      <c r="A662" s="59" t="s">
        <v>32</v>
      </c>
      <c r="B662" s="59" t="s">
        <v>424</v>
      </c>
      <c r="C662" s="60" t="n">
        <v>6881.95</v>
      </c>
      <c r="D662" s="59" t="n">
        <f aca="false">COUNTIFS($A$2:$A$1931,A662,$C$2:$C$1931,"&gt;"&amp;C662)+COUNTIFS($A$2:A662,A662,$C$2:C662,C662)</f>
        <v>4</v>
      </c>
      <c r="E662" s="59" t="str">
        <f aca="false">A662&amp;"|"&amp;D662</f>
        <v>BLR-HSR-3|4</v>
      </c>
    </row>
    <row r="663" customFormat="false" ht="15" hidden="false" customHeight="false" outlineLevel="0" collapsed="false">
      <c r="A663" s="59" t="s">
        <v>32</v>
      </c>
      <c r="B663" s="59" t="s">
        <v>431</v>
      </c>
      <c r="C663" s="60" t="n">
        <v>4877.61</v>
      </c>
      <c r="D663" s="59" t="n">
        <f aca="false">COUNTIFS($A$2:$A$1931,A663,$C$2:$C$1931,"&gt;"&amp;C663)+COUNTIFS($A$2:A663,A663,$C$2:C663,C663)</f>
        <v>5</v>
      </c>
      <c r="E663" s="59" t="str">
        <f aca="false">A663&amp;"|"&amp;D663</f>
        <v>BLR-HSR-3|5</v>
      </c>
    </row>
    <row r="664" customFormat="false" ht="15" hidden="false" customHeight="false" outlineLevel="0" collapsed="false">
      <c r="A664" s="59" t="s">
        <v>32</v>
      </c>
      <c r="B664" s="59" t="s">
        <v>410</v>
      </c>
      <c r="C664" s="60" t="n">
        <v>4648.37</v>
      </c>
      <c r="D664" s="59" t="n">
        <f aca="false">COUNTIFS($A$2:$A$1931,A664,$C$2:$C$1931,"&gt;"&amp;C664)+COUNTIFS($A$2:A664,A664,$C$2:C664,C664)</f>
        <v>6</v>
      </c>
      <c r="E664" s="59" t="str">
        <f aca="false">A664&amp;"|"&amp;D664</f>
        <v>BLR-HSR-3|6</v>
      </c>
    </row>
    <row r="665" customFormat="false" ht="15" hidden="false" customHeight="false" outlineLevel="0" collapsed="false">
      <c r="A665" s="59" t="s">
        <v>32</v>
      </c>
      <c r="B665" s="59" t="s">
        <v>409</v>
      </c>
      <c r="C665" s="60" t="n">
        <v>3687.57</v>
      </c>
      <c r="D665" s="59" t="n">
        <f aca="false">COUNTIFS($A$2:$A$1931,A665,$C$2:$C$1931,"&gt;"&amp;C665)+COUNTIFS($A$2:A665,A665,$C$2:C665,C665)</f>
        <v>7</v>
      </c>
      <c r="E665" s="59" t="str">
        <f aca="false">A665&amp;"|"&amp;D665</f>
        <v>BLR-HSR-3|7</v>
      </c>
    </row>
    <row r="666" customFormat="false" ht="15" hidden="false" customHeight="false" outlineLevel="0" collapsed="false">
      <c r="A666" s="59" t="s">
        <v>32</v>
      </c>
      <c r="B666" s="59" t="s">
        <v>426</v>
      </c>
      <c r="C666" s="60" t="n">
        <v>1912.58</v>
      </c>
      <c r="D666" s="59" t="n">
        <f aca="false">COUNTIFS($A$2:$A$1931,A666,$C$2:$C$1931,"&gt;"&amp;C666)+COUNTIFS($A$2:A666,A666,$C$2:C666,C666)</f>
        <v>8</v>
      </c>
      <c r="E666" s="59" t="str">
        <f aca="false">A666&amp;"|"&amp;D666</f>
        <v>BLR-HSR-3|8</v>
      </c>
    </row>
    <row r="667" customFormat="false" ht="15" hidden="false" customHeight="false" outlineLevel="0" collapsed="false">
      <c r="A667" s="59" t="s">
        <v>32</v>
      </c>
      <c r="B667" s="59" t="s">
        <v>420</v>
      </c>
      <c r="C667" s="60" t="n">
        <v>693.61</v>
      </c>
      <c r="D667" s="59" t="n">
        <f aca="false">COUNTIFS($A$2:$A$1931,A667,$C$2:$C$1931,"&gt;"&amp;C667)+COUNTIFS($A$2:A667,A667,$C$2:C667,C667)</f>
        <v>9</v>
      </c>
      <c r="E667" s="59" t="str">
        <f aca="false">A667&amp;"|"&amp;D667</f>
        <v>BLR-HSR-3|9</v>
      </c>
    </row>
    <row r="668" customFormat="false" ht="15" hidden="false" customHeight="false" outlineLevel="0" collapsed="false">
      <c r="A668" s="59" t="s">
        <v>32</v>
      </c>
      <c r="B668" s="59" t="s">
        <v>419</v>
      </c>
      <c r="C668" s="60" t="n">
        <v>467.63</v>
      </c>
      <c r="D668" s="59" t="n">
        <f aca="false">COUNTIFS($A$2:$A$1931,A668,$C$2:$C$1931,"&gt;"&amp;C668)+COUNTIFS($A$2:A668,A668,$C$2:C668,C668)</f>
        <v>10</v>
      </c>
      <c r="E668" s="59" t="str">
        <f aca="false">A668&amp;"|"&amp;D668</f>
        <v>BLR-HSR-3|10</v>
      </c>
    </row>
    <row r="669" customFormat="false" ht="15" hidden="false" customHeight="false" outlineLevel="0" collapsed="false">
      <c r="A669" s="59" t="s">
        <v>32</v>
      </c>
      <c r="B669" s="59" t="s">
        <v>423</v>
      </c>
      <c r="C669" s="60" t="n">
        <v>25.68</v>
      </c>
      <c r="D669" s="59" t="n">
        <f aca="false">COUNTIFS($A$2:$A$1931,A669,$C$2:$C$1931,"&gt;"&amp;C669)+COUNTIFS($A$2:A669,A669,$C$2:C669,C669)</f>
        <v>11</v>
      </c>
      <c r="E669" s="59" t="str">
        <f aca="false">A669&amp;"|"&amp;D669</f>
        <v>BLR-HSR-3|11</v>
      </c>
    </row>
    <row r="670" customFormat="false" ht="15" hidden="false" customHeight="false" outlineLevel="0" collapsed="false">
      <c r="A670" s="59" t="s">
        <v>288</v>
      </c>
      <c r="B670" s="59" t="s">
        <v>418</v>
      </c>
      <c r="C670" s="60" t="n">
        <v>1335.91</v>
      </c>
      <c r="D670" s="59" t="n">
        <f aca="false">COUNTIFS($A$2:$A$1931,A670,$C$2:$C$1931,"&gt;"&amp;C670)+COUNTIFS($A$2:A670,A670,$C$2:C670,C670)</f>
        <v>1</v>
      </c>
      <c r="E670" s="59" t="str">
        <f aca="false">A670&amp;"|"&amp;D670</f>
        <v>BLR-Hadosiddapura|1</v>
      </c>
    </row>
    <row r="671" customFormat="false" ht="15" hidden="false" customHeight="false" outlineLevel="0" collapsed="false">
      <c r="A671" s="59" t="s">
        <v>288</v>
      </c>
      <c r="B671" s="59" t="s">
        <v>431</v>
      </c>
      <c r="C671" s="60" t="n">
        <v>1104.96</v>
      </c>
      <c r="D671" s="59" t="n">
        <f aca="false">COUNTIFS($A$2:$A$1931,A671,$C$2:$C$1931,"&gt;"&amp;C671)+COUNTIFS($A$2:A671,A671,$C$2:C671,C671)</f>
        <v>2</v>
      </c>
      <c r="E671" s="59" t="str">
        <f aca="false">A671&amp;"|"&amp;D671</f>
        <v>BLR-Hadosiddapura|2</v>
      </c>
    </row>
    <row r="672" customFormat="false" ht="15" hidden="false" customHeight="false" outlineLevel="0" collapsed="false">
      <c r="A672" s="59" t="s">
        <v>288</v>
      </c>
      <c r="B672" s="59" t="s">
        <v>412</v>
      </c>
      <c r="C672" s="60" t="n">
        <v>841.4</v>
      </c>
      <c r="D672" s="59" t="n">
        <f aca="false">COUNTIFS($A$2:$A$1931,A672,$C$2:$C$1931,"&gt;"&amp;C672)+COUNTIFS($A$2:A672,A672,$C$2:C672,C672)</f>
        <v>3</v>
      </c>
      <c r="E672" s="59" t="str">
        <f aca="false">A672&amp;"|"&amp;D672</f>
        <v>BLR-Hadosiddapura|3</v>
      </c>
    </row>
    <row r="673" customFormat="false" ht="15" hidden="false" customHeight="false" outlineLevel="0" collapsed="false">
      <c r="A673" s="59" t="s">
        <v>175</v>
      </c>
      <c r="B673" s="59" t="s">
        <v>436</v>
      </c>
      <c r="C673" s="60" t="n">
        <v>396.7</v>
      </c>
      <c r="D673" s="59" t="n">
        <f aca="false">COUNTIFS($A$2:$A$1931,A673,$C$2:$C$1931,"&gt;"&amp;C673)+COUNTIFS($A$2:A673,A673,$C$2:C673,C673)</f>
        <v>1</v>
      </c>
      <c r="E673" s="59" t="str">
        <f aca="false">A673&amp;"|"&amp;D673</f>
        <v>BLR-HeadOffice-Cafe|1</v>
      </c>
    </row>
    <row r="674" customFormat="false" ht="15" hidden="false" customHeight="false" outlineLevel="0" collapsed="false">
      <c r="A674" s="59" t="s">
        <v>141</v>
      </c>
      <c r="B674" s="59" t="s">
        <v>409</v>
      </c>
      <c r="C674" s="60" t="n">
        <v>14269.76</v>
      </c>
      <c r="D674" s="59" t="n">
        <f aca="false">COUNTIFS($A$2:$A$1931,A674,$C$2:$C$1931,"&gt;"&amp;C674)+COUNTIFS($A$2:A674,A674,$C$2:C674,C674)</f>
        <v>1</v>
      </c>
      <c r="E674" s="59" t="str">
        <f aca="false">A674&amp;"|"&amp;D674</f>
        <v>BLR-Hegganahalli|1</v>
      </c>
    </row>
    <row r="675" customFormat="false" ht="15" hidden="false" customHeight="false" outlineLevel="0" collapsed="false">
      <c r="A675" s="59" t="s">
        <v>141</v>
      </c>
      <c r="B675" s="59" t="s">
        <v>412</v>
      </c>
      <c r="C675" s="60" t="n">
        <v>1349.92</v>
      </c>
      <c r="D675" s="59" t="n">
        <f aca="false">COUNTIFS($A$2:$A$1931,A675,$C$2:$C$1931,"&gt;"&amp;C675)+COUNTIFS($A$2:A675,A675,$C$2:C675,C675)</f>
        <v>2</v>
      </c>
      <c r="E675" s="59" t="str">
        <f aca="false">A675&amp;"|"&amp;D675</f>
        <v>BLR-Hegganahalli|2</v>
      </c>
    </row>
    <row r="676" customFormat="false" ht="15" hidden="false" customHeight="false" outlineLevel="0" collapsed="false">
      <c r="A676" s="59" t="s">
        <v>141</v>
      </c>
      <c r="B676" s="59" t="s">
        <v>418</v>
      </c>
      <c r="C676" s="60" t="n">
        <v>1218.54</v>
      </c>
      <c r="D676" s="59" t="n">
        <f aca="false">COUNTIFS($A$2:$A$1931,A676,$C$2:$C$1931,"&gt;"&amp;C676)+COUNTIFS($A$2:A676,A676,$C$2:C676,C676)</f>
        <v>3</v>
      </c>
      <c r="E676" s="59" t="str">
        <f aca="false">A676&amp;"|"&amp;D676</f>
        <v>BLR-Hegganahalli|3</v>
      </c>
    </row>
    <row r="677" customFormat="false" ht="15" hidden="false" customHeight="false" outlineLevel="0" collapsed="false">
      <c r="A677" s="59" t="s">
        <v>141</v>
      </c>
      <c r="B677" s="59" t="s">
        <v>431</v>
      </c>
      <c r="C677" s="60" t="n">
        <v>1189.78</v>
      </c>
      <c r="D677" s="59" t="n">
        <f aca="false">COUNTIFS($A$2:$A$1931,A677,$C$2:$C$1931,"&gt;"&amp;C677)+COUNTIFS($A$2:A677,A677,$C$2:C677,C677)</f>
        <v>4</v>
      </c>
      <c r="E677" s="59" t="str">
        <f aca="false">A677&amp;"|"&amp;D677</f>
        <v>BLR-Hegganahalli|4</v>
      </c>
    </row>
    <row r="678" customFormat="false" ht="15" hidden="false" customHeight="false" outlineLevel="0" collapsed="false">
      <c r="A678" s="59" t="s">
        <v>141</v>
      </c>
      <c r="B678" s="59" t="s">
        <v>410</v>
      </c>
      <c r="C678" s="60" t="n">
        <v>564.7</v>
      </c>
      <c r="D678" s="59" t="n">
        <f aca="false">COUNTIFS($A$2:$A$1931,A678,$C$2:$C$1931,"&gt;"&amp;C678)+COUNTIFS($A$2:A678,A678,$C$2:C678,C678)</f>
        <v>5</v>
      </c>
      <c r="E678" s="59" t="str">
        <f aca="false">A678&amp;"|"&amp;D678</f>
        <v>BLR-Hegganahalli|5</v>
      </c>
    </row>
    <row r="679" customFormat="false" ht="15" hidden="false" customHeight="false" outlineLevel="0" collapsed="false">
      <c r="A679" s="59" t="s">
        <v>141</v>
      </c>
      <c r="B679" s="59" t="s">
        <v>415</v>
      </c>
      <c r="C679" s="60" t="n">
        <v>181.45</v>
      </c>
      <c r="D679" s="59" t="n">
        <f aca="false">COUNTIFS($A$2:$A$1931,A679,$C$2:$C$1931,"&gt;"&amp;C679)+COUNTIFS($A$2:A679,A679,$C$2:C679,C679)</f>
        <v>6</v>
      </c>
      <c r="E679" s="59" t="str">
        <f aca="false">A679&amp;"|"&amp;D679</f>
        <v>BLR-Hegganahalli|6</v>
      </c>
    </row>
    <row r="680" customFormat="false" ht="15" hidden="false" customHeight="false" outlineLevel="0" collapsed="false">
      <c r="A680" s="59" t="s">
        <v>125</v>
      </c>
      <c r="B680" s="59" t="s">
        <v>420</v>
      </c>
      <c r="C680" s="60" t="n">
        <v>2495.62</v>
      </c>
      <c r="D680" s="59" t="n">
        <f aca="false">COUNTIFS($A$2:$A$1931,A680,$C$2:$C$1931,"&gt;"&amp;C680)+COUNTIFS($A$2:A680,A680,$C$2:C680,C680)</f>
        <v>1</v>
      </c>
      <c r="E680" s="59" t="str">
        <f aca="false">A680&amp;"|"&amp;D680</f>
        <v>BLR-Hennur Main|1</v>
      </c>
    </row>
    <row r="681" customFormat="false" ht="15" hidden="false" customHeight="false" outlineLevel="0" collapsed="false">
      <c r="A681" s="59" t="s">
        <v>125</v>
      </c>
      <c r="B681" s="59" t="s">
        <v>418</v>
      </c>
      <c r="C681" s="60" t="n">
        <v>681.94</v>
      </c>
      <c r="D681" s="59" t="n">
        <f aca="false">COUNTIFS($A$2:$A$1931,A681,$C$2:$C$1931,"&gt;"&amp;C681)+COUNTIFS($A$2:A681,A681,$C$2:C681,C681)</f>
        <v>2</v>
      </c>
      <c r="E681" s="59" t="str">
        <f aca="false">A681&amp;"|"&amp;D681</f>
        <v>BLR-Hennur Main|2</v>
      </c>
    </row>
    <row r="682" customFormat="false" ht="15" hidden="false" customHeight="false" outlineLevel="0" collapsed="false">
      <c r="A682" s="59" t="s">
        <v>125</v>
      </c>
      <c r="B682" s="59" t="s">
        <v>409</v>
      </c>
      <c r="C682" s="60" t="n">
        <v>420.32</v>
      </c>
      <c r="D682" s="59" t="n">
        <f aca="false">COUNTIFS($A$2:$A$1931,A682,$C$2:$C$1931,"&gt;"&amp;C682)+COUNTIFS($A$2:A682,A682,$C$2:C682,C682)</f>
        <v>3</v>
      </c>
      <c r="E682" s="59" t="str">
        <f aca="false">A682&amp;"|"&amp;D682</f>
        <v>BLR-Hennur Main|3</v>
      </c>
    </row>
    <row r="683" customFormat="false" ht="15" hidden="false" customHeight="false" outlineLevel="0" collapsed="false">
      <c r="A683" s="59" t="s">
        <v>125</v>
      </c>
      <c r="B683" s="59" t="s">
        <v>410</v>
      </c>
      <c r="C683" s="60" t="n">
        <v>317.21</v>
      </c>
      <c r="D683" s="59" t="n">
        <f aca="false">COUNTIFS($A$2:$A$1931,A683,$C$2:$C$1931,"&gt;"&amp;C683)+COUNTIFS($A$2:A683,A683,$C$2:C683,C683)</f>
        <v>4</v>
      </c>
      <c r="E683" s="59" t="str">
        <f aca="false">A683&amp;"|"&amp;D683</f>
        <v>BLR-Hennur Main|4</v>
      </c>
    </row>
    <row r="684" customFormat="false" ht="15" hidden="false" customHeight="false" outlineLevel="0" collapsed="false">
      <c r="A684" s="59" t="s">
        <v>125</v>
      </c>
      <c r="B684" s="59" t="s">
        <v>415</v>
      </c>
      <c r="C684" s="60" t="n">
        <v>216.31</v>
      </c>
      <c r="D684" s="59" t="n">
        <f aca="false">COUNTIFS($A$2:$A$1931,A684,$C$2:$C$1931,"&gt;"&amp;C684)+COUNTIFS($A$2:A684,A684,$C$2:C684,C684)</f>
        <v>5</v>
      </c>
      <c r="E684" s="59" t="str">
        <f aca="false">A684&amp;"|"&amp;D684</f>
        <v>BLR-Hennur Main|5</v>
      </c>
    </row>
    <row r="685" customFormat="false" ht="15" hidden="false" customHeight="false" outlineLevel="0" collapsed="false">
      <c r="A685" s="59" t="s">
        <v>125</v>
      </c>
      <c r="B685" s="59" t="s">
        <v>417</v>
      </c>
      <c r="C685" s="60" t="n">
        <v>171.46</v>
      </c>
      <c r="D685" s="59" t="n">
        <f aca="false">COUNTIFS($A$2:$A$1931,A685,$C$2:$C$1931,"&gt;"&amp;C685)+COUNTIFS($A$2:A685,A685,$C$2:C685,C685)</f>
        <v>6</v>
      </c>
      <c r="E685" s="59" t="str">
        <f aca="false">A685&amp;"|"&amp;D685</f>
        <v>BLR-Hennur Main|6</v>
      </c>
    </row>
    <row r="686" customFormat="false" ht="15" hidden="false" customHeight="false" outlineLevel="0" collapsed="false">
      <c r="A686" s="59" t="s">
        <v>125</v>
      </c>
      <c r="B686" s="59" t="s">
        <v>437</v>
      </c>
      <c r="C686" s="60" t="n">
        <v>115.47</v>
      </c>
      <c r="D686" s="59" t="n">
        <f aca="false">COUNTIFS($A$2:$A$1931,A686,$C$2:$C$1931,"&gt;"&amp;C686)+COUNTIFS($A$2:A686,A686,$C$2:C686,C686)</f>
        <v>7</v>
      </c>
      <c r="E686" s="59" t="str">
        <f aca="false">A686&amp;"|"&amp;D686</f>
        <v>BLR-Hennur Main|7</v>
      </c>
    </row>
    <row r="687" customFormat="false" ht="15" hidden="false" customHeight="false" outlineLevel="0" collapsed="false">
      <c r="A687" s="59" t="s">
        <v>90</v>
      </c>
      <c r="B687" s="59" t="s">
        <v>423</v>
      </c>
      <c r="C687" s="60" t="n">
        <v>720</v>
      </c>
      <c r="D687" s="59" t="n">
        <f aca="false">COUNTIFS($A$2:$A$1931,A687,$C$2:$C$1931,"&gt;"&amp;C687)+COUNTIFS($A$2:A687,A687,$C$2:C687,C687)</f>
        <v>1</v>
      </c>
      <c r="E687" s="59" t="str">
        <f aca="false">A687&amp;"|"&amp;D687</f>
        <v>BLR-Hennur New|1</v>
      </c>
    </row>
    <row r="688" customFormat="false" ht="15" hidden="false" customHeight="false" outlineLevel="0" collapsed="false">
      <c r="A688" s="59" t="s">
        <v>79</v>
      </c>
      <c r="B688" s="59" t="s">
        <v>415</v>
      </c>
      <c r="C688" s="60" t="n">
        <v>16891.77</v>
      </c>
      <c r="D688" s="59" t="n">
        <f aca="false">COUNTIFS($A$2:$A$1931,A688,$C$2:$C$1931,"&gt;"&amp;C688)+COUNTIFS($A$2:A688,A688,$C$2:C688,C688)</f>
        <v>1</v>
      </c>
      <c r="E688" s="59" t="str">
        <f aca="false">A688&amp;"|"&amp;D688</f>
        <v>BLR-Hope Farm New|1</v>
      </c>
    </row>
    <row r="689" customFormat="false" ht="15" hidden="false" customHeight="false" outlineLevel="0" collapsed="false">
      <c r="A689" s="59" t="s">
        <v>79</v>
      </c>
      <c r="B689" s="59" t="s">
        <v>418</v>
      </c>
      <c r="C689" s="60" t="n">
        <v>3361.8</v>
      </c>
      <c r="D689" s="59" t="n">
        <f aca="false">COUNTIFS($A$2:$A$1931,A689,$C$2:$C$1931,"&gt;"&amp;C689)+COUNTIFS($A$2:A689,A689,$C$2:C689,C689)</f>
        <v>2</v>
      </c>
      <c r="E689" s="59" t="str">
        <f aca="false">A689&amp;"|"&amp;D689</f>
        <v>BLR-Hope Farm New|2</v>
      </c>
    </row>
    <row r="690" customFormat="false" ht="15" hidden="false" customHeight="false" outlineLevel="0" collapsed="false">
      <c r="A690" s="59" t="s">
        <v>79</v>
      </c>
      <c r="B690" s="59" t="s">
        <v>413</v>
      </c>
      <c r="C690" s="60" t="n">
        <v>2916.7</v>
      </c>
      <c r="D690" s="59" t="n">
        <f aca="false">COUNTIFS($A$2:$A$1931,A690,$C$2:$C$1931,"&gt;"&amp;C690)+COUNTIFS($A$2:A690,A690,$C$2:C690,C690)</f>
        <v>3</v>
      </c>
      <c r="E690" s="59" t="str">
        <f aca="false">A690&amp;"|"&amp;D690</f>
        <v>BLR-Hope Farm New|3</v>
      </c>
    </row>
    <row r="691" customFormat="false" ht="15" hidden="false" customHeight="false" outlineLevel="0" collapsed="false">
      <c r="A691" s="59" t="s">
        <v>79</v>
      </c>
      <c r="B691" s="59" t="s">
        <v>420</v>
      </c>
      <c r="C691" s="60" t="n">
        <v>1705.92</v>
      </c>
      <c r="D691" s="59" t="n">
        <f aca="false">COUNTIFS($A$2:$A$1931,A691,$C$2:$C$1931,"&gt;"&amp;C691)+COUNTIFS($A$2:A691,A691,$C$2:C691,C691)</f>
        <v>4</v>
      </c>
      <c r="E691" s="59" t="str">
        <f aca="false">A691&amp;"|"&amp;D691</f>
        <v>BLR-Hope Farm New|4</v>
      </c>
    </row>
    <row r="692" customFormat="false" ht="15" hidden="false" customHeight="false" outlineLevel="0" collapsed="false">
      <c r="A692" s="59" t="s">
        <v>79</v>
      </c>
      <c r="B692" s="59" t="s">
        <v>409</v>
      </c>
      <c r="C692" s="60" t="n">
        <v>505.94</v>
      </c>
      <c r="D692" s="59" t="n">
        <f aca="false">COUNTIFS($A$2:$A$1931,A692,$C$2:$C$1931,"&gt;"&amp;C692)+COUNTIFS($A$2:A692,A692,$C$2:C692,C692)</f>
        <v>5</v>
      </c>
      <c r="E692" s="59" t="str">
        <f aca="false">A692&amp;"|"&amp;D692</f>
        <v>BLR-Hope Farm New|5</v>
      </c>
    </row>
    <row r="693" customFormat="false" ht="15" hidden="false" customHeight="false" outlineLevel="0" collapsed="false">
      <c r="A693" s="59" t="s">
        <v>79</v>
      </c>
      <c r="B693" s="59" t="s">
        <v>410</v>
      </c>
      <c r="C693" s="60" t="n">
        <v>136.13</v>
      </c>
      <c r="D693" s="59" t="n">
        <f aca="false">COUNTIFS($A$2:$A$1931,A693,$C$2:$C$1931,"&gt;"&amp;C693)+COUNTIFS($A$2:A693,A693,$C$2:C693,C693)</f>
        <v>6</v>
      </c>
      <c r="E693" s="59" t="str">
        <f aca="false">A693&amp;"|"&amp;D693</f>
        <v>BLR-Hope Farm New|6</v>
      </c>
    </row>
    <row r="694" customFormat="false" ht="15" hidden="false" customHeight="false" outlineLevel="0" collapsed="false">
      <c r="A694" s="59" t="s">
        <v>79</v>
      </c>
      <c r="B694" s="59" t="s">
        <v>423</v>
      </c>
      <c r="C694" s="60" t="n">
        <v>59.14</v>
      </c>
      <c r="D694" s="59" t="n">
        <f aca="false">COUNTIFS($A$2:$A$1931,A694,$C$2:$C$1931,"&gt;"&amp;C694)+COUNTIFS($A$2:A694,A694,$C$2:C694,C694)</f>
        <v>7</v>
      </c>
      <c r="E694" s="59" t="str">
        <f aca="false">A694&amp;"|"&amp;D694</f>
        <v>BLR-Hope Farm New|7</v>
      </c>
    </row>
    <row r="695" customFormat="false" ht="15" hidden="false" customHeight="false" outlineLevel="0" collapsed="false">
      <c r="A695" s="59" t="s">
        <v>197</v>
      </c>
      <c r="B695" s="59" t="s">
        <v>428</v>
      </c>
      <c r="C695" s="60" t="n">
        <v>2114.7</v>
      </c>
      <c r="D695" s="59" t="n">
        <f aca="false">COUNTIFS($A$2:$A$1931,A695,$C$2:$C$1931,"&gt;"&amp;C695)+COUNTIFS($A$2:A695,A695,$C$2:C695,C695)</f>
        <v>1</v>
      </c>
      <c r="E695" s="59" t="str">
        <f aca="false">A695&amp;"|"&amp;D695</f>
        <v>BLR-Hope Farm SS|1</v>
      </c>
    </row>
    <row r="696" customFormat="false" ht="15" hidden="false" customHeight="false" outlineLevel="0" collapsed="false">
      <c r="A696" s="59" t="s">
        <v>197</v>
      </c>
      <c r="B696" s="59" t="s">
        <v>430</v>
      </c>
      <c r="C696" s="60" t="n">
        <v>934.68</v>
      </c>
      <c r="D696" s="59" t="n">
        <f aca="false">COUNTIFS($A$2:$A$1931,A696,$C$2:$C$1931,"&gt;"&amp;C696)+COUNTIFS($A$2:A696,A696,$C$2:C696,C696)</f>
        <v>2</v>
      </c>
      <c r="E696" s="59" t="str">
        <f aca="false">A696&amp;"|"&amp;D696</f>
        <v>BLR-Hope Farm SS|2</v>
      </c>
    </row>
    <row r="697" customFormat="false" ht="15" hidden="false" customHeight="false" outlineLevel="0" collapsed="false">
      <c r="A697" s="59" t="s">
        <v>197</v>
      </c>
      <c r="B697" s="59" t="s">
        <v>417</v>
      </c>
      <c r="C697" s="60" t="n">
        <v>699.72</v>
      </c>
      <c r="D697" s="59" t="n">
        <f aca="false">COUNTIFS($A$2:$A$1931,A697,$C$2:$C$1931,"&gt;"&amp;C697)+COUNTIFS($A$2:A697,A697,$C$2:C697,C697)</f>
        <v>3</v>
      </c>
      <c r="E697" s="59" t="str">
        <f aca="false">A697&amp;"|"&amp;D697</f>
        <v>BLR-Hope Farm SS|3</v>
      </c>
    </row>
    <row r="698" customFormat="false" ht="15" hidden="false" customHeight="false" outlineLevel="0" collapsed="false">
      <c r="A698" s="59" t="s">
        <v>197</v>
      </c>
      <c r="B698" s="59" t="s">
        <v>434</v>
      </c>
      <c r="C698" s="60" t="n">
        <v>415.88</v>
      </c>
      <c r="D698" s="59" t="n">
        <f aca="false">COUNTIFS($A$2:$A$1931,A698,$C$2:$C$1931,"&gt;"&amp;C698)+COUNTIFS($A$2:A698,A698,$C$2:C698,C698)</f>
        <v>4</v>
      </c>
      <c r="E698" s="59" t="str">
        <f aca="false">A698&amp;"|"&amp;D698</f>
        <v>BLR-Hope Farm SS|4</v>
      </c>
    </row>
    <row r="699" customFormat="false" ht="15" hidden="false" customHeight="false" outlineLevel="0" collapsed="false">
      <c r="A699" s="59" t="s">
        <v>197</v>
      </c>
      <c r="B699" s="59" t="s">
        <v>420</v>
      </c>
      <c r="C699" s="60" t="n">
        <v>296.18</v>
      </c>
      <c r="D699" s="59" t="n">
        <f aca="false">COUNTIFS($A$2:$A$1931,A699,$C$2:$C$1931,"&gt;"&amp;C699)+COUNTIFS($A$2:A699,A699,$C$2:C699,C699)</f>
        <v>5</v>
      </c>
      <c r="E699" s="59" t="str">
        <f aca="false">A699&amp;"|"&amp;D699</f>
        <v>BLR-Hope Farm SS|5</v>
      </c>
    </row>
    <row r="700" customFormat="false" ht="15" hidden="false" customHeight="false" outlineLevel="0" collapsed="false">
      <c r="A700" s="59" t="s">
        <v>197</v>
      </c>
      <c r="B700" s="59" t="s">
        <v>447</v>
      </c>
      <c r="C700" s="60" t="n">
        <v>207.83</v>
      </c>
      <c r="D700" s="59" t="n">
        <f aca="false">COUNTIFS($A$2:$A$1931,A700,$C$2:$C$1931,"&gt;"&amp;C700)+COUNTIFS($A$2:A700,A700,$C$2:C700,C700)</f>
        <v>6</v>
      </c>
      <c r="E700" s="59" t="str">
        <f aca="false">A700&amp;"|"&amp;D700</f>
        <v>BLR-Hope Farm SS|6</v>
      </c>
    </row>
    <row r="701" customFormat="false" ht="15" hidden="false" customHeight="false" outlineLevel="0" collapsed="false">
      <c r="A701" s="59" t="s">
        <v>197</v>
      </c>
      <c r="B701" s="59" t="s">
        <v>435</v>
      </c>
      <c r="C701" s="60" t="n">
        <v>160.46</v>
      </c>
      <c r="D701" s="59" t="n">
        <f aca="false">COUNTIFS($A$2:$A$1931,A701,$C$2:$C$1931,"&gt;"&amp;C701)+COUNTIFS($A$2:A701,A701,$C$2:C701,C701)</f>
        <v>7</v>
      </c>
      <c r="E701" s="59" t="str">
        <f aca="false">A701&amp;"|"&amp;D701</f>
        <v>BLR-Hope Farm SS|7</v>
      </c>
    </row>
    <row r="702" customFormat="false" ht="15" hidden="false" customHeight="false" outlineLevel="0" collapsed="false">
      <c r="A702" s="59" t="s">
        <v>197</v>
      </c>
      <c r="B702" s="59" t="s">
        <v>409</v>
      </c>
      <c r="C702" s="60" t="n">
        <v>158.14</v>
      </c>
      <c r="D702" s="59" t="n">
        <f aca="false">COUNTIFS($A$2:$A$1931,A702,$C$2:$C$1931,"&gt;"&amp;C702)+COUNTIFS($A$2:A702,A702,$C$2:C702,C702)</f>
        <v>8</v>
      </c>
      <c r="E702" s="59" t="str">
        <f aca="false">A702&amp;"|"&amp;D702</f>
        <v>BLR-Hope Farm SS|8</v>
      </c>
    </row>
    <row r="703" customFormat="false" ht="15" hidden="false" customHeight="false" outlineLevel="0" collapsed="false">
      <c r="A703" s="59" t="s">
        <v>197</v>
      </c>
      <c r="B703" s="59" t="s">
        <v>426</v>
      </c>
      <c r="C703" s="60" t="n">
        <v>155.96</v>
      </c>
      <c r="D703" s="59" t="n">
        <f aca="false">COUNTIFS($A$2:$A$1931,A703,$C$2:$C$1931,"&gt;"&amp;C703)+COUNTIFS($A$2:A703,A703,$C$2:C703,C703)</f>
        <v>9</v>
      </c>
      <c r="E703" s="59" t="str">
        <f aca="false">A703&amp;"|"&amp;D703</f>
        <v>BLR-Hope Farm SS|9</v>
      </c>
    </row>
    <row r="704" customFormat="false" ht="15" hidden="false" customHeight="false" outlineLevel="0" collapsed="false">
      <c r="A704" s="59" t="s">
        <v>197</v>
      </c>
      <c r="B704" s="59" t="s">
        <v>442</v>
      </c>
      <c r="C704" s="60" t="n">
        <v>112.08</v>
      </c>
      <c r="D704" s="59" t="n">
        <f aca="false">COUNTIFS($A$2:$A$1931,A704,$C$2:$C$1931,"&gt;"&amp;C704)+COUNTIFS($A$2:A704,A704,$C$2:C704,C704)</f>
        <v>10</v>
      </c>
      <c r="E704" s="59" t="str">
        <f aca="false">A704&amp;"|"&amp;D704</f>
        <v>BLR-Hope Farm SS|10</v>
      </c>
    </row>
    <row r="705" customFormat="false" ht="15" hidden="false" customHeight="false" outlineLevel="0" collapsed="false">
      <c r="A705" s="59" t="s">
        <v>61</v>
      </c>
      <c r="B705" s="59" t="s">
        <v>409</v>
      </c>
      <c r="C705" s="60" t="n">
        <v>7616.66</v>
      </c>
      <c r="D705" s="59" t="n">
        <f aca="false">COUNTIFS($A$2:$A$1931,A705,$C$2:$C$1931,"&gt;"&amp;C705)+COUNTIFS($A$2:A705,A705,$C$2:C705,C705)</f>
        <v>1</v>
      </c>
      <c r="E705" s="59" t="str">
        <f aca="false">A705&amp;"|"&amp;D705</f>
        <v>BLR-INDIRANAGAR NEW|1</v>
      </c>
    </row>
    <row r="706" customFormat="false" ht="15" hidden="false" customHeight="false" outlineLevel="0" collapsed="false">
      <c r="A706" s="59" t="s">
        <v>61</v>
      </c>
      <c r="B706" s="59" t="s">
        <v>419</v>
      </c>
      <c r="C706" s="60" t="n">
        <v>7155.98</v>
      </c>
      <c r="D706" s="59" t="n">
        <f aca="false">COUNTIFS($A$2:$A$1931,A706,$C$2:$C$1931,"&gt;"&amp;C706)+COUNTIFS($A$2:A706,A706,$C$2:C706,C706)</f>
        <v>2</v>
      </c>
      <c r="E706" s="59" t="str">
        <f aca="false">A706&amp;"|"&amp;D706</f>
        <v>BLR-INDIRANAGAR NEW|2</v>
      </c>
    </row>
    <row r="707" customFormat="false" ht="15" hidden="false" customHeight="false" outlineLevel="0" collapsed="false">
      <c r="A707" s="59" t="s">
        <v>61</v>
      </c>
      <c r="B707" s="59" t="s">
        <v>426</v>
      </c>
      <c r="C707" s="60" t="n">
        <v>6035.73</v>
      </c>
      <c r="D707" s="59" t="n">
        <f aca="false">COUNTIFS($A$2:$A$1931,A707,$C$2:$C$1931,"&gt;"&amp;C707)+COUNTIFS($A$2:A707,A707,$C$2:C707,C707)</f>
        <v>3</v>
      </c>
      <c r="E707" s="59" t="str">
        <f aca="false">A707&amp;"|"&amp;D707</f>
        <v>BLR-INDIRANAGAR NEW|3</v>
      </c>
    </row>
    <row r="708" customFormat="false" ht="15" hidden="false" customHeight="false" outlineLevel="0" collapsed="false">
      <c r="A708" s="59" t="s">
        <v>61</v>
      </c>
      <c r="B708" s="59" t="s">
        <v>420</v>
      </c>
      <c r="C708" s="60" t="n">
        <v>5583.31</v>
      </c>
      <c r="D708" s="59" t="n">
        <f aca="false">COUNTIFS($A$2:$A$1931,A708,$C$2:$C$1931,"&gt;"&amp;C708)+COUNTIFS($A$2:A708,A708,$C$2:C708,C708)</f>
        <v>4</v>
      </c>
      <c r="E708" s="59" t="str">
        <f aca="false">A708&amp;"|"&amp;D708</f>
        <v>BLR-INDIRANAGAR NEW|4</v>
      </c>
    </row>
    <row r="709" customFormat="false" ht="15" hidden="false" customHeight="false" outlineLevel="0" collapsed="false">
      <c r="A709" s="59" t="s">
        <v>61</v>
      </c>
      <c r="B709" s="59" t="s">
        <v>416</v>
      </c>
      <c r="C709" s="60" t="n">
        <v>5420.93</v>
      </c>
      <c r="D709" s="59" t="n">
        <f aca="false">COUNTIFS($A$2:$A$1931,A709,$C$2:$C$1931,"&gt;"&amp;C709)+COUNTIFS($A$2:A709,A709,$C$2:C709,C709)</f>
        <v>5</v>
      </c>
      <c r="E709" s="59" t="str">
        <f aca="false">A709&amp;"|"&amp;D709</f>
        <v>BLR-INDIRANAGAR NEW|5</v>
      </c>
    </row>
    <row r="710" customFormat="false" ht="15" hidden="false" customHeight="false" outlineLevel="0" collapsed="false">
      <c r="A710" s="59" t="s">
        <v>61</v>
      </c>
      <c r="B710" s="59" t="s">
        <v>446</v>
      </c>
      <c r="C710" s="60" t="n">
        <v>4947</v>
      </c>
      <c r="D710" s="59" t="n">
        <f aca="false">COUNTIFS($A$2:$A$1931,A710,$C$2:$C$1931,"&gt;"&amp;C710)+COUNTIFS($A$2:A710,A710,$C$2:C710,C710)</f>
        <v>6</v>
      </c>
      <c r="E710" s="59" t="str">
        <f aca="false">A710&amp;"|"&amp;D710</f>
        <v>BLR-INDIRANAGAR NEW|6</v>
      </c>
    </row>
    <row r="711" customFormat="false" ht="15" hidden="false" customHeight="false" outlineLevel="0" collapsed="false">
      <c r="A711" s="59" t="s">
        <v>61</v>
      </c>
      <c r="B711" s="59" t="s">
        <v>413</v>
      </c>
      <c r="C711" s="60" t="n">
        <v>4661.58</v>
      </c>
      <c r="D711" s="59" t="n">
        <f aca="false">COUNTIFS($A$2:$A$1931,A711,$C$2:$C$1931,"&gt;"&amp;C711)+COUNTIFS($A$2:A711,A711,$C$2:C711,C711)</f>
        <v>7</v>
      </c>
      <c r="E711" s="59" t="str">
        <f aca="false">A711&amp;"|"&amp;D711</f>
        <v>BLR-INDIRANAGAR NEW|7</v>
      </c>
    </row>
    <row r="712" customFormat="false" ht="15" hidden="false" customHeight="false" outlineLevel="0" collapsed="false">
      <c r="A712" s="59" t="s">
        <v>61</v>
      </c>
      <c r="B712" s="59" t="s">
        <v>417</v>
      </c>
      <c r="C712" s="60" t="n">
        <v>2525.07</v>
      </c>
      <c r="D712" s="59" t="n">
        <f aca="false">COUNTIFS($A$2:$A$1931,A712,$C$2:$C$1931,"&gt;"&amp;C712)+COUNTIFS($A$2:A712,A712,$C$2:C712,C712)</f>
        <v>8</v>
      </c>
      <c r="E712" s="59" t="str">
        <f aca="false">A712&amp;"|"&amp;D712</f>
        <v>BLR-INDIRANAGAR NEW|8</v>
      </c>
    </row>
    <row r="713" customFormat="false" ht="15" hidden="false" customHeight="false" outlineLevel="0" collapsed="false">
      <c r="A713" s="59" t="s">
        <v>61</v>
      </c>
      <c r="B713" s="59" t="s">
        <v>418</v>
      </c>
      <c r="C713" s="60" t="n">
        <v>1603.61</v>
      </c>
      <c r="D713" s="59" t="n">
        <f aca="false">COUNTIFS($A$2:$A$1931,A713,$C$2:$C$1931,"&gt;"&amp;C713)+COUNTIFS($A$2:A713,A713,$C$2:C713,C713)</f>
        <v>9</v>
      </c>
      <c r="E713" s="59" t="str">
        <f aca="false">A713&amp;"|"&amp;D713</f>
        <v>BLR-INDIRANAGAR NEW|9</v>
      </c>
    </row>
    <row r="714" customFormat="false" ht="15" hidden="false" customHeight="false" outlineLevel="0" collapsed="false">
      <c r="A714" s="59" t="s">
        <v>61</v>
      </c>
      <c r="B714" s="59" t="s">
        <v>412</v>
      </c>
      <c r="C714" s="60" t="n">
        <v>580.1</v>
      </c>
      <c r="D714" s="59" t="n">
        <f aca="false">COUNTIFS($A$2:$A$1931,A714,$C$2:$C$1931,"&gt;"&amp;C714)+COUNTIFS($A$2:A714,A714,$C$2:C714,C714)</f>
        <v>10</v>
      </c>
      <c r="E714" s="59" t="str">
        <f aca="false">A714&amp;"|"&amp;D714</f>
        <v>BLR-INDIRANAGAR NEW|10</v>
      </c>
    </row>
    <row r="715" customFormat="false" ht="15" hidden="false" customHeight="false" outlineLevel="0" collapsed="false">
      <c r="A715" s="59" t="s">
        <v>61</v>
      </c>
      <c r="B715" s="59" t="s">
        <v>407</v>
      </c>
      <c r="C715" s="60" t="n">
        <v>452.6</v>
      </c>
      <c r="D715" s="59" t="n">
        <f aca="false">COUNTIFS($A$2:$A$1931,A715,$C$2:$C$1931,"&gt;"&amp;C715)+COUNTIFS($A$2:A715,A715,$C$2:C715,C715)</f>
        <v>11</v>
      </c>
      <c r="E715" s="59" t="str">
        <f aca="false">A715&amp;"|"&amp;D715</f>
        <v>BLR-INDIRANAGAR NEW|11</v>
      </c>
    </row>
    <row r="716" customFormat="false" ht="15" hidden="false" customHeight="false" outlineLevel="0" collapsed="false">
      <c r="A716" s="59" t="s">
        <v>61</v>
      </c>
      <c r="B716" s="59" t="s">
        <v>431</v>
      </c>
      <c r="C716" s="60" t="n">
        <v>306.3</v>
      </c>
      <c r="D716" s="59" t="n">
        <f aca="false">COUNTIFS($A$2:$A$1931,A716,$C$2:$C$1931,"&gt;"&amp;C716)+COUNTIFS($A$2:A716,A716,$C$2:C716,C716)</f>
        <v>12</v>
      </c>
      <c r="E716" s="59" t="str">
        <f aca="false">A716&amp;"|"&amp;D716</f>
        <v>BLR-INDIRANAGAR NEW|12</v>
      </c>
    </row>
    <row r="717" customFormat="false" ht="15" hidden="false" customHeight="false" outlineLevel="0" collapsed="false">
      <c r="A717" s="59" t="s">
        <v>61</v>
      </c>
      <c r="B717" s="59" t="s">
        <v>415</v>
      </c>
      <c r="C717" s="60" t="n">
        <v>225.18</v>
      </c>
      <c r="D717" s="59" t="n">
        <f aca="false">COUNTIFS($A$2:$A$1931,A717,$C$2:$C$1931,"&gt;"&amp;C717)+COUNTIFS($A$2:A717,A717,$C$2:C717,C717)</f>
        <v>13</v>
      </c>
      <c r="E717" s="59" t="str">
        <f aca="false">A717&amp;"|"&amp;D717</f>
        <v>BLR-INDIRANAGAR NEW|13</v>
      </c>
    </row>
    <row r="718" customFormat="false" ht="15" hidden="false" customHeight="false" outlineLevel="0" collapsed="false">
      <c r="A718" s="59" t="s">
        <v>127</v>
      </c>
      <c r="B718" s="59" t="s">
        <v>418</v>
      </c>
      <c r="C718" s="60" t="n">
        <v>10684.35</v>
      </c>
      <c r="D718" s="59" t="n">
        <f aca="false">COUNTIFS($A$2:$A$1931,A718,$C$2:$C$1931,"&gt;"&amp;C718)+COUNTIFS($A$2:A718,A718,$C$2:C718,C718)</f>
        <v>1</v>
      </c>
      <c r="E718" s="59" t="str">
        <f aca="false">A718&amp;"|"&amp;D718</f>
        <v>BLR-ITPL Layout|1</v>
      </c>
    </row>
    <row r="719" customFormat="false" ht="15" hidden="false" customHeight="false" outlineLevel="0" collapsed="false">
      <c r="A719" s="59" t="s">
        <v>127</v>
      </c>
      <c r="B719" s="59" t="s">
        <v>419</v>
      </c>
      <c r="C719" s="60" t="n">
        <v>1584.91</v>
      </c>
      <c r="D719" s="59" t="n">
        <f aca="false">COUNTIFS($A$2:$A$1931,A719,$C$2:$C$1931,"&gt;"&amp;C719)+COUNTIFS($A$2:A719,A719,$C$2:C719,C719)</f>
        <v>2</v>
      </c>
      <c r="E719" s="59" t="str">
        <f aca="false">A719&amp;"|"&amp;D719</f>
        <v>BLR-ITPL Layout|2</v>
      </c>
    </row>
    <row r="720" customFormat="false" ht="15" hidden="false" customHeight="false" outlineLevel="0" collapsed="false">
      <c r="A720" s="59" t="s">
        <v>127</v>
      </c>
      <c r="B720" s="59" t="s">
        <v>413</v>
      </c>
      <c r="C720" s="60" t="n">
        <v>1055.36</v>
      </c>
      <c r="D720" s="59" t="n">
        <f aca="false">COUNTIFS($A$2:$A$1931,A720,$C$2:$C$1931,"&gt;"&amp;C720)+COUNTIFS($A$2:A720,A720,$C$2:C720,C720)</f>
        <v>3</v>
      </c>
      <c r="E720" s="59" t="str">
        <f aca="false">A720&amp;"|"&amp;D720</f>
        <v>BLR-ITPL Layout|3</v>
      </c>
    </row>
    <row r="721" customFormat="false" ht="15" hidden="false" customHeight="false" outlineLevel="0" collapsed="false">
      <c r="A721" s="59" t="s">
        <v>127</v>
      </c>
      <c r="B721" s="59" t="s">
        <v>412</v>
      </c>
      <c r="C721" s="60" t="n">
        <v>698.88</v>
      </c>
      <c r="D721" s="59" t="n">
        <f aca="false">COUNTIFS($A$2:$A$1931,A721,$C$2:$C$1931,"&gt;"&amp;C721)+COUNTIFS($A$2:A721,A721,$C$2:C721,C721)</f>
        <v>4</v>
      </c>
      <c r="E721" s="59" t="str">
        <f aca="false">A721&amp;"|"&amp;D721</f>
        <v>BLR-ITPL Layout|4</v>
      </c>
    </row>
    <row r="722" customFormat="false" ht="15" hidden="false" customHeight="false" outlineLevel="0" collapsed="false">
      <c r="A722" s="59" t="s">
        <v>127</v>
      </c>
      <c r="B722" s="59" t="s">
        <v>414</v>
      </c>
      <c r="C722" s="60" t="n">
        <v>632.82</v>
      </c>
      <c r="D722" s="59" t="n">
        <f aca="false">COUNTIFS($A$2:$A$1931,A722,$C$2:$C$1931,"&gt;"&amp;C722)+COUNTIFS($A$2:A722,A722,$C$2:C722,C722)</f>
        <v>5</v>
      </c>
      <c r="E722" s="59" t="str">
        <f aca="false">A722&amp;"|"&amp;D722</f>
        <v>BLR-ITPL Layout|5</v>
      </c>
    </row>
    <row r="723" customFormat="false" ht="15" hidden="false" customHeight="false" outlineLevel="0" collapsed="false">
      <c r="A723" s="59" t="s">
        <v>127</v>
      </c>
      <c r="B723" s="59" t="s">
        <v>421</v>
      </c>
      <c r="C723" s="60" t="n">
        <v>578.39</v>
      </c>
      <c r="D723" s="59" t="n">
        <f aca="false">COUNTIFS($A$2:$A$1931,A723,$C$2:$C$1931,"&gt;"&amp;C723)+COUNTIFS($A$2:A723,A723,$C$2:C723,C723)</f>
        <v>6</v>
      </c>
      <c r="E723" s="59" t="str">
        <f aca="false">A723&amp;"|"&amp;D723</f>
        <v>BLR-ITPL Layout|6</v>
      </c>
    </row>
    <row r="724" customFormat="false" ht="15" hidden="false" customHeight="false" outlineLevel="0" collapsed="false">
      <c r="A724" s="59" t="s">
        <v>127</v>
      </c>
      <c r="B724" s="59" t="s">
        <v>437</v>
      </c>
      <c r="C724" s="60" t="n">
        <v>391.11</v>
      </c>
      <c r="D724" s="59" t="n">
        <f aca="false">COUNTIFS($A$2:$A$1931,A724,$C$2:$C$1931,"&gt;"&amp;C724)+COUNTIFS($A$2:A724,A724,$C$2:C724,C724)</f>
        <v>7</v>
      </c>
      <c r="E724" s="59" t="str">
        <f aca="false">A724&amp;"|"&amp;D724</f>
        <v>BLR-ITPL Layout|7</v>
      </c>
    </row>
    <row r="725" customFormat="false" ht="15" hidden="false" customHeight="false" outlineLevel="0" collapsed="false">
      <c r="A725" s="59" t="s">
        <v>127</v>
      </c>
      <c r="B725" s="59" t="s">
        <v>408</v>
      </c>
      <c r="C725" s="60" t="n">
        <v>344.57</v>
      </c>
      <c r="D725" s="59" t="n">
        <f aca="false">COUNTIFS($A$2:$A$1931,A725,$C$2:$C$1931,"&gt;"&amp;C725)+COUNTIFS($A$2:A725,A725,$C$2:C725,C725)</f>
        <v>8</v>
      </c>
      <c r="E725" s="59" t="str">
        <f aca="false">A725&amp;"|"&amp;D725</f>
        <v>BLR-ITPL Layout|8</v>
      </c>
    </row>
    <row r="726" customFormat="false" ht="15" hidden="false" customHeight="false" outlineLevel="0" collapsed="false">
      <c r="A726" s="59" t="s">
        <v>127</v>
      </c>
      <c r="B726" s="59" t="s">
        <v>417</v>
      </c>
      <c r="C726" s="60" t="n">
        <v>201.37</v>
      </c>
      <c r="D726" s="59" t="n">
        <f aca="false">COUNTIFS($A$2:$A$1931,A726,$C$2:$C$1931,"&gt;"&amp;C726)+COUNTIFS($A$2:A726,A726,$C$2:C726,C726)</f>
        <v>9</v>
      </c>
      <c r="E726" s="59" t="str">
        <f aca="false">A726&amp;"|"&amp;D726</f>
        <v>BLR-ITPL Layout|9</v>
      </c>
    </row>
    <row r="727" customFormat="false" ht="15" hidden="false" customHeight="false" outlineLevel="0" collapsed="false">
      <c r="A727" s="59" t="s">
        <v>272</v>
      </c>
      <c r="B727" s="59" t="s">
        <v>409</v>
      </c>
      <c r="C727" s="60" t="n">
        <v>994.43</v>
      </c>
      <c r="D727" s="59" t="n">
        <f aca="false">COUNTIFS($A$2:$A$1931,A727,$C$2:$C$1931,"&gt;"&amp;C727)+COUNTIFS($A$2:A727,A727,$C$2:C727,C727)</f>
        <v>1</v>
      </c>
      <c r="E727" s="59" t="str">
        <f aca="false">A727&amp;"|"&amp;D727</f>
        <v>BLR-Iggalur|1</v>
      </c>
    </row>
    <row r="728" customFormat="false" ht="15" hidden="false" customHeight="false" outlineLevel="0" collapsed="false">
      <c r="A728" s="59" t="s">
        <v>272</v>
      </c>
      <c r="B728" s="59" t="s">
        <v>424</v>
      </c>
      <c r="C728" s="60" t="n">
        <v>927.41</v>
      </c>
      <c r="D728" s="59" t="n">
        <f aca="false">COUNTIFS($A$2:$A$1931,A728,$C$2:$C$1931,"&gt;"&amp;C728)+COUNTIFS($A$2:A728,A728,$C$2:C728,C728)</f>
        <v>2</v>
      </c>
      <c r="E728" s="59" t="str">
        <f aca="false">A728&amp;"|"&amp;D728</f>
        <v>BLR-Iggalur|2</v>
      </c>
    </row>
    <row r="729" customFormat="false" ht="15" hidden="false" customHeight="false" outlineLevel="0" collapsed="false">
      <c r="A729" s="59" t="s">
        <v>272</v>
      </c>
      <c r="B729" s="59" t="s">
        <v>412</v>
      </c>
      <c r="C729" s="60" t="n">
        <v>74.5</v>
      </c>
      <c r="D729" s="59" t="n">
        <f aca="false">COUNTIFS($A$2:$A$1931,A729,$C$2:$C$1931,"&gt;"&amp;C729)+COUNTIFS($A$2:A729,A729,$C$2:C729,C729)</f>
        <v>3</v>
      </c>
      <c r="E729" s="59" t="str">
        <f aca="false">A729&amp;"|"&amp;D729</f>
        <v>BLR-Iggalur|3</v>
      </c>
    </row>
    <row r="730" customFormat="false" ht="15" hidden="false" customHeight="false" outlineLevel="0" collapsed="false">
      <c r="A730" s="59" t="s">
        <v>272</v>
      </c>
      <c r="B730" s="59" t="s">
        <v>432</v>
      </c>
      <c r="C730" s="60" t="n">
        <v>38.29</v>
      </c>
      <c r="D730" s="59" t="n">
        <f aca="false">COUNTIFS($A$2:$A$1931,A730,$C$2:$C$1931,"&gt;"&amp;C730)+COUNTIFS($A$2:A730,A730,$C$2:C730,C730)</f>
        <v>4</v>
      </c>
      <c r="E730" s="59" t="str">
        <f aca="false">A730&amp;"|"&amp;D730</f>
        <v>BLR-Iggalur|4</v>
      </c>
    </row>
    <row r="731" customFormat="false" ht="15" hidden="false" customHeight="false" outlineLevel="0" collapsed="false">
      <c r="A731" s="59" t="s">
        <v>113</v>
      </c>
      <c r="B731" s="59" t="s">
        <v>416</v>
      </c>
      <c r="C731" s="60" t="n">
        <v>4480.75</v>
      </c>
      <c r="D731" s="59" t="n">
        <f aca="false">COUNTIFS($A$2:$A$1931,A731,$C$2:$C$1931,"&gt;"&amp;C731)+COUNTIFS($A$2:A731,A731,$C$2:C731,C731)</f>
        <v>1</v>
      </c>
      <c r="E731" s="59" t="str">
        <f aca="false">A731&amp;"|"&amp;D731</f>
        <v>BLR-JAYANAGAR New|1</v>
      </c>
    </row>
    <row r="732" customFormat="false" ht="15" hidden="false" customHeight="false" outlineLevel="0" collapsed="false">
      <c r="A732" s="59" t="s">
        <v>113</v>
      </c>
      <c r="B732" s="59" t="s">
        <v>413</v>
      </c>
      <c r="C732" s="60" t="n">
        <v>3604.85</v>
      </c>
      <c r="D732" s="59" t="n">
        <f aca="false">COUNTIFS($A$2:$A$1931,A732,$C$2:$C$1931,"&gt;"&amp;C732)+COUNTIFS($A$2:A732,A732,$C$2:C732,C732)</f>
        <v>2</v>
      </c>
      <c r="E732" s="59" t="str">
        <f aca="false">A732&amp;"|"&amp;D732</f>
        <v>BLR-JAYANAGAR New|2</v>
      </c>
    </row>
    <row r="733" customFormat="false" ht="15" hidden="false" customHeight="false" outlineLevel="0" collapsed="false">
      <c r="A733" s="59" t="s">
        <v>113</v>
      </c>
      <c r="B733" s="59" t="s">
        <v>408</v>
      </c>
      <c r="C733" s="60" t="n">
        <v>3299.03</v>
      </c>
      <c r="D733" s="59" t="n">
        <f aca="false">COUNTIFS($A$2:$A$1931,A733,$C$2:$C$1931,"&gt;"&amp;C733)+COUNTIFS($A$2:A733,A733,$C$2:C733,C733)</f>
        <v>3</v>
      </c>
      <c r="E733" s="59" t="str">
        <f aca="false">A733&amp;"|"&amp;D733</f>
        <v>BLR-JAYANAGAR New|3</v>
      </c>
    </row>
    <row r="734" customFormat="false" ht="15" hidden="false" customHeight="false" outlineLevel="0" collapsed="false">
      <c r="A734" s="59" t="s">
        <v>113</v>
      </c>
      <c r="B734" s="59" t="s">
        <v>419</v>
      </c>
      <c r="C734" s="60" t="n">
        <v>2211.31</v>
      </c>
      <c r="D734" s="59" t="n">
        <f aca="false">COUNTIFS($A$2:$A$1931,A734,$C$2:$C$1931,"&gt;"&amp;C734)+COUNTIFS($A$2:A734,A734,$C$2:C734,C734)</f>
        <v>4</v>
      </c>
      <c r="E734" s="59" t="str">
        <f aca="false">A734&amp;"|"&amp;D734</f>
        <v>BLR-JAYANAGAR New|4</v>
      </c>
    </row>
    <row r="735" customFormat="false" ht="15" hidden="false" customHeight="false" outlineLevel="0" collapsed="false">
      <c r="A735" s="59" t="s">
        <v>113</v>
      </c>
      <c r="B735" s="59" t="s">
        <v>417</v>
      </c>
      <c r="C735" s="60" t="n">
        <v>1950.09</v>
      </c>
      <c r="D735" s="59" t="n">
        <f aca="false">COUNTIFS($A$2:$A$1931,A735,$C$2:$C$1931,"&gt;"&amp;C735)+COUNTIFS($A$2:A735,A735,$C$2:C735,C735)</f>
        <v>5</v>
      </c>
      <c r="E735" s="59" t="str">
        <f aca="false">A735&amp;"|"&amp;D735</f>
        <v>BLR-JAYANAGAR New|5</v>
      </c>
    </row>
    <row r="736" customFormat="false" ht="15" hidden="false" customHeight="false" outlineLevel="0" collapsed="false">
      <c r="A736" s="59" t="s">
        <v>113</v>
      </c>
      <c r="B736" s="59" t="s">
        <v>426</v>
      </c>
      <c r="C736" s="60" t="n">
        <v>175.07</v>
      </c>
      <c r="D736" s="59" t="n">
        <f aca="false">COUNTIFS($A$2:$A$1931,A736,$C$2:$C$1931,"&gt;"&amp;C736)+COUNTIFS($A$2:A736,A736,$C$2:C736,C736)</f>
        <v>6</v>
      </c>
      <c r="E736" s="59" t="str">
        <f aca="false">A736&amp;"|"&amp;D736</f>
        <v>BLR-JAYANAGAR New|6</v>
      </c>
    </row>
    <row r="737" customFormat="false" ht="15" hidden="false" customHeight="false" outlineLevel="0" collapsed="false">
      <c r="A737" s="59" t="s">
        <v>107</v>
      </c>
      <c r="B737" s="59" t="s">
        <v>424</v>
      </c>
      <c r="C737" s="60" t="n">
        <v>48.63</v>
      </c>
      <c r="D737" s="59" t="n">
        <f aca="false">COUNTIFS($A$2:$A$1931,A737,$C$2:$C$1931,"&gt;"&amp;C737)+COUNTIFS($A$2:A737,A737,$C$2:C737,C737)</f>
        <v>1</v>
      </c>
      <c r="E737" s="59" t="str">
        <f aca="false">A737&amp;"|"&amp;D737</f>
        <v>BLR-JC Nagar|1</v>
      </c>
    </row>
    <row r="738" customFormat="false" ht="15" hidden="false" customHeight="false" outlineLevel="0" collapsed="false">
      <c r="A738" s="59" t="s">
        <v>107</v>
      </c>
      <c r="B738" s="59" t="s">
        <v>412</v>
      </c>
      <c r="C738" s="60" t="n">
        <v>35.77</v>
      </c>
      <c r="D738" s="59" t="n">
        <f aca="false">COUNTIFS($A$2:$A$1931,A738,$C$2:$C$1931,"&gt;"&amp;C738)+COUNTIFS($A$2:A738,A738,$C$2:C738,C738)</f>
        <v>2</v>
      </c>
      <c r="E738" s="59" t="str">
        <f aca="false">A738&amp;"|"&amp;D738</f>
        <v>BLR-JC Nagar|2</v>
      </c>
    </row>
    <row r="739" customFormat="false" ht="15" hidden="false" customHeight="false" outlineLevel="0" collapsed="false">
      <c r="A739" s="59" t="s">
        <v>243</v>
      </c>
      <c r="B739" s="59" t="s">
        <v>424</v>
      </c>
      <c r="C739" s="60" t="n">
        <v>3373.25</v>
      </c>
      <c r="D739" s="59" t="n">
        <f aca="false">COUNTIFS($A$2:$A$1931,A739,$C$2:$C$1931,"&gt;"&amp;C739)+COUNTIFS($A$2:A739,A739,$C$2:C739,C739)</f>
        <v>1</v>
      </c>
      <c r="E739" s="59" t="str">
        <f aca="false">A739&amp;"|"&amp;D739</f>
        <v>BLR-JP Nagar Network|1</v>
      </c>
    </row>
    <row r="740" customFormat="false" ht="15" hidden="false" customHeight="false" outlineLevel="0" collapsed="false">
      <c r="A740" s="59" t="s">
        <v>243</v>
      </c>
      <c r="B740" s="59" t="s">
        <v>412</v>
      </c>
      <c r="C740" s="60" t="n">
        <v>1393.61</v>
      </c>
      <c r="D740" s="59" t="n">
        <f aca="false">COUNTIFS($A$2:$A$1931,A740,$C$2:$C$1931,"&gt;"&amp;C740)+COUNTIFS($A$2:A740,A740,$C$2:C740,C740)</f>
        <v>2</v>
      </c>
      <c r="E740" s="59" t="str">
        <f aca="false">A740&amp;"|"&amp;D740</f>
        <v>BLR-JP Nagar Network|2</v>
      </c>
    </row>
    <row r="741" customFormat="false" ht="15" hidden="false" customHeight="false" outlineLevel="0" collapsed="false">
      <c r="A741" s="59" t="s">
        <v>243</v>
      </c>
      <c r="B741" s="59" t="s">
        <v>416</v>
      </c>
      <c r="C741" s="60" t="n">
        <v>1030.5</v>
      </c>
      <c r="D741" s="59" t="n">
        <f aca="false">COUNTIFS($A$2:$A$1931,A741,$C$2:$C$1931,"&gt;"&amp;C741)+COUNTIFS($A$2:A741,A741,$C$2:C741,C741)</f>
        <v>3</v>
      </c>
      <c r="E741" s="59" t="str">
        <f aca="false">A741&amp;"|"&amp;D741</f>
        <v>BLR-JP Nagar Network|3</v>
      </c>
    </row>
    <row r="742" customFormat="false" ht="15" hidden="false" customHeight="false" outlineLevel="0" collapsed="false">
      <c r="A742" s="59" t="s">
        <v>243</v>
      </c>
      <c r="B742" s="59" t="s">
        <v>418</v>
      </c>
      <c r="C742" s="60" t="n">
        <v>190.15</v>
      </c>
      <c r="D742" s="59" t="n">
        <f aca="false">COUNTIFS($A$2:$A$1931,A742,$C$2:$C$1931,"&gt;"&amp;C742)+COUNTIFS($A$2:A742,A742,$C$2:C742,C742)</f>
        <v>4</v>
      </c>
      <c r="E742" s="59" t="str">
        <f aca="false">A742&amp;"|"&amp;D742</f>
        <v>BLR-JP Nagar Network|4</v>
      </c>
    </row>
    <row r="743" customFormat="false" ht="15" hidden="false" customHeight="false" outlineLevel="0" collapsed="false">
      <c r="A743" s="59" t="s">
        <v>71</v>
      </c>
      <c r="B743" s="59" t="s">
        <v>417</v>
      </c>
      <c r="C743" s="60" t="n">
        <v>9274.52</v>
      </c>
      <c r="D743" s="59" t="n">
        <f aca="false">COUNTIFS($A$2:$A$1931,A743,$C$2:$C$1931,"&gt;"&amp;C743)+COUNTIFS($A$2:A743,A743,$C$2:C743,C743)</f>
        <v>1</v>
      </c>
      <c r="E743" s="59" t="str">
        <f aca="false">A743&amp;"|"&amp;D743</f>
        <v>BLR-JP Nagar New|1</v>
      </c>
    </row>
    <row r="744" customFormat="false" ht="15" hidden="false" customHeight="false" outlineLevel="0" collapsed="false">
      <c r="A744" s="59" t="s">
        <v>71</v>
      </c>
      <c r="B744" s="59" t="s">
        <v>407</v>
      </c>
      <c r="C744" s="60" t="n">
        <v>8759.41</v>
      </c>
      <c r="D744" s="59" t="n">
        <f aca="false">COUNTIFS($A$2:$A$1931,A744,$C$2:$C$1931,"&gt;"&amp;C744)+COUNTIFS($A$2:A744,A744,$C$2:C744,C744)</f>
        <v>2</v>
      </c>
      <c r="E744" s="59" t="str">
        <f aca="false">A744&amp;"|"&amp;D744</f>
        <v>BLR-JP Nagar New|2</v>
      </c>
    </row>
    <row r="745" customFormat="false" ht="15" hidden="false" customHeight="false" outlineLevel="0" collapsed="false">
      <c r="A745" s="59" t="s">
        <v>71</v>
      </c>
      <c r="B745" s="59" t="s">
        <v>408</v>
      </c>
      <c r="C745" s="60" t="n">
        <v>7365.23</v>
      </c>
      <c r="D745" s="59" t="n">
        <f aca="false">COUNTIFS($A$2:$A$1931,A745,$C$2:$C$1931,"&gt;"&amp;C745)+COUNTIFS($A$2:A745,A745,$C$2:C745,C745)</f>
        <v>3</v>
      </c>
      <c r="E745" s="59" t="str">
        <f aca="false">A745&amp;"|"&amp;D745</f>
        <v>BLR-JP Nagar New|3</v>
      </c>
    </row>
    <row r="746" customFormat="false" ht="15" hidden="false" customHeight="false" outlineLevel="0" collapsed="false">
      <c r="A746" s="59" t="s">
        <v>71</v>
      </c>
      <c r="B746" s="59" t="s">
        <v>413</v>
      </c>
      <c r="C746" s="60" t="n">
        <v>6361.7</v>
      </c>
      <c r="D746" s="59" t="n">
        <f aca="false">COUNTIFS($A$2:$A$1931,A746,$C$2:$C$1931,"&gt;"&amp;C746)+COUNTIFS($A$2:A746,A746,$C$2:C746,C746)</f>
        <v>4</v>
      </c>
      <c r="E746" s="59" t="str">
        <f aca="false">A746&amp;"|"&amp;D746</f>
        <v>BLR-JP Nagar New|4</v>
      </c>
    </row>
    <row r="747" customFormat="false" ht="15" hidden="false" customHeight="false" outlineLevel="0" collapsed="false">
      <c r="A747" s="59" t="s">
        <v>71</v>
      </c>
      <c r="B747" s="59" t="s">
        <v>411</v>
      </c>
      <c r="C747" s="60" t="n">
        <v>5318.52</v>
      </c>
      <c r="D747" s="59" t="n">
        <f aca="false">COUNTIFS($A$2:$A$1931,A747,$C$2:$C$1931,"&gt;"&amp;C747)+COUNTIFS($A$2:A747,A747,$C$2:C747,C747)</f>
        <v>5</v>
      </c>
      <c r="E747" s="59" t="str">
        <f aca="false">A747&amp;"|"&amp;D747</f>
        <v>BLR-JP Nagar New|5</v>
      </c>
    </row>
    <row r="748" customFormat="false" ht="15" hidden="false" customHeight="false" outlineLevel="0" collapsed="false">
      <c r="A748" s="59" t="s">
        <v>71</v>
      </c>
      <c r="B748" s="59" t="s">
        <v>414</v>
      </c>
      <c r="C748" s="60" t="n">
        <v>4085.5</v>
      </c>
      <c r="D748" s="59" t="n">
        <f aca="false">COUNTIFS($A$2:$A$1931,A748,$C$2:$C$1931,"&gt;"&amp;C748)+COUNTIFS($A$2:A748,A748,$C$2:C748,C748)</f>
        <v>6</v>
      </c>
      <c r="E748" s="59" t="str">
        <f aca="false">A748&amp;"|"&amp;D748</f>
        <v>BLR-JP Nagar New|6</v>
      </c>
    </row>
    <row r="749" customFormat="false" ht="15" hidden="false" customHeight="false" outlineLevel="0" collapsed="false">
      <c r="A749" s="59" t="s">
        <v>71</v>
      </c>
      <c r="B749" s="59" t="s">
        <v>409</v>
      </c>
      <c r="C749" s="60" t="n">
        <v>2766.68</v>
      </c>
      <c r="D749" s="59" t="n">
        <f aca="false">COUNTIFS($A$2:$A$1931,A749,$C$2:$C$1931,"&gt;"&amp;C749)+COUNTIFS($A$2:A749,A749,$C$2:C749,C749)</f>
        <v>7</v>
      </c>
      <c r="E749" s="59" t="str">
        <f aca="false">A749&amp;"|"&amp;D749</f>
        <v>BLR-JP Nagar New|7</v>
      </c>
    </row>
    <row r="750" customFormat="false" ht="15" hidden="false" customHeight="false" outlineLevel="0" collapsed="false">
      <c r="A750" s="59" t="s">
        <v>71</v>
      </c>
      <c r="B750" s="59" t="s">
        <v>410</v>
      </c>
      <c r="C750" s="60" t="n">
        <v>2162.44</v>
      </c>
      <c r="D750" s="59" t="n">
        <f aca="false">COUNTIFS($A$2:$A$1931,A750,$C$2:$C$1931,"&gt;"&amp;C750)+COUNTIFS($A$2:A750,A750,$C$2:C750,C750)</f>
        <v>8</v>
      </c>
      <c r="E750" s="59" t="str">
        <f aca="false">A750&amp;"|"&amp;D750</f>
        <v>BLR-JP Nagar New|8</v>
      </c>
    </row>
    <row r="751" customFormat="false" ht="15" hidden="false" customHeight="false" outlineLevel="0" collapsed="false">
      <c r="A751" s="59" t="s">
        <v>71</v>
      </c>
      <c r="B751" s="59" t="s">
        <v>415</v>
      </c>
      <c r="C751" s="60" t="n">
        <v>1155.04</v>
      </c>
      <c r="D751" s="59" t="n">
        <f aca="false">COUNTIFS($A$2:$A$1931,A751,$C$2:$C$1931,"&gt;"&amp;C751)+COUNTIFS($A$2:A751,A751,$C$2:C751,C751)</f>
        <v>9</v>
      </c>
      <c r="E751" s="59" t="str">
        <f aca="false">A751&amp;"|"&amp;D751</f>
        <v>BLR-JP Nagar New|9</v>
      </c>
    </row>
    <row r="752" customFormat="false" ht="15" hidden="false" customHeight="false" outlineLevel="0" collapsed="false">
      <c r="A752" s="59" t="s">
        <v>71</v>
      </c>
      <c r="B752" s="59" t="s">
        <v>431</v>
      </c>
      <c r="C752" s="60" t="n">
        <v>1076.77</v>
      </c>
      <c r="D752" s="59" t="n">
        <f aca="false">COUNTIFS($A$2:$A$1931,A752,$C$2:$C$1931,"&gt;"&amp;C752)+COUNTIFS($A$2:A752,A752,$C$2:C752,C752)</f>
        <v>10</v>
      </c>
      <c r="E752" s="59" t="str">
        <f aca="false">A752&amp;"|"&amp;D752</f>
        <v>BLR-JP Nagar New|10</v>
      </c>
    </row>
    <row r="753" customFormat="false" ht="15" hidden="false" customHeight="false" outlineLevel="0" collapsed="false">
      <c r="A753" s="59" t="s">
        <v>71</v>
      </c>
      <c r="B753" s="59" t="s">
        <v>423</v>
      </c>
      <c r="C753" s="60" t="n">
        <v>265.12</v>
      </c>
      <c r="D753" s="59" t="n">
        <f aca="false">COUNTIFS($A$2:$A$1931,A753,$C$2:$C$1931,"&gt;"&amp;C753)+COUNTIFS($A$2:A753,A753,$C$2:C753,C753)</f>
        <v>11</v>
      </c>
      <c r="E753" s="59" t="str">
        <f aca="false">A753&amp;"|"&amp;D753</f>
        <v>BLR-JP Nagar New|11</v>
      </c>
    </row>
    <row r="754" customFormat="false" ht="15" hidden="false" customHeight="false" outlineLevel="0" collapsed="false">
      <c r="A754" s="59" t="s">
        <v>71</v>
      </c>
      <c r="B754" s="59" t="s">
        <v>412</v>
      </c>
      <c r="C754" s="60" t="n">
        <v>35.85</v>
      </c>
      <c r="D754" s="59" t="n">
        <f aca="false">COUNTIFS($A$2:$A$1931,A754,$C$2:$C$1931,"&gt;"&amp;C754)+COUNTIFS($A$2:A754,A754,$C$2:C754,C754)</f>
        <v>12</v>
      </c>
      <c r="E754" s="59" t="str">
        <f aca="false">A754&amp;"|"&amp;D754</f>
        <v>BLR-JP Nagar New|12</v>
      </c>
    </row>
    <row r="755" customFormat="false" ht="15" hidden="false" customHeight="false" outlineLevel="0" collapsed="false">
      <c r="A755" s="59" t="s">
        <v>264</v>
      </c>
      <c r="B755" s="59" t="s">
        <v>407</v>
      </c>
      <c r="C755" s="60" t="n">
        <v>569.53</v>
      </c>
      <c r="D755" s="59" t="n">
        <f aca="false">COUNTIFS($A$2:$A$1931,A755,$C$2:$C$1931,"&gt;"&amp;C755)+COUNTIFS($A$2:A755,A755,$C$2:C755,C755)</f>
        <v>1</v>
      </c>
      <c r="E755" s="59" t="str">
        <f aca="false">A755&amp;"|"&amp;D755</f>
        <v>BLR-JP Nagar SS|1</v>
      </c>
    </row>
    <row r="756" customFormat="false" ht="15" hidden="false" customHeight="false" outlineLevel="0" collapsed="false">
      <c r="A756" s="59" t="s">
        <v>264</v>
      </c>
      <c r="B756" s="59" t="s">
        <v>416</v>
      </c>
      <c r="C756" s="60" t="n">
        <v>410</v>
      </c>
      <c r="D756" s="59" t="n">
        <f aca="false">COUNTIFS($A$2:$A$1931,A756,$C$2:$C$1931,"&gt;"&amp;C756)+COUNTIFS($A$2:A756,A756,$C$2:C756,C756)</f>
        <v>2</v>
      </c>
      <c r="E756" s="59" t="str">
        <f aca="false">A756&amp;"|"&amp;D756</f>
        <v>BLR-JP Nagar SS|2</v>
      </c>
    </row>
    <row r="757" customFormat="false" ht="15" hidden="false" customHeight="false" outlineLevel="0" collapsed="false">
      <c r="A757" s="59" t="s">
        <v>53</v>
      </c>
      <c r="B757" s="59" t="s">
        <v>408</v>
      </c>
      <c r="C757" s="60" t="n">
        <v>13015.07</v>
      </c>
      <c r="D757" s="59" t="n">
        <f aca="false">COUNTIFS($A$2:$A$1931,A757,$C$2:$C$1931,"&gt;"&amp;C757)+COUNTIFS($A$2:A757,A757,$C$2:C757,C757)</f>
        <v>1</v>
      </c>
      <c r="E757" s="59" t="str">
        <f aca="false">A757&amp;"|"&amp;D757</f>
        <v>BLR-Jakkur Network|1</v>
      </c>
    </row>
    <row r="758" customFormat="false" ht="15" hidden="false" customHeight="false" outlineLevel="0" collapsed="false">
      <c r="A758" s="59" t="s">
        <v>53</v>
      </c>
      <c r="B758" s="59" t="s">
        <v>417</v>
      </c>
      <c r="C758" s="60" t="n">
        <v>11283.34</v>
      </c>
      <c r="D758" s="59" t="n">
        <f aca="false">COUNTIFS($A$2:$A$1931,A758,$C$2:$C$1931,"&gt;"&amp;C758)+COUNTIFS($A$2:A758,A758,$C$2:C758,C758)</f>
        <v>2</v>
      </c>
      <c r="E758" s="59" t="str">
        <f aca="false">A758&amp;"|"&amp;D758</f>
        <v>BLR-Jakkur Network|2</v>
      </c>
    </row>
    <row r="759" customFormat="false" ht="15" hidden="false" customHeight="false" outlineLevel="0" collapsed="false">
      <c r="A759" s="59" t="s">
        <v>53</v>
      </c>
      <c r="B759" s="59" t="s">
        <v>424</v>
      </c>
      <c r="C759" s="60" t="n">
        <v>3171.02</v>
      </c>
      <c r="D759" s="59" t="n">
        <f aca="false">COUNTIFS($A$2:$A$1931,A759,$C$2:$C$1931,"&gt;"&amp;C759)+COUNTIFS($A$2:A759,A759,$C$2:C759,C759)</f>
        <v>3</v>
      </c>
      <c r="E759" s="59" t="str">
        <f aca="false">A759&amp;"|"&amp;D759</f>
        <v>BLR-Jakkur Network|3</v>
      </c>
    </row>
    <row r="760" customFormat="false" ht="15" hidden="false" customHeight="false" outlineLevel="0" collapsed="false">
      <c r="A760" s="59" t="s">
        <v>53</v>
      </c>
      <c r="B760" s="59" t="s">
        <v>431</v>
      </c>
      <c r="C760" s="60" t="n">
        <v>3165.11</v>
      </c>
      <c r="D760" s="59" t="n">
        <f aca="false">COUNTIFS($A$2:$A$1931,A760,$C$2:$C$1931,"&gt;"&amp;C760)+COUNTIFS($A$2:A760,A760,$C$2:C760,C760)</f>
        <v>4</v>
      </c>
      <c r="E760" s="59" t="str">
        <f aca="false">A760&amp;"|"&amp;D760</f>
        <v>BLR-Jakkur Network|4</v>
      </c>
    </row>
    <row r="761" customFormat="false" ht="15" hidden="false" customHeight="false" outlineLevel="0" collapsed="false">
      <c r="A761" s="59" t="s">
        <v>53</v>
      </c>
      <c r="B761" s="59" t="s">
        <v>410</v>
      </c>
      <c r="C761" s="60" t="n">
        <v>3138.51</v>
      </c>
      <c r="D761" s="59" t="n">
        <f aca="false">COUNTIFS($A$2:$A$1931,A761,$C$2:$C$1931,"&gt;"&amp;C761)+COUNTIFS($A$2:A761,A761,$C$2:C761,C761)</f>
        <v>5</v>
      </c>
      <c r="E761" s="59" t="str">
        <f aca="false">A761&amp;"|"&amp;D761</f>
        <v>BLR-Jakkur Network|5</v>
      </c>
    </row>
    <row r="762" customFormat="false" ht="15" hidden="false" customHeight="false" outlineLevel="0" collapsed="false">
      <c r="A762" s="59" t="s">
        <v>53</v>
      </c>
      <c r="B762" s="59" t="s">
        <v>415</v>
      </c>
      <c r="C762" s="60" t="n">
        <v>977.66</v>
      </c>
      <c r="D762" s="59" t="n">
        <f aca="false">COUNTIFS($A$2:$A$1931,A762,$C$2:$C$1931,"&gt;"&amp;C762)+COUNTIFS($A$2:A762,A762,$C$2:C762,C762)</f>
        <v>6</v>
      </c>
      <c r="E762" s="59" t="str">
        <f aca="false">A762&amp;"|"&amp;D762</f>
        <v>BLR-Jakkur Network|6</v>
      </c>
    </row>
    <row r="763" customFormat="false" ht="15" hidden="false" customHeight="false" outlineLevel="0" collapsed="false">
      <c r="A763" s="59" t="s">
        <v>53</v>
      </c>
      <c r="B763" s="59" t="s">
        <v>413</v>
      </c>
      <c r="C763" s="60" t="n">
        <v>722.87</v>
      </c>
      <c r="D763" s="59" t="n">
        <f aca="false">COUNTIFS($A$2:$A$1931,A763,$C$2:$C$1931,"&gt;"&amp;C763)+COUNTIFS($A$2:A763,A763,$C$2:C763,C763)</f>
        <v>7</v>
      </c>
      <c r="E763" s="59" t="str">
        <f aca="false">A763&amp;"|"&amp;D763</f>
        <v>BLR-Jakkur Network|7</v>
      </c>
    </row>
    <row r="764" customFormat="false" ht="15" hidden="false" customHeight="false" outlineLevel="0" collapsed="false">
      <c r="A764" s="59" t="s">
        <v>63</v>
      </c>
      <c r="B764" s="59" t="s">
        <v>426</v>
      </c>
      <c r="C764" s="60" t="n">
        <v>8528.16</v>
      </c>
      <c r="D764" s="59" t="n">
        <f aca="false">COUNTIFS($A$2:$A$1931,A764,$C$2:$C$1931,"&gt;"&amp;C764)+COUNTIFS($A$2:A764,A764,$C$2:C764,C764)</f>
        <v>1</v>
      </c>
      <c r="E764" s="59" t="str">
        <f aca="false">A764&amp;"|"&amp;D764</f>
        <v>BLR-Jakkur New|1</v>
      </c>
    </row>
    <row r="765" customFormat="false" ht="15" hidden="false" customHeight="false" outlineLevel="0" collapsed="false">
      <c r="A765" s="59" t="s">
        <v>63</v>
      </c>
      <c r="B765" s="59" t="s">
        <v>420</v>
      </c>
      <c r="C765" s="60" t="n">
        <v>8375.84</v>
      </c>
      <c r="D765" s="59" t="n">
        <f aca="false">COUNTIFS($A$2:$A$1931,A765,$C$2:$C$1931,"&gt;"&amp;C765)+COUNTIFS($A$2:A765,A765,$C$2:C765,C765)</f>
        <v>2</v>
      </c>
      <c r="E765" s="59" t="str">
        <f aca="false">A765&amp;"|"&amp;D765</f>
        <v>BLR-Jakkur New|2</v>
      </c>
    </row>
    <row r="766" customFormat="false" ht="15" hidden="false" customHeight="false" outlineLevel="0" collapsed="false">
      <c r="A766" s="59" t="s">
        <v>63</v>
      </c>
      <c r="B766" s="59" t="s">
        <v>419</v>
      </c>
      <c r="C766" s="60" t="n">
        <v>7007.34</v>
      </c>
      <c r="D766" s="59" t="n">
        <f aca="false">COUNTIFS($A$2:$A$1931,A766,$C$2:$C$1931,"&gt;"&amp;C766)+COUNTIFS($A$2:A766,A766,$C$2:C766,C766)</f>
        <v>3</v>
      </c>
      <c r="E766" s="59" t="str">
        <f aca="false">A766&amp;"|"&amp;D766</f>
        <v>BLR-Jakkur New|3</v>
      </c>
    </row>
    <row r="767" customFormat="false" ht="15" hidden="false" customHeight="false" outlineLevel="0" collapsed="false">
      <c r="A767" s="59" t="s">
        <v>63</v>
      </c>
      <c r="B767" s="59" t="s">
        <v>424</v>
      </c>
      <c r="C767" s="60" t="n">
        <v>3397.37</v>
      </c>
      <c r="D767" s="59" t="n">
        <f aca="false">COUNTIFS($A$2:$A$1931,A767,$C$2:$C$1931,"&gt;"&amp;C767)+COUNTIFS($A$2:A767,A767,$C$2:C767,C767)</f>
        <v>4</v>
      </c>
      <c r="E767" s="59" t="str">
        <f aca="false">A767&amp;"|"&amp;D767</f>
        <v>BLR-Jakkur New|4</v>
      </c>
    </row>
    <row r="768" customFormat="false" ht="15" hidden="false" customHeight="false" outlineLevel="0" collapsed="false">
      <c r="A768" s="59" t="s">
        <v>63</v>
      </c>
      <c r="B768" s="59" t="s">
        <v>412</v>
      </c>
      <c r="C768" s="60" t="n">
        <v>2185.18</v>
      </c>
      <c r="D768" s="59" t="n">
        <f aca="false">COUNTIFS($A$2:$A$1931,A768,$C$2:$C$1931,"&gt;"&amp;C768)+COUNTIFS($A$2:A768,A768,$C$2:C768,C768)</f>
        <v>5</v>
      </c>
      <c r="E768" s="59" t="str">
        <f aca="false">A768&amp;"|"&amp;D768</f>
        <v>BLR-Jakkur New|5</v>
      </c>
    </row>
    <row r="769" customFormat="false" ht="15" hidden="false" customHeight="false" outlineLevel="0" collapsed="false">
      <c r="A769" s="59" t="s">
        <v>63</v>
      </c>
      <c r="B769" s="59" t="s">
        <v>413</v>
      </c>
      <c r="C769" s="60" t="n">
        <v>2171.5</v>
      </c>
      <c r="D769" s="59" t="n">
        <f aca="false">COUNTIFS($A$2:$A$1931,A769,$C$2:$C$1931,"&gt;"&amp;C769)+COUNTIFS($A$2:A769,A769,$C$2:C769,C769)</f>
        <v>6</v>
      </c>
      <c r="E769" s="59" t="str">
        <f aca="false">A769&amp;"|"&amp;D769</f>
        <v>BLR-Jakkur New|6</v>
      </c>
    </row>
    <row r="770" customFormat="false" ht="15" hidden="false" customHeight="false" outlineLevel="0" collapsed="false">
      <c r="A770" s="59" t="s">
        <v>63</v>
      </c>
      <c r="B770" s="59" t="s">
        <v>416</v>
      </c>
      <c r="C770" s="60" t="n">
        <v>2081.6</v>
      </c>
      <c r="D770" s="59" t="n">
        <f aca="false">COUNTIFS($A$2:$A$1931,A770,$C$2:$C$1931,"&gt;"&amp;C770)+COUNTIFS($A$2:A770,A770,$C$2:C770,C770)</f>
        <v>7</v>
      </c>
      <c r="E770" s="59" t="str">
        <f aca="false">A770&amp;"|"&amp;D770</f>
        <v>BLR-Jakkur New|7</v>
      </c>
    </row>
    <row r="771" customFormat="false" ht="15" hidden="false" customHeight="false" outlineLevel="0" collapsed="false">
      <c r="A771" s="59" t="s">
        <v>63</v>
      </c>
      <c r="B771" s="59" t="s">
        <v>423</v>
      </c>
      <c r="C771" s="60" t="n">
        <v>560</v>
      </c>
      <c r="D771" s="59" t="n">
        <f aca="false">COUNTIFS($A$2:$A$1931,A771,$C$2:$C$1931,"&gt;"&amp;C771)+COUNTIFS($A$2:A771,A771,$C$2:C771,C771)</f>
        <v>8</v>
      </c>
      <c r="E771" s="59" t="str">
        <f aca="false">A771&amp;"|"&amp;D771</f>
        <v>BLR-Jakkur New|8</v>
      </c>
    </row>
    <row r="772" customFormat="false" ht="15" hidden="false" customHeight="false" outlineLevel="0" collapsed="false">
      <c r="A772" s="59" t="s">
        <v>95</v>
      </c>
      <c r="B772" s="59" t="s">
        <v>413</v>
      </c>
      <c r="C772" s="60" t="n">
        <v>4384.84</v>
      </c>
      <c r="D772" s="59" t="n">
        <f aca="false">COUNTIFS($A$2:$A$1931,A772,$C$2:$C$1931,"&gt;"&amp;C772)+COUNTIFS($A$2:A772,A772,$C$2:C772,C772)</f>
        <v>1</v>
      </c>
      <c r="E772" s="59" t="str">
        <f aca="false">A772&amp;"|"&amp;D772</f>
        <v>BLR-Jayanagar 9th block|1</v>
      </c>
    </row>
    <row r="773" customFormat="false" ht="15" hidden="false" customHeight="false" outlineLevel="0" collapsed="false">
      <c r="A773" s="59" t="s">
        <v>95</v>
      </c>
      <c r="B773" s="59" t="s">
        <v>412</v>
      </c>
      <c r="C773" s="60" t="n">
        <v>2919.32</v>
      </c>
      <c r="D773" s="59" t="n">
        <f aca="false">COUNTIFS($A$2:$A$1931,A773,$C$2:$C$1931,"&gt;"&amp;C773)+COUNTIFS($A$2:A773,A773,$C$2:C773,C773)</f>
        <v>2</v>
      </c>
      <c r="E773" s="59" t="str">
        <f aca="false">A773&amp;"|"&amp;D773</f>
        <v>BLR-Jayanagar 9th block|2</v>
      </c>
    </row>
    <row r="774" customFormat="false" ht="15" hidden="false" customHeight="false" outlineLevel="0" collapsed="false">
      <c r="A774" s="59" t="s">
        <v>95</v>
      </c>
      <c r="B774" s="59" t="s">
        <v>416</v>
      </c>
      <c r="C774" s="60" t="n">
        <v>1994.84</v>
      </c>
      <c r="D774" s="59" t="n">
        <f aca="false">COUNTIFS($A$2:$A$1931,A774,$C$2:$C$1931,"&gt;"&amp;C774)+COUNTIFS($A$2:A774,A774,$C$2:C774,C774)</f>
        <v>3</v>
      </c>
      <c r="E774" s="59" t="str">
        <f aca="false">A774&amp;"|"&amp;D774</f>
        <v>BLR-Jayanagar 9th block|3</v>
      </c>
    </row>
    <row r="775" customFormat="false" ht="15" hidden="false" customHeight="false" outlineLevel="0" collapsed="false">
      <c r="A775" s="59" t="s">
        <v>95</v>
      </c>
      <c r="B775" s="59" t="s">
        <v>424</v>
      </c>
      <c r="C775" s="60" t="n">
        <v>1641.59</v>
      </c>
      <c r="D775" s="59" t="n">
        <f aca="false">COUNTIFS($A$2:$A$1931,A775,$C$2:$C$1931,"&gt;"&amp;C775)+COUNTIFS($A$2:A775,A775,$C$2:C775,C775)</f>
        <v>4</v>
      </c>
      <c r="E775" s="59" t="str">
        <f aca="false">A775&amp;"|"&amp;D775</f>
        <v>BLR-Jayanagar 9th block|4</v>
      </c>
    </row>
    <row r="776" customFormat="false" ht="15" hidden="false" customHeight="false" outlineLevel="0" collapsed="false">
      <c r="A776" s="59" t="s">
        <v>95</v>
      </c>
      <c r="B776" s="59" t="s">
        <v>407</v>
      </c>
      <c r="C776" s="60" t="n">
        <v>1522.38</v>
      </c>
      <c r="D776" s="59" t="n">
        <f aca="false">COUNTIFS($A$2:$A$1931,A776,$C$2:$C$1931,"&gt;"&amp;C776)+COUNTIFS($A$2:A776,A776,$C$2:C776,C776)</f>
        <v>5</v>
      </c>
      <c r="E776" s="59" t="str">
        <f aca="false">A776&amp;"|"&amp;D776</f>
        <v>BLR-Jayanagar 9th block|5</v>
      </c>
    </row>
    <row r="777" customFormat="false" ht="15" hidden="false" customHeight="false" outlineLevel="0" collapsed="false">
      <c r="A777" s="59" t="s">
        <v>95</v>
      </c>
      <c r="B777" s="59" t="s">
        <v>426</v>
      </c>
      <c r="C777" s="60" t="n">
        <v>1471.95</v>
      </c>
      <c r="D777" s="59" t="n">
        <f aca="false">COUNTIFS($A$2:$A$1931,A777,$C$2:$C$1931,"&gt;"&amp;C777)+COUNTIFS($A$2:A777,A777,$C$2:C777,C777)</f>
        <v>6</v>
      </c>
      <c r="E777" s="59" t="str">
        <f aca="false">A777&amp;"|"&amp;D777</f>
        <v>BLR-Jayanagar 9th block|6</v>
      </c>
    </row>
    <row r="778" customFormat="false" ht="15" hidden="false" customHeight="false" outlineLevel="0" collapsed="false">
      <c r="A778" s="59" t="s">
        <v>95</v>
      </c>
      <c r="B778" s="59" t="s">
        <v>415</v>
      </c>
      <c r="C778" s="60" t="n">
        <v>1054.53</v>
      </c>
      <c r="D778" s="59" t="n">
        <f aca="false">COUNTIFS($A$2:$A$1931,A778,$C$2:$C$1931,"&gt;"&amp;C778)+COUNTIFS($A$2:A778,A778,$C$2:C778,C778)</f>
        <v>7</v>
      </c>
      <c r="E778" s="59" t="str">
        <f aca="false">A778&amp;"|"&amp;D778</f>
        <v>BLR-Jayanagar 9th block|7</v>
      </c>
    </row>
    <row r="779" customFormat="false" ht="15" hidden="false" customHeight="false" outlineLevel="0" collapsed="false">
      <c r="A779" s="59" t="s">
        <v>95</v>
      </c>
      <c r="B779" s="59" t="s">
        <v>409</v>
      </c>
      <c r="C779" s="60" t="n">
        <v>743.49</v>
      </c>
      <c r="D779" s="59" t="n">
        <f aca="false">COUNTIFS($A$2:$A$1931,A779,$C$2:$C$1931,"&gt;"&amp;C779)+COUNTIFS($A$2:A779,A779,$C$2:C779,C779)</f>
        <v>8</v>
      </c>
      <c r="E779" s="59" t="str">
        <f aca="false">A779&amp;"|"&amp;D779</f>
        <v>BLR-Jayanagar 9th block|8</v>
      </c>
    </row>
    <row r="780" customFormat="false" ht="15" hidden="false" customHeight="false" outlineLevel="0" collapsed="false">
      <c r="A780" s="59" t="s">
        <v>95</v>
      </c>
      <c r="B780" s="59" t="s">
        <v>410</v>
      </c>
      <c r="C780" s="60" t="n">
        <v>688.5</v>
      </c>
      <c r="D780" s="59" t="n">
        <f aca="false">COUNTIFS($A$2:$A$1931,A780,$C$2:$C$1931,"&gt;"&amp;C780)+COUNTIFS($A$2:A780,A780,$C$2:C780,C780)</f>
        <v>9</v>
      </c>
      <c r="E780" s="59" t="str">
        <f aca="false">A780&amp;"|"&amp;D780</f>
        <v>BLR-Jayanagar 9th block|9</v>
      </c>
    </row>
    <row r="781" customFormat="false" ht="15" hidden="false" customHeight="false" outlineLevel="0" collapsed="false">
      <c r="A781" s="59" t="s">
        <v>95</v>
      </c>
      <c r="B781" s="59" t="s">
        <v>418</v>
      </c>
      <c r="C781" s="60" t="n">
        <v>640.93</v>
      </c>
      <c r="D781" s="59" t="n">
        <f aca="false">COUNTIFS($A$2:$A$1931,A781,$C$2:$C$1931,"&gt;"&amp;C781)+COUNTIFS($A$2:A781,A781,$C$2:C781,C781)</f>
        <v>10</v>
      </c>
      <c r="E781" s="59" t="str">
        <f aca="false">A781&amp;"|"&amp;D781</f>
        <v>BLR-Jayanagar 9th block|10</v>
      </c>
    </row>
    <row r="782" customFormat="false" ht="15" hidden="false" customHeight="false" outlineLevel="0" collapsed="false">
      <c r="A782" s="59" t="s">
        <v>95</v>
      </c>
      <c r="B782" s="59" t="s">
        <v>431</v>
      </c>
      <c r="C782" s="60" t="n">
        <v>180.57</v>
      </c>
      <c r="D782" s="59" t="n">
        <f aca="false">COUNTIFS($A$2:$A$1931,A782,$C$2:$C$1931,"&gt;"&amp;C782)+COUNTIFS($A$2:A782,A782,$C$2:C782,C782)</f>
        <v>11</v>
      </c>
      <c r="E782" s="59" t="str">
        <f aca="false">A782&amp;"|"&amp;D782</f>
        <v>BLR-Jayanagar 9th block|11</v>
      </c>
    </row>
    <row r="783" customFormat="false" ht="15" hidden="false" customHeight="false" outlineLevel="0" collapsed="false">
      <c r="A783" s="59" t="s">
        <v>249</v>
      </c>
      <c r="B783" s="59" t="s">
        <v>417</v>
      </c>
      <c r="C783" s="60" t="n">
        <v>146.33</v>
      </c>
      <c r="D783" s="59" t="n">
        <f aca="false">COUNTIFS($A$2:$A$1931,A783,$C$2:$C$1931,"&gt;"&amp;C783)+COUNTIFS($A$2:A783,A783,$C$2:C783,C783)</f>
        <v>1</v>
      </c>
      <c r="E783" s="59" t="str">
        <f aca="false">A783&amp;"|"&amp;D783</f>
        <v>BLR-Junnasandra|1</v>
      </c>
    </row>
    <row r="784" customFormat="false" ht="15" hidden="false" customHeight="false" outlineLevel="0" collapsed="false">
      <c r="A784" s="59" t="s">
        <v>249</v>
      </c>
      <c r="B784" s="59" t="s">
        <v>409</v>
      </c>
      <c r="C784" s="60" t="n">
        <v>134.14</v>
      </c>
      <c r="D784" s="59" t="n">
        <f aca="false">COUNTIFS($A$2:$A$1931,A784,$C$2:$C$1931,"&gt;"&amp;C784)+COUNTIFS($A$2:A784,A784,$C$2:C784,C784)</f>
        <v>2</v>
      </c>
      <c r="E784" s="59" t="str">
        <f aca="false">A784&amp;"|"&amp;D784</f>
        <v>BLR-Junnasandra|2</v>
      </c>
    </row>
    <row r="785" customFormat="false" ht="15" hidden="false" customHeight="false" outlineLevel="0" collapsed="false">
      <c r="A785" s="59" t="s">
        <v>249</v>
      </c>
      <c r="B785" s="59" t="s">
        <v>426</v>
      </c>
      <c r="C785" s="60" t="n">
        <v>39.66</v>
      </c>
      <c r="D785" s="59" t="n">
        <f aca="false">COUNTIFS($A$2:$A$1931,A785,$C$2:$C$1931,"&gt;"&amp;C785)+COUNTIFS($A$2:A785,A785,$C$2:C785,C785)</f>
        <v>3</v>
      </c>
      <c r="E785" s="59" t="str">
        <f aca="false">A785&amp;"|"&amp;D785</f>
        <v>BLR-Junnasandra|3</v>
      </c>
    </row>
    <row r="786" customFormat="false" ht="15" hidden="false" customHeight="false" outlineLevel="0" collapsed="false">
      <c r="A786" s="59" t="s">
        <v>232</v>
      </c>
      <c r="B786" s="59" t="s">
        <v>415</v>
      </c>
      <c r="C786" s="60" t="n">
        <v>2364.6</v>
      </c>
      <c r="D786" s="59" t="n">
        <f aca="false">COUNTIFS($A$2:$A$1931,A786,$C$2:$C$1931,"&gt;"&amp;C786)+COUNTIFS($A$2:A786,A786,$C$2:C786,C786)</f>
        <v>1</v>
      </c>
      <c r="E786" s="59" t="str">
        <f aca="false">A786&amp;"|"&amp;D786</f>
        <v>BLR-KALYAN NAGAR NEW|1</v>
      </c>
    </row>
    <row r="787" customFormat="false" ht="15" hidden="false" customHeight="false" outlineLevel="0" collapsed="false">
      <c r="A787" s="59" t="s">
        <v>232</v>
      </c>
      <c r="B787" s="59" t="s">
        <v>412</v>
      </c>
      <c r="C787" s="60" t="n">
        <v>1881.47</v>
      </c>
      <c r="D787" s="59" t="n">
        <f aca="false">COUNTIFS($A$2:$A$1931,A787,$C$2:$C$1931,"&gt;"&amp;C787)+COUNTIFS($A$2:A787,A787,$C$2:C787,C787)</f>
        <v>2</v>
      </c>
      <c r="E787" s="59" t="str">
        <f aca="false">A787&amp;"|"&amp;D787</f>
        <v>BLR-KALYAN NAGAR NEW|2</v>
      </c>
    </row>
    <row r="788" customFormat="false" ht="15" hidden="false" customHeight="false" outlineLevel="0" collapsed="false">
      <c r="A788" s="59" t="s">
        <v>232</v>
      </c>
      <c r="B788" s="59" t="s">
        <v>409</v>
      </c>
      <c r="C788" s="60" t="n">
        <v>1699.48</v>
      </c>
      <c r="D788" s="59" t="n">
        <f aca="false">COUNTIFS($A$2:$A$1931,A788,$C$2:$C$1931,"&gt;"&amp;C788)+COUNTIFS($A$2:A788,A788,$C$2:C788,C788)</f>
        <v>3</v>
      </c>
      <c r="E788" s="59" t="str">
        <f aca="false">A788&amp;"|"&amp;D788</f>
        <v>BLR-KALYAN NAGAR NEW|3</v>
      </c>
    </row>
    <row r="789" customFormat="false" ht="15" hidden="false" customHeight="false" outlineLevel="0" collapsed="false">
      <c r="A789" s="59" t="s">
        <v>232</v>
      </c>
      <c r="B789" s="59" t="s">
        <v>418</v>
      </c>
      <c r="C789" s="60" t="n">
        <v>1054.97</v>
      </c>
      <c r="D789" s="59" t="n">
        <f aca="false">COUNTIFS($A$2:$A$1931,A789,$C$2:$C$1931,"&gt;"&amp;C789)+COUNTIFS($A$2:A789,A789,$C$2:C789,C789)</f>
        <v>4</v>
      </c>
      <c r="E789" s="59" t="str">
        <f aca="false">A789&amp;"|"&amp;D789</f>
        <v>BLR-KALYAN NAGAR NEW|4</v>
      </c>
    </row>
    <row r="790" customFormat="false" ht="15" hidden="false" customHeight="false" outlineLevel="0" collapsed="false">
      <c r="A790" s="59" t="s">
        <v>232</v>
      </c>
      <c r="B790" s="59" t="s">
        <v>410</v>
      </c>
      <c r="C790" s="60" t="n">
        <v>431.68</v>
      </c>
      <c r="D790" s="59" t="n">
        <f aca="false">COUNTIFS($A$2:$A$1931,A790,$C$2:$C$1931,"&gt;"&amp;C790)+COUNTIFS($A$2:A790,A790,$C$2:C790,C790)</f>
        <v>5</v>
      </c>
      <c r="E790" s="59" t="str">
        <f aca="false">A790&amp;"|"&amp;D790</f>
        <v>BLR-KALYAN NAGAR NEW|5</v>
      </c>
    </row>
    <row r="791" customFormat="false" ht="15" hidden="false" customHeight="false" outlineLevel="0" collapsed="false">
      <c r="A791" s="59" t="s">
        <v>232</v>
      </c>
      <c r="B791" s="59" t="s">
        <v>424</v>
      </c>
      <c r="C791" s="60" t="n">
        <v>164.4</v>
      </c>
      <c r="D791" s="59" t="n">
        <f aca="false">COUNTIFS($A$2:$A$1931,A791,$C$2:$C$1931,"&gt;"&amp;C791)+COUNTIFS($A$2:A791,A791,$C$2:C791,C791)</f>
        <v>6</v>
      </c>
      <c r="E791" s="59" t="str">
        <f aca="false">A791&amp;"|"&amp;D791</f>
        <v>BLR-KALYAN NAGAR NEW|6</v>
      </c>
    </row>
    <row r="792" customFormat="false" ht="15" hidden="false" customHeight="false" outlineLevel="0" collapsed="false">
      <c r="A792" s="59" t="s">
        <v>232</v>
      </c>
      <c r="B792" s="59" t="s">
        <v>432</v>
      </c>
      <c r="C792" s="60" t="n">
        <v>29.33</v>
      </c>
      <c r="D792" s="59" t="n">
        <f aca="false">COUNTIFS($A$2:$A$1931,A792,$C$2:$C$1931,"&gt;"&amp;C792)+COUNTIFS($A$2:A792,A792,$C$2:C792,C792)</f>
        <v>7</v>
      </c>
      <c r="E792" s="59" t="str">
        <f aca="false">A792&amp;"|"&amp;D792</f>
        <v>BLR-KALYAN NAGAR NEW|7</v>
      </c>
    </row>
    <row r="793" customFormat="false" ht="15" hidden="false" customHeight="false" outlineLevel="0" collapsed="false">
      <c r="A793" s="59" t="s">
        <v>51</v>
      </c>
      <c r="B793" s="59" t="s">
        <v>413</v>
      </c>
      <c r="C793" s="60" t="n">
        <v>9285.27</v>
      </c>
      <c r="D793" s="59" t="n">
        <f aca="false">COUNTIFS($A$2:$A$1931,A793,$C$2:$C$1931,"&gt;"&amp;C793)+COUNTIFS($A$2:A793,A793,$C$2:C793,C793)</f>
        <v>1</v>
      </c>
      <c r="E793" s="59" t="str">
        <f aca="false">A793&amp;"|"&amp;D793</f>
        <v>BLR-Kadarenahalli|1</v>
      </c>
    </row>
    <row r="794" customFormat="false" ht="15" hidden="false" customHeight="false" outlineLevel="0" collapsed="false">
      <c r="A794" s="59" t="s">
        <v>51</v>
      </c>
      <c r="B794" s="59" t="s">
        <v>412</v>
      </c>
      <c r="C794" s="60" t="n">
        <v>8180.16</v>
      </c>
      <c r="D794" s="59" t="n">
        <f aca="false">COUNTIFS($A$2:$A$1931,A794,$C$2:$C$1931,"&gt;"&amp;C794)+COUNTIFS($A$2:A794,A794,$C$2:C794,C794)</f>
        <v>2</v>
      </c>
      <c r="E794" s="59" t="str">
        <f aca="false">A794&amp;"|"&amp;D794</f>
        <v>BLR-Kadarenahalli|2</v>
      </c>
    </row>
    <row r="795" customFormat="false" ht="15" hidden="false" customHeight="false" outlineLevel="0" collapsed="false">
      <c r="A795" s="59" t="s">
        <v>51</v>
      </c>
      <c r="B795" s="59" t="s">
        <v>408</v>
      </c>
      <c r="C795" s="60" t="n">
        <v>4906.35</v>
      </c>
      <c r="D795" s="59" t="n">
        <f aca="false">COUNTIFS($A$2:$A$1931,A795,$C$2:$C$1931,"&gt;"&amp;C795)+COUNTIFS($A$2:A795,A795,$C$2:C795,C795)</f>
        <v>3</v>
      </c>
      <c r="E795" s="59" t="str">
        <f aca="false">A795&amp;"|"&amp;D795</f>
        <v>BLR-Kadarenahalli|3</v>
      </c>
    </row>
    <row r="796" customFormat="false" ht="15" hidden="false" customHeight="false" outlineLevel="0" collapsed="false">
      <c r="A796" s="59" t="s">
        <v>51</v>
      </c>
      <c r="B796" s="59" t="s">
        <v>415</v>
      </c>
      <c r="C796" s="60" t="n">
        <v>2288.18</v>
      </c>
      <c r="D796" s="59" t="n">
        <f aca="false">COUNTIFS($A$2:$A$1931,A796,$C$2:$C$1931,"&gt;"&amp;C796)+COUNTIFS($A$2:A796,A796,$C$2:C796,C796)</f>
        <v>4</v>
      </c>
      <c r="E796" s="59" t="str">
        <f aca="false">A796&amp;"|"&amp;D796</f>
        <v>BLR-Kadarenahalli|4</v>
      </c>
    </row>
    <row r="797" customFormat="false" ht="15" hidden="false" customHeight="false" outlineLevel="0" collapsed="false">
      <c r="A797" s="59" t="s">
        <v>51</v>
      </c>
      <c r="B797" s="59" t="s">
        <v>424</v>
      </c>
      <c r="C797" s="60" t="n">
        <v>1851.47</v>
      </c>
      <c r="D797" s="59" t="n">
        <f aca="false">COUNTIFS($A$2:$A$1931,A797,$C$2:$C$1931,"&gt;"&amp;C797)+COUNTIFS($A$2:A797,A797,$C$2:C797,C797)</f>
        <v>5</v>
      </c>
      <c r="E797" s="59" t="str">
        <f aca="false">A797&amp;"|"&amp;D797</f>
        <v>BLR-Kadarenahalli|5</v>
      </c>
    </row>
    <row r="798" customFormat="false" ht="15" hidden="false" customHeight="false" outlineLevel="0" collapsed="false">
      <c r="A798" s="59" t="s">
        <v>51</v>
      </c>
      <c r="B798" s="59" t="s">
        <v>431</v>
      </c>
      <c r="C798" s="60" t="n">
        <v>281.16</v>
      </c>
      <c r="D798" s="59" t="n">
        <f aca="false">COUNTIFS($A$2:$A$1931,A798,$C$2:$C$1931,"&gt;"&amp;C798)+COUNTIFS($A$2:A798,A798,$C$2:C798,C798)</f>
        <v>6</v>
      </c>
      <c r="E798" s="59" t="str">
        <f aca="false">A798&amp;"|"&amp;D798</f>
        <v>BLR-Kadarenahalli|6</v>
      </c>
    </row>
    <row r="799" customFormat="false" ht="15" hidden="false" customHeight="false" outlineLevel="0" collapsed="false">
      <c r="A799" s="59" t="s">
        <v>51</v>
      </c>
      <c r="B799" s="59" t="s">
        <v>418</v>
      </c>
      <c r="C799" s="60" t="n">
        <v>79.43</v>
      </c>
      <c r="D799" s="59" t="n">
        <f aca="false">COUNTIFS($A$2:$A$1931,A799,$C$2:$C$1931,"&gt;"&amp;C799)+COUNTIFS($A$2:A799,A799,$C$2:C799,C799)</f>
        <v>7</v>
      </c>
      <c r="E799" s="59" t="str">
        <f aca="false">A799&amp;"|"&amp;D799</f>
        <v>BLR-Kadarenahalli|7</v>
      </c>
    </row>
    <row r="800" customFormat="false" ht="15" hidden="false" customHeight="false" outlineLevel="0" collapsed="false">
      <c r="A800" s="59" t="s">
        <v>51</v>
      </c>
      <c r="B800" s="59" t="s">
        <v>432</v>
      </c>
      <c r="C800" s="60" t="n">
        <v>60.89</v>
      </c>
      <c r="D800" s="59" t="n">
        <f aca="false">COUNTIFS($A$2:$A$1931,A800,$C$2:$C$1931,"&gt;"&amp;C800)+COUNTIFS($A$2:A800,A800,$C$2:C800,C800)</f>
        <v>8</v>
      </c>
      <c r="E800" s="59" t="str">
        <f aca="false">A800&amp;"|"&amp;D800</f>
        <v>BLR-Kadarenahalli|8</v>
      </c>
    </row>
    <row r="801" customFormat="false" ht="15" hidden="false" customHeight="false" outlineLevel="0" collapsed="false">
      <c r="A801" s="59" t="s">
        <v>252</v>
      </c>
      <c r="B801" s="59" t="s">
        <v>425</v>
      </c>
      <c r="C801" s="60" t="n">
        <v>36.53</v>
      </c>
      <c r="D801" s="59" t="n">
        <f aca="false">COUNTIFS($A$2:$A$1931,A801,$C$2:$C$1931,"&gt;"&amp;C801)+COUNTIFS($A$2:A801,A801,$C$2:C801,C801)</f>
        <v>1</v>
      </c>
      <c r="E801" s="59" t="str">
        <f aca="false">A801&amp;"|"&amp;D801</f>
        <v>BLR-Kadarenahalli SS|1</v>
      </c>
    </row>
    <row r="802" customFormat="false" ht="15" hidden="false" customHeight="false" outlineLevel="0" collapsed="false">
      <c r="A802" s="59" t="s">
        <v>253</v>
      </c>
      <c r="B802" s="59" t="s">
        <v>416</v>
      </c>
      <c r="C802" s="60" t="n">
        <v>6770.85</v>
      </c>
      <c r="D802" s="59" t="n">
        <f aca="false">COUNTIFS($A$2:$A$1931,A802,$C$2:$C$1931,"&gt;"&amp;C802)+COUNTIFS($A$2:A802,A802,$C$2:C802,C802)</f>
        <v>1</v>
      </c>
      <c r="E802" s="59" t="str">
        <f aca="false">A802&amp;"|"&amp;D802</f>
        <v>BLR-Kadugodi|1</v>
      </c>
    </row>
    <row r="803" customFormat="false" ht="15" hidden="false" customHeight="false" outlineLevel="0" collapsed="false">
      <c r="A803" s="59" t="s">
        <v>253</v>
      </c>
      <c r="B803" s="59" t="s">
        <v>424</v>
      </c>
      <c r="C803" s="60" t="n">
        <v>2367.5</v>
      </c>
      <c r="D803" s="59" t="n">
        <f aca="false">COUNTIFS($A$2:$A$1931,A803,$C$2:$C$1931,"&gt;"&amp;C803)+COUNTIFS($A$2:A803,A803,$C$2:C803,C803)</f>
        <v>2</v>
      </c>
      <c r="E803" s="59" t="str">
        <f aca="false">A803&amp;"|"&amp;D803</f>
        <v>BLR-Kadugodi|2</v>
      </c>
    </row>
    <row r="804" customFormat="false" ht="15" hidden="false" customHeight="false" outlineLevel="0" collapsed="false">
      <c r="A804" s="59" t="s">
        <v>253</v>
      </c>
      <c r="B804" s="59" t="s">
        <v>420</v>
      </c>
      <c r="C804" s="60" t="n">
        <v>1718.89</v>
      </c>
      <c r="D804" s="59" t="n">
        <f aca="false">COUNTIFS($A$2:$A$1931,A804,$C$2:$C$1931,"&gt;"&amp;C804)+COUNTIFS($A$2:A804,A804,$C$2:C804,C804)</f>
        <v>3</v>
      </c>
      <c r="E804" s="59" t="str">
        <f aca="false">A804&amp;"|"&amp;D804</f>
        <v>BLR-Kadugodi|3</v>
      </c>
    </row>
    <row r="805" customFormat="false" ht="15" hidden="false" customHeight="false" outlineLevel="0" collapsed="false">
      <c r="A805" s="59" t="s">
        <v>253</v>
      </c>
      <c r="B805" s="59" t="s">
        <v>419</v>
      </c>
      <c r="C805" s="60" t="n">
        <v>1030.71</v>
      </c>
      <c r="D805" s="59" t="n">
        <f aca="false">COUNTIFS($A$2:$A$1931,A805,$C$2:$C$1931,"&gt;"&amp;C805)+COUNTIFS($A$2:A805,A805,$C$2:C805,C805)</f>
        <v>4</v>
      </c>
      <c r="E805" s="59" t="str">
        <f aca="false">A805&amp;"|"&amp;D805</f>
        <v>BLR-Kadugodi|4</v>
      </c>
    </row>
    <row r="806" customFormat="false" ht="15" hidden="false" customHeight="false" outlineLevel="0" collapsed="false">
      <c r="A806" s="59" t="s">
        <v>253</v>
      </c>
      <c r="B806" s="59" t="s">
        <v>412</v>
      </c>
      <c r="C806" s="60" t="n">
        <v>1016.63</v>
      </c>
      <c r="D806" s="59" t="n">
        <f aca="false">COUNTIFS($A$2:$A$1931,A806,$C$2:$C$1931,"&gt;"&amp;C806)+COUNTIFS($A$2:A806,A806,$C$2:C806,C806)</f>
        <v>5</v>
      </c>
      <c r="E806" s="59" t="str">
        <f aca="false">A806&amp;"|"&amp;D806</f>
        <v>BLR-Kadugodi|5</v>
      </c>
    </row>
    <row r="807" customFormat="false" ht="15" hidden="false" customHeight="false" outlineLevel="0" collapsed="false">
      <c r="A807" s="59" t="s">
        <v>253</v>
      </c>
      <c r="B807" s="59" t="s">
        <v>413</v>
      </c>
      <c r="C807" s="60" t="n">
        <v>13.33</v>
      </c>
      <c r="D807" s="59" t="n">
        <f aca="false">COUNTIFS($A$2:$A$1931,A807,$C$2:$C$1931,"&gt;"&amp;C807)+COUNTIFS($A$2:A807,A807,$C$2:C807,C807)</f>
        <v>6</v>
      </c>
      <c r="E807" s="59" t="str">
        <f aca="false">A807&amp;"|"&amp;D807</f>
        <v>BLR-Kadugodi|6</v>
      </c>
    </row>
    <row r="808" customFormat="false" ht="15" hidden="false" customHeight="false" outlineLevel="0" collapsed="false">
      <c r="A808" s="59" t="s">
        <v>31</v>
      </c>
      <c r="B808" s="59" t="s">
        <v>418</v>
      </c>
      <c r="C808" s="60" t="n">
        <v>9496.62</v>
      </c>
      <c r="D808" s="59" t="n">
        <f aca="false">COUNTIFS($A$2:$A$1931,A808,$C$2:$C$1931,"&gt;"&amp;C808)+COUNTIFS($A$2:A808,A808,$C$2:C808,C808)</f>
        <v>1</v>
      </c>
      <c r="E808" s="59" t="str">
        <f aca="false">A808&amp;"|"&amp;D808</f>
        <v>BLR-Kalkere|1</v>
      </c>
    </row>
    <row r="809" customFormat="false" ht="15" hidden="false" customHeight="false" outlineLevel="0" collapsed="false">
      <c r="A809" s="59" t="s">
        <v>31</v>
      </c>
      <c r="B809" s="59" t="s">
        <v>413</v>
      </c>
      <c r="C809" s="60" t="n">
        <v>7179.42</v>
      </c>
      <c r="D809" s="59" t="n">
        <f aca="false">COUNTIFS($A$2:$A$1931,A809,$C$2:$C$1931,"&gt;"&amp;C809)+COUNTIFS($A$2:A809,A809,$C$2:C809,C809)</f>
        <v>2</v>
      </c>
      <c r="E809" s="59" t="str">
        <f aca="false">A809&amp;"|"&amp;D809</f>
        <v>BLR-Kalkere|2</v>
      </c>
    </row>
    <row r="810" customFormat="false" ht="15" hidden="false" customHeight="false" outlineLevel="0" collapsed="false">
      <c r="A810" s="59" t="s">
        <v>31</v>
      </c>
      <c r="B810" s="59" t="s">
        <v>416</v>
      </c>
      <c r="C810" s="60" t="n">
        <v>6012.09</v>
      </c>
      <c r="D810" s="59" t="n">
        <f aca="false">COUNTIFS($A$2:$A$1931,A810,$C$2:$C$1931,"&gt;"&amp;C810)+COUNTIFS($A$2:A810,A810,$C$2:C810,C810)</f>
        <v>3</v>
      </c>
      <c r="E810" s="59" t="str">
        <f aca="false">A810&amp;"|"&amp;D810</f>
        <v>BLR-Kalkere|3</v>
      </c>
    </row>
    <row r="811" customFormat="false" ht="15" hidden="false" customHeight="false" outlineLevel="0" collapsed="false">
      <c r="A811" s="59" t="s">
        <v>31</v>
      </c>
      <c r="B811" s="59" t="s">
        <v>420</v>
      </c>
      <c r="C811" s="60" t="n">
        <v>5630.82</v>
      </c>
      <c r="D811" s="59" t="n">
        <f aca="false">COUNTIFS($A$2:$A$1931,A811,$C$2:$C$1931,"&gt;"&amp;C811)+COUNTIFS($A$2:A811,A811,$C$2:C811,C811)</f>
        <v>4</v>
      </c>
      <c r="E811" s="59" t="str">
        <f aca="false">A811&amp;"|"&amp;D811</f>
        <v>BLR-Kalkere|4</v>
      </c>
    </row>
    <row r="812" customFormat="false" ht="15" hidden="false" customHeight="false" outlineLevel="0" collapsed="false">
      <c r="A812" s="59" t="s">
        <v>31</v>
      </c>
      <c r="B812" s="59" t="s">
        <v>431</v>
      </c>
      <c r="C812" s="60" t="n">
        <v>4578.77</v>
      </c>
      <c r="D812" s="59" t="n">
        <f aca="false">COUNTIFS($A$2:$A$1931,A812,$C$2:$C$1931,"&gt;"&amp;C812)+COUNTIFS($A$2:A812,A812,$C$2:C812,C812)</f>
        <v>5</v>
      </c>
      <c r="E812" s="59" t="str">
        <f aca="false">A812&amp;"|"&amp;D812</f>
        <v>BLR-Kalkere|5</v>
      </c>
    </row>
    <row r="813" customFormat="false" ht="15" hidden="false" customHeight="false" outlineLevel="0" collapsed="false">
      <c r="A813" s="59" t="s">
        <v>31</v>
      </c>
      <c r="B813" s="59" t="s">
        <v>407</v>
      </c>
      <c r="C813" s="60" t="n">
        <v>4201.52</v>
      </c>
      <c r="D813" s="59" t="n">
        <f aca="false">COUNTIFS($A$2:$A$1931,A813,$C$2:$C$1931,"&gt;"&amp;C813)+COUNTIFS($A$2:A813,A813,$C$2:C813,C813)</f>
        <v>6</v>
      </c>
      <c r="E813" s="59" t="str">
        <f aca="false">A813&amp;"|"&amp;D813</f>
        <v>BLR-Kalkere|6</v>
      </c>
    </row>
    <row r="814" customFormat="false" ht="15" hidden="false" customHeight="false" outlineLevel="0" collapsed="false">
      <c r="A814" s="59" t="s">
        <v>31</v>
      </c>
      <c r="B814" s="59" t="s">
        <v>412</v>
      </c>
      <c r="C814" s="60" t="n">
        <v>3763.48</v>
      </c>
      <c r="D814" s="59" t="n">
        <f aca="false">COUNTIFS($A$2:$A$1931,A814,$C$2:$C$1931,"&gt;"&amp;C814)+COUNTIFS($A$2:A814,A814,$C$2:C814,C814)</f>
        <v>7</v>
      </c>
      <c r="E814" s="59" t="str">
        <f aca="false">A814&amp;"|"&amp;D814</f>
        <v>BLR-Kalkere|7</v>
      </c>
    </row>
    <row r="815" customFormat="false" ht="15" hidden="false" customHeight="false" outlineLevel="0" collapsed="false">
      <c r="A815" s="59" t="s">
        <v>31</v>
      </c>
      <c r="B815" s="59" t="s">
        <v>415</v>
      </c>
      <c r="C815" s="60" t="n">
        <v>3309.06</v>
      </c>
      <c r="D815" s="59" t="n">
        <f aca="false">COUNTIFS($A$2:$A$1931,A815,$C$2:$C$1931,"&gt;"&amp;C815)+COUNTIFS($A$2:A815,A815,$C$2:C815,C815)</f>
        <v>8</v>
      </c>
      <c r="E815" s="59" t="str">
        <f aca="false">A815&amp;"|"&amp;D815</f>
        <v>BLR-Kalkere|8</v>
      </c>
    </row>
    <row r="816" customFormat="false" ht="15" hidden="false" customHeight="false" outlineLevel="0" collapsed="false">
      <c r="A816" s="59" t="s">
        <v>31</v>
      </c>
      <c r="B816" s="59" t="s">
        <v>424</v>
      </c>
      <c r="C816" s="60" t="n">
        <v>3023.23</v>
      </c>
      <c r="D816" s="59" t="n">
        <f aca="false">COUNTIFS($A$2:$A$1931,A816,$C$2:$C$1931,"&gt;"&amp;C816)+COUNTIFS($A$2:A816,A816,$C$2:C816,C816)</f>
        <v>9</v>
      </c>
      <c r="E816" s="59" t="str">
        <f aca="false">A816&amp;"|"&amp;D816</f>
        <v>BLR-Kalkere|9</v>
      </c>
    </row>
    <row r="817" customFormat="false" ht="15" hidden="false" customHeight="false" outlineLevel="0" collapsed="false">
      <c r="A817" s="59" t="s">
        <v>31</v>
      </c>
      <c r="B817" s="59" t="s">
        <v>419</v>
      </c>
      <c r="C817" s="60" t="n">
        <v>2794.23</v>
      </c>
      <c r="D817" s="59" t="n">
        <f aca="false">COUNTIFS($A$2:$A$1931,A817,$C$2:$C$1931,"&gt;"&amp;C817)+COUNTIFS($A$2:A817,A817,$C$2:C817,C817)</f>
        <v>10</v>
      </c>
      <c r="E817" s="59" t="str">
        <f aca="false">A817&amp;"|"&amp;D817</f>
        <v>BLR-Kalkere|10</v>
      </c>
    </row>
    <row r="818" customFormat="false" ht="15" hidden="false" customHeight="false" outlineLevel="0" collapsed="false">
      <c r="A818" s="59" t="s">
        <v>31</v>
      </c>
      <c r="B818" s="59" t="s">
        <v>414</v>
      </c>
      <c r="C818" s="60" t="n">
        <v>2209.62</v>
      </c>
      <c r="D818" s="59" t="n">
        <f aca="false">COUNTIFS($A$2:$A$1931,A818,$C$2:$C$1931,"&gt;"&amp;C818)+COUNTIFS($A$2:A818,A818,$C$2:C818,C818)</f>
        <v>11</v>
      </c>
      <c r="E818" s="59" t="str">
        <f aca="false">A818&amp;"|"&amp;D818</f>
        <v>BLR-Kalkere|11</v>
      </c>
    </row>
    <row r="819" customFormat="false" ht="15" hidden="false" customHeight="false" outlineLevel="0" collapsed="false">
      <c r="A819" s="59" t="s">
        <v>228</v>
      </c>
      <c r="B819" s="59" t="s">
        <v>418</v>
      </c>
      <c r="C819" s="60" t="n">
        <v>5299.5</v>
      </c>
      <c r="D819" s="59" t="n">
        <f aca="false">COUNTIFS($A$2:$A$1931,A819,$C$2:$C$1931,"&gt;"&amp;C819)+COUNTIFS($A$2:A819,A819,$C$2:C819,C819)</f>
        <v>1</v>
      </c>
      <c r="E819" s="59" t="str">
        <f aca="false">A819&amp;"|"&amp;D819</f>
        <v>BLR-Kalyan Nagar Network|1</v>
      </c>
    </row>
    <row r="820" customFormat="false" ht="15" hidden="false" customHeight="false" outlineLevel="0" collapsed="false">
      <c r="A820" s="59" t="s">
        <v>228</v>
      </c>
      <c r="B820" s="59" t="s">
        <v>413</v>
      </c>
      <c r="C820" s="60" t="n">
        <v>3809.64</v>
      </c>
      <c r="D820" s="59" t="n">
        <f aca="false">COUNTIFS($A$2:$A$1931,A820,$C$2:$C$1931,"&gt;"&amp;C820)+COUNTIFS($A$2:A820,A820,$C$2:C820,C820)</f>
        <v>2</v>
      </c>
      <c r="E820" s="59" t="str">
        <f aca="false">A820&amp;"|"&amp;D820</f>
        <v>BLR-Kalyan Nagar Network|2</v>
      </c>
    </row>
    <row r="821" customFormat="false" ht="15" hidden="false" customHeight="false" outlineLevel="0" collapsed="false">
      <c r="A821" s="59" t="s">
        <v>228</v>
      </c>
      <c r="B821" s="59" t="s">
        <v>410</v>
      </c>
      <c r="C821" s="60" t="n">
        <v>1366.82</v>
      </c>
      <c r="D821" s="59" t="n">
        <f aca="false">COUNTIFS($A$2:$A$1931,A821,$C$2:$C$1931,"&gt;"&amp;C821)+COUNTIFS($A$2:A821,A821,$C$2:C821,C821)</f>
        <v>3</v>
      </c>
      <c r="E821" s="59" t="str">
        <f aca="false">A821&amp;"|"&amp;D821</f>
        <v>BLR-Kalyan Nagar Network|3</v>
      </c>
    </row>
    <row r="822" customFormat="false" ht="15" hidden="false" customHeight="false" outlineLevel="0" collapsed="false">
      <c r="A822" s="59" t="s">
        <v>228</v>
      </c>
      <c r="B822" s="59" t="s">
        <v>424</v>
      </c>
      <c r="C822" s="60" t="n">
        <v>899.38</v>
      </c>
      <c r="D822" s="59" t="n">
        <f aca="false">COUNTIFS($A$2:$A$1931,A822,$C$2:$C$1931,"&gt;"&amp;C822)+COUNTIFS($A$2:A822,A822,$C$2:C822,C822)</f>
        <v>4</v>
      </c>
      <c r="E822" s="59" t="str">
        <f aca="false">A822&amp;"|"&amp;D822</f>
        <v>BLR-Kalyan Nagar Network|4</v>
      </c>
    </row>
    <row r="823" customFormat="false" ht="15" hidden="false" customHeight="false" outlineLevel="0" collapsed="false">
      <c r="A823" s="59" t="s">
        <v>228</v>
      </c>
      <c r="B823" s="59" t="s">
        <v>417</v>
      </c>
      <c r="C823" s="60" t="n">
        <v>175.78</v>
      </c>
      <c r="D823" s="59" t="n">
        <f aca="false">COUNTIFS($A$2:$A$1931,A823,$C$2:$C$1931,"&gt;"&amp;C823)+COUNTIFS($A$2:A823,A823,$C$2:C823,C823)</f>
        <v>5</v>
      </c>
      <c r="E823" s="59" t="str">
        <f aca="false">A823&amp;"|"&amp;D823</f>
        <v>BLR-Kalyan Nagar Network|5</v>
      </c>
    </row>
    <row r="824" customFormat="false" ht="15" hidden="false" customHeight="false" outlineLevel="0" collapsed="false">
      <c r="A824" s="59" t="s">
        <v>228</v>
      </c>
      <c r="B824" s="59" t="s">
        <v>423</v>
      </c>
      <c r="C824" s="60" t="n">
        <v>1.04</v>
      </c>
      <c r="D824" s="59" t="n">
        <f aca="false">COUNTIFS($A$2:$A$1931,A824,$C$2:$C$1931,"&gt;"&amp;C824)+COUNTIFS($A$2:A824,A824,$C$2:C824,C824)</f>
        <v>6</v>
      </c>
      <c r="E824" s="59" t="str">
        <f aca="false">A824&amp;"|"&amp;D824</f>
        <v>BLR-Kalyan Nagar Network|6</v>
      </c>
    </row>
    <row r="825" customFormat="false" ht="15" hidden="false" customHeight="false" outlineLevel="0" collapsed="false">
      <c r="A825" s="59" t="s">
        <v>74</v>
      </c>
      <c r="B825" s="59" t="s">
        <v>411</v>
      </c>
      <c r="C825" s="60" t="n">
        <v>18839.21</v>
      </c>
      <c r="D825" s="59" t="n">
        <f aca="false">COUNTIFS($A$2:$A$1931,A825,$C$2:$C$1931,"&gt;"&amp;C825)+COUNTIFS($A$2:A825,A825,$C$2:C825,C825)</f>
        <v>1</v>
      </c>
      <c r="E825" s="59" t="str">
        <f aca="false">A825&amp;"|"&amp;D825</f>
        <v>BLR-Kamakshipalya|1</v>
      </c>
    </row>
    <row r="826" customFormat="false" ht="15" hidden="false" customHeight="false" outlineLevel="0" collapsed="false">
      <c r="A826" s="59" t="s">
        <v>74</v>
      </c>
      <c r="B826" s="59" t="s">
        <v>431</v>
      </c>
      <c r="C826" s="60" t="n">
        <v>7433.53</v>
      </c>
      <c r="D826" s="59" t="n">
        <f aca="false">COUNTIFS($A$2:$A$1931,A826,$C$2:$C$1931,"&gt;"&amp;C826)+COUNTIFS($A$2:A826,A826,$C$2:C826,C826)</f>
        <v>2</v>
      </c>
      <c r="E826" s="59" t="str">
        <f aca="false">A826&amp;"|"&amp;D826</f>
        <v>BLR-Kamakshipalya|2</v>
      </c>
    </row>
    <row r="827" customFormat="false" ht="15" hidden="false" customHeight="false" outlineLevel="0" collapsed="false">
      <c r="A827" s="59" t="s">
        <v>74</v>
      </c>
      <c r="B827" s="59" t="s">
        <v>408</v>
      </c>
      <c r="C827" s="60" t="n">
        <v>5675.13</v>
      </c>
      <c r="D827" s="59" t="n">
        <f aca="false">COUNTIFS($A$2:$A$1931,A827,$C$2:$C$1931,"&gt;"&amp;C827)+COUNTIFS($A$2:A827,A827,$C$2:C827,C827)</f>
        <v>3</v>
      </c>
      <c r="E827" s="59" t="str">
        <f aca="false">A827&amp;"|"&amp;D827</f>
        <v>BLR-Kamakshipalya|3</v>
      </c>
    </row>
    <row r="828" customFormat="false" ht="15" hidden="false" customHeight="false" outlineLevel="0" collapsed="false">
      <c r="A828" s="59" t="s">
        <v>74</v>
      </c>
      <c r="B828" s="59" t="s">
        <v>435</v>
      </c>
      <c r="C828" s="60" t="n">
        <v>3011.68</v>
      </c>
      <c r="D828" s="59" t="n">
        <f aca="false">COUNTIFS($A$2:$A$1931,A828,$C$2:$C$1931,"&gt;"&amp;C828)+COUNTIFS($A$2:A828,A828,$C$2:C828,C828)</f>
        <v>4</v>
      </c>
      <c r="E828" s="59" t="str">
        <f aca="false">A828&amp;"|"&amp;D828</f>
        <v>BLR-Kamakshipalya|4</v>
      </c>
    </row>
    <row r="829" customFormat="false" ht="15" hidden="false" customHeight="false" outlineLevel="0" collapsed="false">
      <c r="A829" s="59" t="s">
        <v>74</v>
      </c>
      <c r="B829" s="59" t="s">
        <v>417</v>
      </c>
      <c r="C829" s="60" t="n">
        <v>2209.47</v>
      </c>
      <c r="D829" s="59" t="n">
        <f aca="false">COUNTIFS($A$2:$A$1931,A829,$C$2:$C$1931,"&gt;"&amp;C829)+COUNTIFS($A$2:A829,A829,$C$2:C829,C829)</f>
        <v>5</v>
      </c>
      <c r="E829" s="59" t="str">
        <f aca="false">A829&amp;"|"&amp;D829</f>
        <v>BLR-Kamakshipalya|5</v>
      </c>
    </row>
    <row r="830" customFormat="false" ht="15" hidden="false" customHeight="false" outlineLevel="0" collapsed="false">
      <c r="A830" s="59" t="s">
        <v>74</v>
      </c>
      <c r="B830" s="59" t="s">
        <v>407</v>
      </c>
      <c r="C830" s="60" t="n">
        <v>2152.54</v>
      </c>
      <c r="D830" s="59" t="n">
        <f aca="false">COUNTIFS($A$2:$A$1931,A830,$C$2:$C$1931,"&gt;"&amp;C830)+COUNTIFS($A$2:A830,A830,$C$2:C830,C830)</f>
        <v>6</v>
      </c>
      <c r="E830" s="59" t="str">
        <f aca="false">A830&amp;"|"&amp;D830</f>
        <v>BLR-Kamakshipalya|6</v>
      </c>
    </row>
    <row r="831" customFormat="false" ht="15" hidden="false" customHeight="false" outlineLevel="0" collapsed="false">
      <c r="A831" s="59" t="s">
        <v>74</v>
      </c>
      <c r="B831" s="59" t="s">
        <v>414</v>
      </c>
      <c r="C831" s="60" t="n">
        <v>1950.54</v>
      </c>
      <c r="D831" s="59" t="n">
        <f aca="false">COUNTIFS($A$2:$A$1931,A831,$C$2:$C$1931,"&gt;"&amp;C831)+COUNTIFS($A$2:A831,A831,$C$2:C831,C831)</f>
        <v>7</v>
      </c>
      <c r="E831" s="59" t="str">
        <f aca="false">A831&amp;"|"&amp;D831</f>
        <v>BLR-Kamakshipalya|7</v>
      </c>
    </row>
    <row r="832" customFormat="false" ht="15" hidden="false" customHeight="false" outlineLevel="0" collapsed="false">
      <c r="A832" s="59" t="s">
        <v>74</v>
      </c>
      <c r="B832" s="59" t="s">
        <v>413</v>
      </c>
      <c r="C832" s="60" t="n">
        <v>1326.33</v>
      </c>
      <c r="D832" s="59" t="n">
        <f aca="false">COUNTIFS($A$2:$A$1931,A832,$C$2:$C$1931,"&gt;"&amp;C832)+COUNTIFS($A$2:A832,A832,$C$2:C832,C832)</f>
        <v>8</v>
      </c>
      <c r="E832" s="59" t="str">
        <f aca="false">A832&amp;"|"&amp;D832</f>
        <v>BLR-Kamakshipalya|8</v>
      </c>
    </row>
    <row r="833" customFormat="false" ht="15" hidden="false" customHeight="false" outlineLevel="0" collapsed="false">
      <c r="A833" s="59" t="s">
        <v>74</v>
      </c>
      <c r="B833" s="59" t="s">
        <v>424</v>
      </c>
      <c r="C833" s="60" t="n">
        <v>1314.86</v>
      </c>
      <c r="D833" s="59" t="n">
        <f aca="false">COUNTIFS($A$2:$A$1931,A833,$C$2:$C$1931,"&gt;"&amp;C833)+COUNTIFS($A$2:A833,A833,$C$2:C833,C833)</f>
        <v>9</v>
      </c>
      <c r="E833" s="59" t="str">
        <f aca="false">A833&amp;"|"&amp;D833</f>
        <v>BLR-Kamakshipalya|9</v>
      </c>
    </row>
    <row r="834" customFormat="false" ht="15" hidden="false" customHeight="false" outlineLevel="0" collapsed="false">
      <c r="A834" s="59" t="s">
        <v>74</v>
      </c>
      <c r="B834" s="59" t="s">
        <v>416</v>
      </c>
      <c r="C834" s="60" t="n">
        <v>562.94</v>
      </c>
      <c r="D834" s="59" t="n">
        <f aca="false">COUNTIFS($A$2:$A$1931,A834,$C$2:$C$1931,"&gt;"&amp;C834)+COUNTIFS($A$2:A834,A834,$C$2:C834,C834)</f>
        <v>10</v>
      </c>
      <c r="E834" s="59" t="str">
        <f aca="false">A834&amp;"|"&amp;D834</f>
        <v>BLR-Kamakshipalya|10</v>
      </c>
    </row>
    <row r="835" customFormat="false" ht="15" hidden="false" customHeight="false" outlineLevel="0" collapsed="false">
      <c r="A835" s="59" t="s">
        <v>278</v>
      </c>
      <c r="B835" s="59" t="s">
        <v>410</v>
      </c>
      <c r="C835" s="60" t="n">
        <v>1518.64</v>
      </c>
      <c r="D835" s="59" t="n">
        <f aca="false">COUNTIFS($A$2:$A$1931,A835,$C$2:$C$1931,"&gt;"&amp;C835)+COUNTIFS($A$2:A835,A835,$C$2:C835,C835)</f>
        <v>1</v>
      </c>
      <c r="E835" s="59" t="str">
        <f aca="false">A835&amp;"|"&amp;D835</f>
        <v>BLR-Kambipura|1</v>
      </c>
    </row>
    <row r="836" customFormat="false" ht="15" hidden="false" customHeight="false" outlineLevel="0" collapsed="false">
      <c r="A836" s="59" t="s">
        <v>278</v>
      </c>
      <c r="B836" s="59" t="s">
        <v>417</v>
      </c>
      <c r="C836" s="60" t="n">
        <v>406.22</v>
      </c>
      <c r="D836" s="59" t="n">
        <f aca="false">COUNTIFS($A$2:$A$1931,A836,$C$2:$C$1931,"&gt;"&amp;C836)+COUNTIFS($A$2:A836,A836,$C$2:C836,C836)</f>
        <v>2</v>
      </c>
      <c r="E836" s="59" t="str">
        <f aca="false">A836&amp;"|"&amp;D836</f>
        <v>BLR-Kambipura|2</v>
      </c>
    </row>
    <row r="837" customFormat="false" ht="15" hidden="false" customHeight="false" outlineLevel="0" collapsed="false">
      <c r="A837" s="59" t="s">
        <v>278</v>
      </c>
      <c r="B837" s="59" t="s">
        <v>408</v>
      </c>
      <c r="C837" s="60" t="n">
        <v>232.17</v>
      </c>
      <c r="D837" s="59" t="n">
        <f aca="false">COUNTIFS($A$2:$A$1931,A837,$C$2:$C$1931,"&gt;"&amp;C837)+COUNTIFS($A$2:A837,A837,$C$2:C837,C837)</f>
        <v>3</v>
      </c>
      <c r="E837" s="59" t="str">
        <f aca="false">A837&amp;"|"&amp;D837</f>
        <v>BLR-Kambipura|3</v>
      </c>
    </row>
    <row r="838" customFormat="false" ht="15" hidden="false" customHeight="false" outlineLevel="0" collapsed="false">
      <c r="A838" s="59" t="s">
        <v>278</v>
      </c>
      <c r="B838" s="59" t="s">
        <v>412</v>
      </c>
      <c r="C838" s="60" t="n">
        <v>219.83</v>
      </c>
      <c r="D838" s="59" t="n">
        <f aca="false">COUNTIFS($A$2:$A$1931,A838,$C$2:$C$1931,"&gt;"&amp;C838)+COUNTIFS($A$2:A838,A838,$C$2:C838,C838)</f>
        <v>4</v>
      </c>
      <c r="E838" s="59" t="str">
        <f aca="false">A838&amp;"|"&amp;D838</f>
        <v>BLR-Kambipura|4</v>
      </c>
    </row>
    <row r="839" customFormat="false" ht="15" hidden="false" customHeight="false" outlineLevel="0" collapsed="false">
      <c r="A839" s="59" t="s">
        <v>278</v>
      </c>
      <c r="B839" s="59" t="s">
        <v>426</v>
      </c>
      <c r="C839" s="60" t="n">
        <v>30.21</v>
      </c>
      <c r="D839" s="59" t="n">
        <f aca="false">COUNTIFS($A$2:$A$1931,A839,$C$2:$C$1931,"&gt;"&amp;C839)+COUNTIFS($A$2:A839,A839,$C$2:C839,C839)</f>
        <v>5</v>
      </c>
      <c r="E839" s="59" t="str">
        <f aca="false">A839&amp;"|"&amp;D839</f>
        <v>BLR-Kambipura|5</v>
      </c>
    </row>
    <row r="840" customFormat="false" ht="15" hidden="false" customHeight="false" outlineLevel="0" collapsed="false">
      <c r="A840" s="59" t="s">
        <v>64</v>
      </c>
      <c r="B840" s="59" t="s">
        <v>407</v>
      </c>
      <c r="C840" s="60" t="n">
        <v>17307.56</v>
      </c>
      <c r="D840" s="59" t="n">
        <f aca="false">COUNTIFS($A$2:$A$1931,A840,$C$2:$C$1931,"&gt;"&amp;C840)+COUNTIFS($A$2:A840,A840,$C$2:C840,C840)</f>
        <v>1</v>
      </c>
      <c r="E840" s="59" t="str">
        <f aca="false">A840&amp;"|"&amp;D840</f>
        <v>BLR-Kannamangala|1</v>
      </c>
    </row>
    <row r="841" customFormat="false" ht="15" hidden="false" customHeight="false" outlineLevel="0" collapsed="false">
      <c r="A841" s="59" t="s">
        <v>64</v>
      </c>
      <c r="B841" s="59" t="s">
        <v>412</v>
      </c>
      <c r="C841" s="60" t="n">
        <v>11541.91</v>
      </c>
      <c r="D841" s="59" t="n">
        <f aca="false">COUNTIFS($A$2:$A$1931,A841,$C$2:$C$1931,"&gt;"&amp;C841)+COUNTIFS($A$2:A841,A841,$C$2:C841,C841)</f>
        <v>2</v>
      </c>
      <c r="E841" s="59" t="str">
        <f aca="false">A841&amp;"|"&amp;D841</f>
        <v>BLR-Kannamangala|2</v>
      </c>
    </row>
    <row r="842" customFormat="false" ht="15" hidden="false" customHeight="false" outlineLevel="0" collapsed="false">
      <c r="A842" s="59" t="s">
        <v>64</v>
      </c>
      <c r="B842" s="59" t="s">
        <v>420</v>
      </c>
      <c r="C842" s="60" t="n">
        <v>8834.48</v>
      </c>
      <c r="D842" s="59" t="n">
        <f aca="false">COUNTIFS($A$2:$A$1931,A842,$C$2:$C$1931,"&gt;"&amp;C842)+COUNTIFS($A$2:A842,A842,$C$2:C842,C842)</f>
        <v>3</v>
      </c>
      <c r="E842" s="59" t="str">
        <f aca="false">A842&amp;"|"&amp;D842</f>
        <v>BLR-Kannamangala|3</v>
      </c>
    </row>
    <row r="843" customFormat="false" ht="15" hidden="false" customHeight="false" outlineLevel="0" collapsed="false">
      <c r="A843" s="59" t="s">
        <v>64</v>
      </c>
      <c r="B843" s="59" t="s">
        <v>417</v>
      </c>
      <c r="C843" s="60" t="n">
        <v>4910.38</v>
      </c>
      <c r="D843" s="59" t="n">
        <f aca="false">COUNTIFS($A$2:$A$1931,A843,$C$2:$C$1931,"&gt;"&amp;C843)+COUNTIFS($A$2:A843,A843,$C$2:C843,C843)</f>
        <v>4</v>
      </c>
      <c r="E843" s="59" t="str">
        <f aca="false">A843&amp;"|"&amp;D843</f>
        <v>BLR-Kannamangala|4</v>
      </c>
    </row>
    <row r="844" customFormat="false" ht="15" hidden="false" customHeight="false" outlineLevel="0" collapsed="false">
      <c r="A844" s="59" t="s">
        <v>64</v>
      </c>
      <c r="B844" s="59" t="s">
        <v>416</v>
      </c>
      <c r="C844" s="60" t="n">
        <v>3040.46</v>
      </c>
      <c r="D844" s="59" t="n">
        <f aca="false">COUNTIFS($A$2:$A$1931,A844,$C$2:$C$1931,"&gt;"&amp;C844)+COUNTIFS($A$2:A844,A844,$C$2:C844,C844)</f>
        <v>5</v>
      </c>
      <c r="E844" s="59" t="str">
        <f aca="false">A844&amp;"|"&amp;D844</f>
        <v>BLR-Kannamangala|5</v>
      </c>
    </row>
    <row r="845" customFormat="false" ht="15" hidden="false" customHeight="false" outlineLevel="0" collapsed="false">
      <c r="A845" s="59" t="s">
        <v>64</v>
      </c>
      <c r="B845" s="59" t="s">
        <v>415</v>
      </c>
      <c r="C845" s="60" t="n">
        <v>2248.16</v>
      </c>
      <c r="D845" s="59" t="n">
        <f aca="false">COUNTIFS($A$2:$A$1931,A845,$C$2:$C$1931,"&gt;"&amp;C845)+COUNTIFS($A$2:A845,A845,$C$2:C845,C845)</f>
        <v>6</v>
      </c>
      <c r="E845" s="59" t="str">
        <f aca="false">A845&amp;"|"&amp;D845</f>
        <v>BLR-Kannamangala|6</v>
      </c>
    </row>
    <row r="846" customFormat="false" ht="15" hidden="false" customHeight="false" outlineLevel="0" collapsed="false">
      <c r="A846" s="59" t="s">
        <v>64</v>
      </c>
      <c r="B846" s="59" t="s">
        <v>426</v>
      </c>
      <c r="C846" s="60" t="n">
        <v>1675.03</v>
      </c>
      <c r="D846" s="59" t="n">
        <f aca="false">COUNTIFS($A$2:$A$1931,A846,$C$2:$C$1931,"&gt;"&amp;C846)+COUNTIFS($A$2:A846,A846,$C$2:C846,C846)</f>
        <v>7</v>
      </c>
      <c r="E846" s="59" t="str">
        <f aca="false">A846&amp;"|"&amp;D846</f>
        <v>BLR-Kannamangala|7</v>
      </c>
    </row>
    <row r="847" customFormat="false" ht="15" hidden="false" customHeight="false" outlineLevel="0" collapsed="false">
      <c r="A847" s="59" t="s">
        <v>64</v>
      </c>
      <c r="B847" s="59" t="s">
        <v>409</v>
      </c>
      <c r="C847" s="60" t="n">
        <v>718.73</v>
      </c>
      <c r="D847" s="59" t="n">
        <f aca="false">COUNTIFS($A$2:$A$1931,A847,$C$2:$C$1931,"&gt;"&amp;C847)+COUNTIFS($A$2:A847,A847,$C$2:C847,C847)</f>
        <v>8</v>
      </c>
      <c r="E847" s="59" t="str">
        <f aca="false">A847&amp;"|"&amp;D847</f>
        <v>BLR-Kannamangala|8</v>
      </c>
    </row>
    <row r="848" customFormat="false" ht="15" hidden="false" customHeight="false" outlineLevel="0" collapsed="false">
      <c r="A848" s="59" t="s">
        <v>64</v>
      </c>
      <c r="B848" s="59" t="s">
        <v>431</v>
      </c>
      <c r="C848" s="60" t="n">
        <v>582.12</v>
      </c>
      <c r="D848" s="59" t="n">
        <f aca="false">COUNTIFS($A$2:$A$1931,A848,$C$2:$C$1931,"&gt;"&amp;C848)+COUNTIFS($A$2:A848,A848,$C$2:C848,C848)</f>
        <v>9</v>
      </c>
      <c r="E848" s="59" t="str">
        <f aca="false">A848&amp;"|"&amp;D848</f>
        <v>BLR-Kannamangala|9</v>
      </c>
    </row>
    <row r="849" customFormat="false" ht="15" hidden="false" customHeight="false" outlineLevel="0" collapsed="false">
      <c r="A849" s="59" t="s">
        <v>64</v>
      </c>
      <c r="B849" s="59" t="s">
        <v>424</v>
      </c>
      <c r="C849" s="60" t="n">
        <v>268.73</v>
      </c>
      <c r="D849" s="59" t="n">
        <f aca="false">COUNTIFS($A$2:$A$1931,A849,$C$2:$C$1931,"&gt;"&amp;C849)+COUNTIFS($A$2:A849,A849,$C$2:C849,C849)</f>
        <v>10</v>
      </c>
      <c r="E849" s="59" t="str">
        <f aca="false">A849&amp;"|"&amp;D849</f>
        <v>BLR-Kannamangala|10</v>
      </c>
    </row>
    <row r="850" customFormat="false" ht="15" hidden="false" customHeight="false" outlineLevel="0" collapsed="false">
      <c r="A850" s="59" t="s">
        <v>64</v>
      </c>
      <c r="B850" s="59" t="s">
        <v>423</v>
      </c>
      <c r="C850" s="60" t="n">
        <v>212.91</v>
      </c>
      <c r="D850" s="59" t="n">
        <f aca="false">COUNTIFS($A$2:$A$1931,A850,$C$2:$C$1931,"&gt;"&amp;C850)+COUNTIFS($A$2:A850,A850,$C$2:C850,C850)</f>
        <v>11</v>
      </c>
      <c r="E850" s="59" t="str">
        <f aca="false">A850&amp;"|"&amp;D850</f>
        <v>BLR-Kannamangala|11</v>
      </c>
    </row>
    <row r="851" customFormat="false" ht="15" hidden="false" customHeight="false" outlineLevel="0" collapsed="false">
      <c r="A851" s="59" t="s">
        <v>247</v>
      </c>
      <c r="B851" s="59" t="s">
        <v>417</v>
      </c>
      <c r="C851" s="60" t="n">
        <v>4386.42</v>
      </c>
      <c r="D851" s="59" t="n">
        <f aca="false">COUNTIFS($A$2:$A$1931,A851,$C$2:$C$1931,"&gt;"&amp;C851)+COUNTIFS($A$2:A851,A851,$C$2:C851,C851)</f>
        <v>1</v>
      </c>
      <c r="E851" s="59" t="str">
        <f aca="false">A851&amp;"|"&amp;D851</f>
        <v>BLR-Kannika Nagar|1</v>
      </c>
    </row>
    <row r="852" customFormat="false" ht="15" hidden="false" customHeight="false" outlineLevel="0" collapsed="false">
      <c r="A852" s="59" t="s">
        <v>247</v>
      </c>
      <c r="B852" s="59" t="s">
        <v>412</v>
      </c>
      <c r="C852" s="60" t="n">
        <v>2904.01</v>
      </c>
      <c r="D852" s="59" t="n">
        <f aca="false">COUNTIFS($A$2:$A$1931,A852,$C$2:$C$1931,"&gt;"&amp;C852)+COUNTIFS($A$2:A852,A852,$C$2:C852,C852)</f>
        <v>2</v>
      </c>
      <c r="E852" s="59" t="str">
        <f aca="false">A852&amp;"|"&amp;D852</f>
        <v>BLR-Kannika Nagar|2</v>
      </c>
    </row>
    <row r="853" customFormat="false" ht="15" hidden="false" customHeight="false" outlineLevel="0" collapsed="false">
      <c r="A853" s="59" t="s">
        <v>247</v>
      </c>
      <c r="B853" s="59" t="s">
        <v>408</v>
      </c>
      <c r="C853" s="60" t="n">
        <v>2129.08</v>
      </c>
      <c r="D853" s="59" t="n">
        <f aca="false">COUNTIFS($A$2:$A$1931,A853,$C$2:$C$1931,"&gt;"&amp;C853)+COUNTIFS($A$2:A853,A853,$C$2:C853,C853)</f>
        <v>3</v>
      </c>
      <c r="E853" s="59" t="str">
        <f aca="false">A853&amp;"|"&amp;D853</f>
        <v>BLR-Kannika Nagar|3</v>
      </c>
    </row>
    <row r="854" customFormat="false" ht="15" hidden="false" customHeight="false" outlineLevel="0" collapsed="false">
      <c r="A854" s="59" t="s">
        <v>247</v>
      </c>
      <c r="B854" s="59" t="s">
        <v>415</v>
      </c>
      <c r="C854" s="60" t="n">
        <v>1620.77</v>
      </c>
      <c r="D854" s="59" t="n">
        <f aca="false">COUNTIFS($A$2:$A$1931,A854,$C$2:$C$1931,"&gt;"&amp;C854)+COUNTIFS($A$2:A854,A854,$C$2:C854,C854)</f>
        <v>4</v>
      </c>
      <c r="E854" s="59" t="str">
        <f aca="false">A854&amp;"|"&amp;D854</f>
        <v>BLR-Kannika Nagar|4</v>
      </c>
    </row>
    <row r="855" customFormat="false" ht="15" hidden="false" customHeight="false" outlineLevel="0" collapsed="false">
      <c r="A855" s="59" t="s">
        <v>247</v>
      </c>
      <c r="B855" s="59" t="s">
        <v>410</v>
      </c>
      <c r="C855" s="60" t="n">
        <v>766.94</v>
      </c>
      <c r="D855" s="59" t="n">
        <f aca="false">COUNTIFS($A$2:$A$1931,A855,$C$2:$C$1931,"&gt;"&amp;C855)+COUNTIFS($A$2:A855,A855,$C$2:C855,C855)</f>
        <v>5</v>
      </c>
      <c r="E855" s="59" t="str">
        <f aca="false">A855&amp;"|"&amp;D855</f>
        <v>BLR-Kannika Nagar|5</v>
      </c>
    </row>
    <row r="856" customFormat="false" ht="15" hidden="false" customHeight="false" outlineLevel="0" collapsed="false">
      <c r="A856" s="59" t="s">
        <v>189</v>
      </c>
      <c r="B856" s="59" t="s">
        <v>419</v>
      </c>
      <c r="C856" s="60" t="n">
        <v>2047.68</v>
      </c>
      <c r="D856" s="59" t="n">
        <f aca="false">COUNTIFS($A$2:$A$1931,A856,$C$2:$C$1931,"&gt;"&amp;C856)+COUNTIFS($A$2:A856,A856,$C$2:C856,C856)</f>
        <v>1</v>
      </c>
      <c r="E856" s="59" t="str">
        <f aca="false">A856&amp;"|"&amp;D856</f>
        <v>BLR-Kasavanahalli|1</v>
      </c>
    </row>
    <row r="857" customFormat="false" ht="15" hidden="false" customHeight="false" outlineLevel="0" collapsed="false">
      <c r="A857" s="59" t="s">
        <v>189</v>
      </c>
      <c r="B857" s="59" t="s">
        <v>420</v>
      </c>
      <c r="C857" s="60" t="n">
        <v>518.97</v>
      </c>
      <c r="D857" s="59" t="n">
        <f aca="false">COUNTIFS($A$2:$A$1931,A857,$C$2:$C$1931,"&gt;"&amp;C857)+COUNTIFS($A$2:A857,A857,$C$2:C857,C857)</f>
        <v>2</v>
      </c>
      <c r="E857" s="59" t="str">
        <f aca="false">A857&amp;"|"&amp;D857</f>
        <v>BLR-Kasavanahalli|2</v>
      </c>
    </row>
    <row r="858" customFormat="false" ht="15" hidden="false" customHeight="false" outlineLevel="0" collapsed="false">
      <c r="A858" s="59" t="s">
        <v>189</v>
      </c>
      <c r="B858" s="59" t="s">
        <v>415</v>
      </c>
      <c r="C858" s="60" t="n">
        <v>184.42</v>
      </c>
      <c r="D858" s="59" t="n">
        <f aca="false">COUNTIFS($A$2:$A$1931,A858,$C$2:$C$1931,"&gt;"&amp;C858)+COUNTIFS($A$2:A858,A858,$C$2:C858,C858)</f>
        <v>3</v>
      </c>
      <c r="E858" s="59" t="str">
        <f aca="false">A858&amp;"|"&amp;D858</f>
        <v>BLR-Kasavanahalli|3</v>
      </c>
    </row>
    <row r="859" customFormat="false" ht="15" hidden="false" customHeight="false" outlineLevel="0" collapsed="false">
      <c r="A859" s="59" t="s">
        <v>189</v>
      </c>
      <c r="B859" s="59" t="s">
        <v>416</v>
      </c>
      <c r="C859" s="60" t="n">
        <v>100.92</v>
      </c>
      <c r="D859" s="59" t="n">
        <f aca="false">COUNTIFS($A$2:$A$1931,A859,$C$2:$C$1931,"&gt;"&amp;C859)+COUNTIFS($A$2:A859,A859,$C$2:C859,C859)</f>
        <v>4</v>
      </c>
      <c r="E859" s="59" t="str">
        <f aca="false">A859&amp;"|"&amp;D859</f>
        <v>BLR-Kasavanahalli|4</v>
      </c>
    </row>
    <row r="860" customFormat="false" ht="15" hidden="false" customHeight="false" outlineLevel="0" collapsed="false">
      <c r="A860" s="59" t="s">
        <v>189</v>
      </c>
      <c r="B860" s="59" t="s">
        <v>409</v>
      </c>
      <c r="C860" s="60" t="n">
        <v>12.38</v>
      </c>
      <c r="D860" s="59" t="n">
        <f aca="false">COUNTIFS($A$2:$A$1931,A860,$C$2:$C$1931,"&gt;"&amp;C860)+COUNTIFS($A$2:A860,A860,$C$2:C860,C860)</f>
        <v>5</v>
      </c>
      <c r="E860" s="59" t="str">
        <f aca="false">A860&amp;"|"&amp;D860</f>
        <v>BLR-Kasavanahalli|5</v>
      </c>
    </row>
    <row r="861" customFormat="false" ht="15" hidden="false" customHeight="false" outlineLevel="0" collapsed="false">
      <c r="A861" s="59" t="s">
        <v>132</v>
      </c>
      <c r="B861" s="59" t="s">
        <v>414</v>
      </c>
      <c r="C861" s="60" t="n">
        <v>2020.67</v>
      </c>
      <c r="D861" s="59" t="n">
        <f aca="false">COUNTIFS($A$2:$A$1931,A861,$C$2:$C$1931,"&gt;"&amp;C861)+COUNTIFS($A$2:A861,A861,$C$2:C861,C861)</f>
        <v>1</v>
      </c>
      <c r="E861" s="59" t="str">
        <f aca="false">A861&amp;"|"&amp;D861</f>
        <v>BLR-Kasturinagar New|1</v>
      </c>
    </row>
    <row r="862" customFormat="false" ht="15" hidden="false" customHeight="false" outlineLevel="0" collapsed="false">
      <c r="A862" s="59" t="s">
        <v>132</v>
      </c>
      <c r="B862" s="59" t="s">
        <v>417</v>
      </c>
      <c r="C862" s="60" t="n">
        <v>1974.91</v>
      </c>
      <c r="D862" s="59" t="n">
        <f aca="false">COUNTIFS($A$2:$A$1931,A862,$C$2:$C$1931,"&gt;"&amp;C862)+COUNTIFS($A$2:A862,A862,$C$2:C862,C862)</f>
        <v>2</v>
      </c>
      <c r="E862" s="59" t="str">
        <f aca="false">A862&amp;"|"&amp;D862</f>
        <v>BLR-Kasturinagar New|2</v>
      </c>
    </row>
    <row r="863" customFormat="false" ht="15" hidden="false" customHeight="false" outlineLevel="0" collapsed="false">
      <c r="A863" s="59" t="s">
        <v>132</v>
      </c>
      <c r="B863" s="59" t="s">
        <v>424</v>
      </c>
      <c r="C863" s="60" t="n">
        <v>1856.77</v>
      </c>
      <c r="D863" s="59" t="n">
        <f aca="false">COUNTIFS($A$2:$A$1931,A863,$C$2:$C$1931,"&gt;"&amp;C863)+COUNTIFS($A$2:A863,A863,$C$2:C863,C863)</f>
        <v>3</v>
      </c>
      <c r="E863" s="59" t="str">
        <f aca="false">A863&amp;"|"&amp;D863</f>
        <v>BLR-Kasturinagar New|3</v>
      </c>
    </row>
    <row r="864" customFormat="false" ht="15" hidden="false" customHeight="false" outlineLevel="0" collapsed="false">
      <c r="A864" s="59" t="s">
        <v>132</v>
      </c>
      <c r="B864" s="59" t="s">
        <v>409</v>
      </c>
      <c r="C864" s="60" t="n">
        <v>1496.91</v>
      </c>
      <c r="D864" s="59" t="n">
        <f aca="false">COUNTIFS($A$2:$A$1931,A864,$C$2:$C$1931,"&gt;"&amp;C864)+COUNTIFS($A$2:A864,A864,$C$2:C864,C864)</f>
        <v>4</v>
      </c>
      <c r="E864" s="59" t="str">
        <f aca="false">A864&amp;"|"&amp;D864</f>
        <v>BLR-Kasturinagar New|4</v>
      </c>
    </row>
    <row r="865" customFormat="false" ht="15" hidden="false" customHeight="false" outlineLevel="0" collapsed="false">
      <c r="A865" s="59" t="s">
        <v>132</v>
      </c>
      <c r="B865" s="59" t="s">
        <v>413</v>
      </c>
      <c r="C865" s="60" t="n">
        <v>727.52</v>
      </c>
      <c r="D865" s="59" t="n">
        <f aca="false">COUNTIFS($A$2:$A$1931,A865,$C$2:$C$1931,"&gt;"&amp;C865)+COUNTIFS($A$2:A865,A865,$C$2:C865,C865)</f>
        <v>5</v>
      </c>
      <c r="E865" s="59" t="str">
        <f aca="false">A865&amp;"|"&amp;D865</f>
        <v>BLR-Kasturinagar New|5</v>
      </c>
    </row>
    <row r="866" customFormat="false" ht="15" hidden="false" customHeight="false" outlineLevel="0" collapsed="false">
      <c r="A866" s="59" t="s">
        <v>132</v>
      </c>
      <c r="B866" s="59" t="s">
        <v>410</v>
      </c>
      <c r="C866" s="60" t="n">
        <v>716.67</v>
      </c>
      <c r="D866" s="59" t="n">
        <f aca="false">COUNTIFS($A$2:$A$1931,A866,$C$2:$C$1931,"&gt;"&amp;C866)+COUNTIFS($A$2:A866,A866,$C$2:C866,C866)</f>
        <v>6</v>
      </c>
      <c r="E866" s="59" t="str">
        <f aca="false">A866&amp;"|"&amp;D866</f>
        <v>BLR-Kasturinagar New|6</v>
      </c>
    </row>
    <row r="867" customFormat="false" ht="15" hidden="false" customHeight="false" outlineLevel="0" collapsed="false">
      <c r="A867" s="59" t="s">
        <v>132</v>
      </c>
      <c r="B867" s="59" t="s">
        <v>420</v>
      </c>
      <c r="C867" s="60" t="n">
        <v>612.2</v>
      </c>
      <c r="D867" s="59" t="n">
        <f aca="false">COUNTIFS($A$2:$A$1931,A867,$C$2:$C$1931,"&gt;"&amp;C867)+COUNTIFS($A$2:A867,A867,$C$2:C867,C867)</f>
        <v>7</v>
      </c>
      <c r="E867" s="59" t="str">
        <f aca="false">A867&amp;"|"&amp;D867</f>
        <v>BLR-Kasturinagar New|7</v>
      </c>
    </row>
    <row r="868" customFormat="false" ht="15" hidden="false" customHeight="false" outlineLevel="0" collapsed="false">
      <c r="A868" s="59" t="s">
        <v>132</v>
      </c>
      <c r="B868" s="59" t="s">
        <v>431</v>
      </c>
      <c r="C868" s="60" t="n">
        <v>100.62</v>
      </c>
      <c r="D868" s="59" t="n">
        <f aca="false">COUNTIFS($A$2:$A$1931,A868,$C$2:$C$1931,"&gt;"&amp;C868)+COUNTIFS($A$2:A868,A868,$C$2:C868,C868)</f>
        <v>8</v>
      </c>
      <c r="E868" s="59" t="str">
        <f aca="false">A868&amp;"|"&amp;D868</f>
        <v>BLR-Kasturinagar New|8</v>
      </c>
    </row>
    <row r="869" customFormat="false" ht="15" hidden="false" customHeight="false" outlineLevel="0" collapsed="false">
      <c r="A869" s="59" t="s">
        <v>132</v>
      </c>
      <c r="B869" s="59" t="s">
        <v>419</v>
      </c>
      <c r="C869" s="60" t="n">
        <v>24.5</v>
      </c>
      <c r="D869" s="59" t="n">
        <f aca="false">COUNTIFS($A$2:$A$1931,A869,$C$2:$C$1931,"&gt;"&amp;C869)+COUNTIFS($A$2:A869,A869,$C$2:C869,C869)</f>
        <v>9</v>
      </c>
      <c r="E869" s="59" t="str">
        <f aca="false">A869&amp;"|"&amp;D869</f>
        <v>BLR-Kasturinagar New|9</v>
      </c>
    </row>
    <row r="870" customFormat="false" ht="15" hidden="false" customHeight="false" outlineLevel="0" collapsed="false">
      <c r="A870" s="59" t="s">
        <v>132</v>
      </c>
      <c r="B870" s="59" t="s">
        <v>416</v>
      </c>
      <c r="C870" s="60" t="n">
        <v>8.43</v>
      </c>
      <c r="D870" s="59" t="n">
        <f aca="false">COUNTIFS($A$2:$A$1931,A870,$C$2:$C$1931,"&gt;"&amp;C870)+COUNTIFS($A$2:A870,A870,$C$2:C870,C870)</f>
        <v>10</v>
      </c>
      <c r="E870" s="59" t="str">
        <f aca="false">A870&amp;"|"&amp;D870</f>
        <v>BLR-Kasturinagar New|10</v>
      </c>
    </row>
    <row r="871" customFormat="false" ht="15" hidden="false" customHeight="false" outlineLevel="0" collapsed="false">
      <c r="A871" s="59" t="s">
        <v>143</v>
      </c>
      <c r="B871" s="59" t="s">
        <v>419</v>
      </c>
      <c r="C871" s="60" t="n">
        <v>9272.35</v>
      </c>
      <c r="D871" s="59" t="n">
        <f aca="false">COUNTIFS($A$2:$A$1931,A871,$C$2:$C$1931,"&gt;"&amp;C871)+COUNTIFS($A$2:A871,A871,$C$2:C871,C871)</f>
        <v>1</v>
      </c>
      <c r="E871" s="59" t="str">
        <f aca="false">A871&amp;"|"&amp;D871</f>
        <v>BLR-Kengeri|1</v>
      </c>
    </row>
    <row r="872" customFormat="false" ht="15" hidden="false" customHeight="false" outlineLevel="0" collapsed="false">
      <c r="A872" s="59" t="s">
        <v>143</v>
      </c>
      <c r="B872" s="59" t="s">
        <v>426</v>
      </c>
      <c r="C872" s="60" t="n">
        <v>1175.8</v>
      </c>
      <c r="D872" s="59" t="n">
        <f aca="false">COUNTIFS($A$2:$A$1931,A872,$C$2:$C$1931,"&gt;"&amp;C872)+COUNTIFS($A$2:A872,A872,$C$2:C872,C872)</f>
        <v>2</v>
      </c>
      <c r="E872" s="59" t="str">
        <f aca="false">A872&amp;"|"&amp;D872</f>
        <v>BLR-Kengeri|2</v>
      </c>
    </row>
    <row r="873" customFormat="false" ht="15" hidden="false" customHeight="false" outlineLevel="0" collapsed="false">
      <c r="A873" s="59" t="s">
        <v>143</v>
      </c>
      <c r="B873" s="59" t="s">
        <v>408</v>
      </c>
      <c r="C873" s="60" t="n">
        <v>1089.82</v>
      </c>
      <c r="D873" s="59" t="n">
        <f aca="false">COUNTIFS($A$2:$A$1931,A873,$C$2:$C$1931,"&gt;"&amp;C873)+COUNTIFS($A$2:A873,A873,$C$2:C873,C873)</f>
        <v>3</v>
      </c>
      <c r="E873" s="59" t="str">
        <f aca="false">A873&amp;"|"&amp;D873</f>
        <v>BLR-Kengeri|3</v>
      </c>
    </row>
    <row r="874" customFormat="false" ht="15" hidden="false" customHeight="false" outlineLevel="0" collapsed="false">
      <c r="A874" s="59" t="s">
        <v>143</v>
      </c>
      <c r="B874" s="59" t="s">
        <v>420</v>
      </c>
      <c r="C874" s="60" t="n">
        <v>984.46</v>
      </c>
      <c r="D874" s="59" t="n">
        <f aca="false">COUNTIFS($A$2:$A$1931,A874,$C$2:$C$1931,"&gt;"&amp;C874)+COUNTIFS($A$2:A874,A874,$C$2:C874,C874)</f>
        <v>4</v>
      </c>
      <c r="E874" s="59" t="str">
        <f aca="false">A874&amp;"|"&amp;D874</f>
        <v>BLR-Kengeri|4</v>
      </c>
    </row>
    <row r="875" customFormat="false" ht="15" hidden="false" customHeight="false" outlineLevel="0" collapsed="false">
      <c r="A875" s="59" t="s">
        <v>143</v>
      </c>
      <c r="B875" s="59" t="s">
        <v>417</v>
      </c>
      <c r="C875" s="60" t="n">
        <v>759.27</v>
      </c>
      <c r="D875" s="59" t="n">
        <f aca="false">COUNTIFS($A$2:$A$1931,A875,$C$2:$C$1931,"&gt;"&amp;C875)+COUNTIFS($A$2:A875,A875,$C$2:C875,C875)</f>
        <v>5</v>
      </c>
      <c r="E875" s="59" t="str">
        <f aca="false">A875&amp;"|"&amp;D875</f>
        <v>BLR-Kengeri|5</v>
      </c>
    </row>
    <row r="876" customFormat="false" ht="15" hidden="false" customHeight="false" outlineLevel="0" collapsed="false">
      <c r="A876" s="59" t="s">
        <v>143</v>
      </c>
      <c r="B876" s="59" t="s">
        <v>424</v>
      </c>
      <c r="C876" s="60" t="n">
        <v>521.76</v>
      </c>
      <c r="D876" s="59" t="n">
        <f aca="false">COUNTIFS($A$2:$A$1931,A876,$C$2:$C$1931,"&gt;"&amp;C876)+COUNTIFS($A$2:A876,A876,$C$2:C876,C876)</f>
        <v>6</v>
      </c>
      <c r="E876" s="59" t="str">
        <f aca="false">A876&amp;"|"&amp;D876</f>
        <v>BLR-Kengeri|6</v>
      </c>
    </row>
    <row r="877" customFormat="false" ht="15" hidden="false" customHeight="false" outlineLevel="0" collapsed="false">
      <c r="A877" s="59" t="s">
        <v>143</v>
      </c>
      <c r="B877" s="59" t="s">
        <v>418</v>
      </c>
      <c r="C877" s="60" t="n">
        <v>91.09</v>
      </c>
      <c r="D877" s="59" t="n">
        <f aca="false">COUNTIFS($A$2:$A$1931,A877,$C$2:$C$1931,"&gt;"&amp;C877)+COUNTIFS($A$2:A877,A877,$C$2:C877,C877)</f>
        <v>7</v>
      </c>
      <c r="E877" s="59" t="str">
        <f aca="false">A877&amp;"|"&amp;D877</f>
        <v>BLR-Kengeri|7</v>
      </c>
    </row>
    <row r="878" customFormat="false" ht="15" hidden="false" customHeight="false" outlineLevel="0" collapsed="false">
      <c r="A878" s="59" t="s">
        <v>60</v>
      </c>
      <c r="B878" s="59" t="s">
        <v>420</v>
      </c>
      <c r="C878" s="60" t="n">
        <v>23765.23</v>
      </c>
      <c r="D878" s="59" t="n">
        <f aca="false">COUNTIFS($A$2:$A$1931,A878,$C$2:$C$1931,"&gt;"&amp;C878)+COUNTIFS($A$2:A878,A878,$C$2:C878,C878)</f>
        <v>1</v>
      </c>
      <c r="E878" s="59" t="str">
        <f aca="false">A878&amp;"|"&amp;D878</f>
        <v>BLR-Kogilu Road|1</v>
      </c>
    </row>
    <row r="879" customFormat="false" ht="15" hidden="false" customHeight="false" outlineLevel="0" collapsed="false">
      <c r="A879" s="59" t="s">
        <v>60</v>
      </c>
      <c r="B879" s="59" t="s">
        <v>408</v>
      </c>
      <c r="C879" s="60" t="n">
        <v>5184.08</v>
      </c>
      <c r="D879" s="59" t="n">
        <f aca="false">COUNTIFS($A$2:$A$1931,A879,$C$2:$C$1931,"&gt;"&amp;C879)+COUNTIFS($A$2:A879,A879,$C$2:C879,C879)</f>
        <v>2</v>
      </c>
      <c r="E879" s="59" t="str">
        <f aca="false">A879&amp;"|"&amp;D879</f>
        <v>BLR-Kogilu Road|2</v>
      </c>
    </row>
    <row r="880" customFormat="false" ht="15" hidden="false" customHeight="false" outlineLevel="0" collapsed="false">
      <c r="A880" s="59" t="s">
        <v>60</v>
      </c>
      <c r="B880" s="59" t="s">
        <v>426</v>
      </c>
      <c r="C880" s="60" t="n">
        <v>3426.47</v>
      </c>
      <c r="D880" s="59" t="n">
        <f aca="false">COUNTIFS($A$2:$A$1931,A880,$C$2:$C$1931,"&gt;"&amp;C880)+COUNTIFS($A$2:A880,A880,$C$2:C880,C880)</f>
        <v>3</v>
      </c>
      <c r="E880" s="59" t="str">
        <f aca="false">A880&amp;"|"&amp;D880</f>
        <v>BLR-Kogilu Road|3</v>
      </c>
    </row>
    <row r="881" customFormat="false" ht="15" hidden="false" customHeight="false" outlineLevel="0" collapsed="false">
      <c r="A881" s="59" t="s">
        <v>60</v>
      </c>
      <c r="B881" s="59" t="s">
        <v>415</v>
      </c>
      <c r="C881" s="60" t="n">
        <v>3381.5</v>
      </c>
      <c r="D881" s="59" t="n">
        <f aca="false">COUNTIFS($A$2:$A$1931,A881,$C$2:$C$1931,"&gt;"&amp;C881)+COUNTIFS($A$2:A881,A881,$C$2:C881,C881)</f>
        <v>4</v>
      </c>
      <c r="E881" s="59" t="str">
        <f aca="false">A881&amp;"|"&amp;D881</f>
        <v>BLR-Kogilu Road|4</v>
      </c>
    </row>
    <row r="882" customFormat="false" ht="15" hidden="false" customHeight="false" outlineLevel="0" collapsed="false">
      <c r="A882" s="59" t="s">
        <v>60</v>
      </c>
      <c r="B882" s="59" t="s">
        <v>418</v>
      </c>
      <c r="C882" s="60" t="n">
        <v>1475.29</v>
      </c>
      <c r="D882" s="59" t="n">
        <f aca="false">COUNTIFS($A$2:$A$1931,A882,$C$2:$C$1931,"&gt;"&amp;C882)+COUNTIFS($A$2:A882,A882,$C$2:C882,C882)</f>
        <v>5</v>
      </c>
      <c r="E882" s="59" t="str">
        <f aca="false">A882&amp;"|"&amp;D882</f>
        <v>BLR-Kogilu Road|5</v>
      </c>
    </row>
    <row r="883" customFormat="false" ht="15" hidden="false" customHeight="false" outlineLevel="0" collapsed="false">
      <c r="A883" s="59" t="s">
        <v>60</v>
      </c>
      <c r="B883" s="59" t="s">
        <v>417</v>
      </c>
      <c r="C883" s="60" t="n">
        <v>1219.85</v>
      </c>
      <c r="D883" s="59" t="n">
        <f aca="false">COUNTIFS($A$2:$A$1931,A883,$C$2:$C$1931,"&gt;"&amp;C883)+COUNTIFS($A$2:A883,A883,$C$2:C883,C883)</f>
        <v>6</v>
      </c>
      <c r="E883" s="59" t="str">
        <f aca="false">A883&amp;"|"&amp;D883</f>
        <v>BLR-Kogilu Road|6</v>
      </c>
    </row>
    <row r="884" customFormat="false" ht="15" hidden="false" customHeight="false" outlineLevel="0" collapsed="false">
      <c r="A884" s="59" t="s">
        <v>60</v>
      </c>
      <c r="B884" s="59" t="s">
        <v>410</v>
      </c>
      <c r="C884" s="60" t="n">
        <v>1157.02</v>
      </c>
      <c r="D884" s="59" t="n">
        <f aca="false">COUNTIFS($A$2:$A$1931,A884,$C$2:$C$1931,"&gt;"&amp;C884)+COUNTIFS($A$2:A884,A884,$C$2:C884,C884)</f>
        <v>7</v>
      </c>
      <c r="E884" s="59" t="str">
        <f aca="false">A884&amp;"|"&amp;D884</f>
        <v>BLR-Kogilu Road|7</v>
      </c>
    </row>
    <row r="885" customFormat="false" ht="15" hidden="false" customHeight="false" outlineLevel="0" collapsed="false">
      <c r="A885" s="59" t="s">
        <v>60</v>
      </c>
      <c r="B885" s="59" t="s">
        <v>431</v>
      </c>
      <c r="C885" s="60" t="n">
        <v>717.37</v>
      </c>
      <c r="D885" s="59" t="n">
        <f aca="false">COUNTIFS($A$2:$A$1931,A885,$C$2:$C$1931,"&gt;"&amp;C885)+COUNTIFS($A$2:A885,A885,$C$2:C885,C885)</f>
        <v>8</v>
      </c>
      <c r="E885" s="59" t="str">
        <f aca="false">A885&amp;"|"&amp;D885</f>
        <v>BLR-Kogilu Road|8</v>
      </c>
    </row>
    <row r="886" customFormat="false" ht="15" hidden="false" customHeight="false" outlineLevel="0" collapsed="false">
      <c r="A886" s="59" t="s">
        <v>60</v>
      </c>
      <c r="B886" s="59" t="s">
        <v>423</v>
      </c>
      <c r="C886" s="60" t="n">
        <v>592.1</v>
      </c>
      <c r="D886" s="59" t="n">
        <f aca="false">COUNTIFS($A$2:$A$1931,A886,$C$2:$C$1931,"&gt;"&amp;C886)+COUNTIFS($A$2:A886,A886,$C$2:C886,C886)</f>
        <v>9</v>
      </c>
      <c r="E886" s="59" t="str">
        <f aca="false">A886&amp;"|"&amp;D886</f>
        <v>BLR-Kogilu Road|9</v>
      </c>
    </row>
    <row r="887" customFormat="false" ht="15" hidden="false" customHeight="false" outlineLevel="0" collapsed="false">
      <c r="A887" s="59" t="s">
        <v>60</v>
      </c>
      <c r="B887" s="59" t="s">
        <v>409</v>
      </c>
      <c r="C887" s="60" t="n">
        <v>337.83</v>
      </c>
      <c r="D887" s="59" t="n">
        <f aca="false">COUNTIFS($A$2:$A$1931,A887,$C$2:$C$1931,"&gt;"&amp;C887)+COUNTIFS($A$2:A887,A887,$C$2:C887,C887)</f>
        <v>10</v>
      </c>
      <c r="E887" s="59" t="str">
        <f aca="false">A887&amp;"|"&amp;D887</f>
        <v>BLR-Kogilu Road|10</v>
      </c>
    </row>
    <row r="888" customFormat="false" ht="15" hidden="false" customHeight="false" outlineLevel="0" collapsed="false">
      <c r="A888" s="59" t="s">
        <v>60</v>
      </c>
      <c r="B888" s="59" t="s">
        <v>413</v>
      </c>
      <c r="C888" s="60" t="n">
        <v>215.3</v>
      </c>
      <c r="D888" s="59" t="n">
        <f aca="false">COUNTIFS($A$2:$A$1931,A888,$C$2:$C$1931,"&gt;"&amp;C888)+COUNTIFS($A$2:A888,A888,$C$2:C888,C888)</f>
        <v>11</v>
      </c>
      <c r="E888" s="59" t="str">
        <f aca="false">A888&amp;"|"&amp;D888</f>
        <v>BLR-Kogilu Road|11</v>
      </c>
    </row>
    <row r="889" customFormat="false" ht="15" hidden="false" customHeight="false" outlineLevel="0" collapsed="false">
      <c r="A889" s="59" t="s">
        <v>60</v>
      </c>
      <c r="B889" s="59" t="s">
        <v>412</v>
      </c>
      <c r="C889" s="60" t="n">
        <v>93.87</v>
      </c>
      <c r="D889" s="59" t="n">
        <f aca="false">COUNTIFS($A$2:$A$1931,A889,$C$2:$C$1931,"&gt;"&amp;C889)+COUNTIFS($A$2:A889,A889,$C$2:C889,C889)</f>
        <v>12</v>
      </c>
      <c r="E889" s="59" t="str">
        <f aca="false">A889&amp;"|"&amp;D889</f>
        <v>BLR-Kogilu Road|12</v>
      </c>
    </row>
    <row r="890" customFormat="false" ht="15" hidden="false" customHeight="false" outlineLevel="0" collapsed="false">
      <c r="A890" s="59" t="s">
        <v>66</v>
      </c>
      <c r="B890" s="59" t="s">
        <v>408</v>
      </c>
      <c r="C890" s="60" t="n">
        <v>9596.34</v>
      </c>
      <c r="D890" s="59" t="n">
        <f aca="false">COUNTIFS($A$2:$A$1931,A890,$C$2:$C$1931,"&gt;"&amp;C890)+COUNTIFS($A$2:A890,A890,$C$2:C890,C890)</f>
        <v>1</v>
      </c>
      <c r="E890" s="59" t="str">
        <f aca="false">A890&amp;"|"&amp;D890</f>
        <v>BLR-Kothnur New|1</v>
      </c>
    </row>
    <row r="891" customFormat="false" ht="15" hidden="false" customHeight="false" outlineLevel="0" collapsed="false">
      <c r="A891" s="59" t="s">
        <v>66</v>
      </c>
      <c r="B891" s="59" t="s">
        <v>415</v>
      </c>
      <c r="C891" s="60" t="n">
        <v>7609.25</v>
      </c>
      <c r="D891" s="59" t="n">
        <f aca="false">COUNTIFS($A$2:$A$1931,A891,$C$2:$C$1931,"&gt;"&amp;C891)+COUNTIFS($A$2:A891,A891,$C$2:C891,C891)</f>
        <v>2</v>
      </c>
      <c r="E891" s="59" t="str">
        <f aca="false">A891&amp;"|"&amp;D891</f>
        <v>BLR-Kothnur New|2</v>
      </c>
    </row>
    <row r="892" customFormat="false" ht="15" hidden="false" customHeight="false" outlineLevel="0" collapsed="false">
      <c r="A892" s="59" t="s">
        <v>66</v>
      </c>
      <c r="B892" s="59" t="s">
        <v>424</v>
      </c>
      <c r="C892" s="60" t="n">
        <v>1919.97</v>
      </c>
      <c r="D892" s="59" t="n">
        <f aca="false">COUNTIFS($A$2:$A$1931,A892,$C$2:$C$1931,"&gt;"&amp;C892)+COUNTIFS($A$2:A892,A892,$C$2:C892,C892)</f>
        <v>3</v>
      </c>
      <c r="E892" s="59" t="str">
        <f aca="false">A892&amp;"|"&amp;D892</f>
        <v>BLR-Kothnur New|3</v>
      </c>
    </row>
    <row r="893" customFormat="false" ht="15" hidden="false" customHeight="false" outlineLevel="0" collapsed="false">
      <c r="A893" s="59" t="s">
        <v>66</v>
      </c>
      <c r="B893" s="59" t="s">
        <v>409</v>
      </c>
      <c r="C893" s="60" t="n">
        <v>1894.78</v>
      </c>
      <c r="D893" s="59" t="n">
        <f aca="false">COUNTIFS($A$2:$A$1931,A893,$C$2:$C$1931,"&gt;"&amp;C893)+COUNTIFS($A$2:A893,A893,$C$2:C893,C893)</f>
        <v>4</v>
      </c>
      <c r="E893" s="59" t="str">
        <f aca="false">A893&amp;"|"&amp;D893</f>
        <v>BLR-Kothnur New|4</v>
      </c>
    </row>
    <row r="894" customFormat="false" ht="15" hidden="false" customHeight="false" outlineLevel="0" collapsed="false">
      <c r="A894" s="59" t="s">
        <v>66</v>
      </c>
      <c r="B894" s="59" t="s">
        <v>410</v>
      </c>
      <c r="C894" s="60" t="n">
        <v>1713.67</v>
      </c>
      <c r="D894" s="59" t="n">
        <f aca="false">COUNTIFS($A$2:$A$1931,A894,$C$2:$C$1931,"&gt;"&amp;C894)+COUNTIFS($A$2:A894,A894,$C$2:C894,C894)</f>
        <v>5</v>
      </c>
      <c r="E894" s="59" t="str">
        <f aca="false">A894&amp;"|"&amp;D894</f>
        <v>BLR-Kothnur New|5</v>
      </c>
    </row>
    <row r="895" customFormat="false" ht="15" hidden="false" customHeight="false" outlineLevel="0" collapsed="false">
      <c r="A895" s="59" t="s">
        <v>66</v>
      </c>
      <c r="B895" s="59" t="s">
        <v>413</v>
      </c>
      <c r="C895" s="60" t="n">
        <v>1540.95</v>
      </c>
      <c r="D895" s="59" t="n">
        <f aca="false">COUNTIFS($A$2:$A$1931,A895,$C$2:$C$1931,"&gt;"&amp;C895)+COUNTIFS($A$2:A895,A895,$C$2:C895,C895)</f>
        <v>6</v>
      </c>
      <c r="E895" s="59" t="str">
        <f aca="false">A895&amp;"|"&amp;D895</f>
        <v>BLR-Kothnur New|6</v>
      </c>
    </row>
    <row r="896" customFormat="false" ht="15" hidden="false" customHeight="false" outlineLevel="0" collapsed="false">
      <c r="A896" s="59" t="s">
        <v>66</v>
      </c>
      <c r="B896" s="59" t="s">
        <v>431</v>
      </c>
      <c r="C896" s="60" t="n">
        <v>1536.36</v>
      </c>
      <c r="D896" s="59" t="n">
        <f aca="false">COUNTIFS($A$2:$A$1931,A896,$C$2:$C$1931,"&gt;"&amp;C896)+COUNTIFS($A$2:A896,A896,$C$2:C896,C896)</f>
        <v>7</v>
      </c>
      <c r="E896" s="59" t="str">
        <f aca="false">A896&amp;"|"&amp;D896</f>
        <v>BLR-Kothnur New|7</v>
      </c>
    </row>
    <row r="897" customFormat="false" ht="15" hidden="false" customHeight="false" outlineLevel="0" collapsed="false">
      <c r="A897" s="59" t="s">
        <v>66</v>
      </c>
      <c r="B897" s="59" t="s">
        <v>418</v>
      </c>
      <c r="C897" s="60" t="n">
        <v>1212.11</v>
      </c>
      <c r="D897" s="59" t="n">
        <f aca="false">COUNTIFS($A$2:$A$1931,A897,$C$2:$C$1931,"&gt;"&amp;C897)+COUNTIFS($A$2:A897,A897,$C$2:C897,C897)</f>
        <v>8</v>
      </c>
      <c r="E897" s="59" t="str">
        <f aca="false">A897&amp;"|"&amp;D897</f>
        <v>BLR-Kothnur New|8</v>
      </c>
    </row>
    <row r="898" customFormat="false" ht="15" hidden="false" customHeight="false" outlineLevel="0" collapsed="false">
      <c r="A898" s="59" t="s">
        <v>66</v>
      </c>
      <c r="B898" s="59" t="s">
        <v>417</v>
      </c>
      <c r="C898" s="60" t="n">
        <v>1025.34</v>
      </c>
      <c r="D898" s="59" t="n">
        <f aca="false">COUNTIFS($A$2:$A$1931,A898,$C$2:$C$1931,"&gt;"&amp;C898)+COUNTIFS($A$2:A898,A898,$C$2:C898,C898)</f>
        <v>9</v>
      </c>
      <c r="E898" s="59" t="str">
        <f aca="false">A898&amp;"|"&amp;D898</f>
        <v>BLR-Kothnur New|9</v>
      </c>
    </row>
    <row r="899" customFormat="false" ht="15" hidden="false" customHeight="false" outlineLevel="0" collapsed="false">
      <c r="A899" s="59" t="s">
        <v>66</v>
      </c>
      <c r="B899" s="59" t="s">
        <v>412</v>
      </c>
      <c r="C899" s="60" t="n">
        <v>269.09</v>
      </c>
      <c r="D899" s="59" t="n">
        <f aca="false">COUNTIFS($A$2:$A$1931,A899,$C$2:$C$1931,"&gt;"&amp;C899)+COUNTIFS($A$2:A899,A899,$C$2:C899,C899)</f>
        <v>10</v>
      </c>
      <c r="E899" s="59" t="str">
        <f aca="false">A899&amp;"|"&amp;D899</f>
        <v>BLR-Kothnur New|10</v>
      </c>
    </row>
    <row r="900" customFormat="false" ht="15" hidden="false" customHeight="false" outlineLevel="0" collapsed="false">
      <c r="A900" s="59" t="s">
        <v>66</v>
      </c>
      <c r="B900" s="59" t="s">
        <v>420</v>
      </c>
      <c r="C900" s="60" t="n">
        <v>140.51</v>
      </c>
      <c r="D900" s="59" t="n">
        <f aca="false">COUNTIFS($A$2:$A$1931,A900,$C$2:$C$1931,"&gt;"&amp;C900)+COUNTIFS($A$2:A900,A900,$C$2:C900,C900)</f>
        <v>11</v>
      </c>
      <c r="E900" s="59" t="str">
        <f aca="false">A900&amp;"|"&amp;D900</f>
        <v>BLR-Kothnur New|11</v>
      </c>
    </row>
    <row r="901" customFormat="false" ht="15" hidden="false" customHeight="false" outlineLevel="0" collapsed="false">
      <c r="A901" s="59" t="s">
        <v>47</v>
      </c>
      <c r="B901" s="59" t="s">
        <v>413</v>
      </c>
      <c r="C901" s="60" t="n">
        <v>21753.19</v>
      </c>
      <c r="D901" s="59" t="n">
        <f aca="false">COUNTIFS($A$2:$A$1931,A901,$C$2:$C$1931,"&gt;"&amp;C901)+COUNTIFS($A$2:A901,A901,$C$2:C901,C901)</f>
        <v>1</v>
      </c>
      <c r="E901" s="59" t="str">
        <f aca="false">A901&amp;"|"&amp;D901</f>
        <v>BLR-Kudlu|1</v>
      </c>
    </row>
    <row r="902" customFormat="false" ht="15" hidden="false" customHeight="false" outlineLevel="0" collapsed="false">
      <c r="A902" s="59" t="s">
        <v>47</v>
      </c>
      <c r="B902" s="59" t="s">
        <v>418</v>
      </c>
      <c r="C902" s="60" t="n">
        <v>9524.08</v>
      </c>
      <c r="D902" s="59" t="n">
        <f aca="false">COUNTIFS($A$2:$A$1931,A902,$C$2:$C$1931,"&gt;"&amp;C902)+COUNTIFS($A$2:A902,A902,$C$2:C902,C902)</f>
        <v>2</v>
      </c>
      <c r="E902" s="59" t="str">
        <f aca="false">A902&amp;"|"&amp;D902</f>
        <v>BLR-Kudlu|2</v>
      </c>
    </row>
    <row r="903" customFormat="false" ht="15" hidden="false" customHeight="false" outlineLevel="0" collapsed="false">
      <c r="A903" s="59" t="s">
        <v>47</v>
      </c>
      <c r="B903" s="59" t="s">
        <v>410</v>
      </c>
      <c r="C903" s="60" t="n">
        <v>2828.67</v>
      </c>
      <c r="D903" s="59" t="n">
        <f aca="false">COUNTIFS($A$2:$A$1931,A903,$C$2:$C$1931,"&gt;"&amp;C903)+COUNTIFS($A$2:A903,A903,$C$2:C903,C903)</f>
        <v>3</v>
      </c>
      <c r="E903" s="59" t="str">
        <f aca="false">A903&amp;"|"&amp;D903</f>
        <v>BLR-Kudlu|3</v>
      </c>
    </row>
    <row r="904" customFormat="false" ht="15" hidden="false" customHeight="false" outlineLevel="0" collapsed="false">
      <c r="A904" s="59" t="s">
        <v>47</v>
      </c>
      <c r="B904" s="59" t="s">
        <v>424</v>
      </c>
      <c r="C904" s="60" t="n">
        <v>2617.65</v>
      </c>
      <c r="D904" s="59" t="n">
        <f aca="false">COUNTIFS($A$2:$A$1931,A904,$C$2:$C$1931,"&gt;"&amp;C904)+COUNTIFS($A$2:A904,A904,$C$2:C904,C904)</f>
        <v>4</v>
      </c>
      <c r="E904" s="59" t="str">
        <f aca="false">A904&amp;"|"&amp;D904</f>
        <v>BLR-Kudlu|4</v>
      </c>
    </row>
    <row r="905" customFormat="false" ht="15" hidden="false" customHeight="false" outlineLevel="0" collapsed="false">
      <c r="A905" s="59" t="s">
        <v>47</v>
      </c>
      <c r="B905" s="59" t="s">
        <v>408</v>
      </c>
      <c r="C905" s="60" t="n">
        <v>2111.97</v>
      </c>
      <c r="D905" s="59" t="n">
        <f aca="false">COUNTIFS($A$2:$A$1931,A905,$C$2:$C$1931,"&gt;"&amp;C905)+COUNTIFS($A$2:A905,A905,$C$2:C905,C905)</f>
        <v>5</v>
      </c>
      <c r="E905" s="59" t="str">
        <f aca="false">A905&amp;"|"&amp;D905</f>
        <v>BLR-Kudlu|5</v>
      </c>
    </row>
    <row r="906" customFormat="false" ht="15" hidden="false" customHeight="false" outlineLevel="0" collapsed="false">
      <c r="A906" s="59" t="s">
        <v>47</v>
      </c>
      <c r="B906" s="59" t="s">
        <v>412</v>
      </c>
      <c r="C906" s="60" t="n">
        <v>1257.44</v>
      </c>
      <c r="D906" s="59" t="n">
        <f aca="false">COUNTIFS($A$2:$A$1931,A906,$C$2:$C$1931,"&gt;"&amp;C906)+COUNTIFS($A$2:A906,A906,$C$2:C906,C906)</f>
        <v>6</v>
      </c>
      <c r="E906" s="59" t="str">
        <f aca="false">A906&amp;"|"&amp;D906</f>
        <v>BLR-Kudlu|6</v>
      </c>
    </row>
    <row r="907" customFormat="false" ht="15" hidden="false" customHeight="false" outlineLevel="0" collapsed="false">
      <c r="A907" s="59" t="s">
        <v>47</v>
      </c>
      <c r="B907" s="59" t="s">
        <v>417</v>
      </c>
      <c r="C907" s="60" t="n">
        <v>527.47</v>
      </c>
      <c r="D907" s="59" t="n">
        <f aca="false">COUNTIFS($A$2:$A$1931,A907,$C$2:$C$1931,"&gt;"&amp;C907)+COUNTIFS($A$2:A907,A907,$C$2:C907,C907)</f>
        <v>7</v>
      </c>
      <c r="E907" s="59" t="str">
        <f aca="false">A907&amp;"|"&amp;D907</f>
        <v>BLR-Kudlu|7</v>
      </c>
    </row>
    <row r="908" customFormat="false" ht="15" hidden="false" customHeight="false" outlineLevel="0" collapsed="false">
      <c r="A908" s="59" t="s">
        <v>47</v>
      </c>
      <c r="B908" s="59" t="s">
        <v>427</v>
      </c>
      <c r="C908" s="60" t="n">
        <v>285.9</v>
      </c>
      <c r="D908" s="59" t="n">
        <f aca="false">COUNTIFS($A$2:$A$1931,A908,$C$2:$C$1931,"&gt;"&amp;C908)+COUNTIFS($A$2:A908,A908,$C$2:C908,C908)</f>
        <v>8</v>
      </c>
      <c r="E908" s="59" t="str">
        <f aca="false">A908&amp;"|"&amp;D908</f>
        <v>BLR-Kudlu|8</v>
      </c>
    </row>
    <row r="909" customFormat="false" ht="15" hidden="false" customHeight="false" outlineLevel="0" collapsed="false">
      <c r="A909" s="59" t="s">
        <v>47</v>
      </c>
      <c r="B909" s="59" t="s">
        <v>440</v>
      </c>
      <c r="C909" s="60" t="n">
        <v>7.5</v>
      </c>
      <c r="D909" s="59" t="n">
        <f aca="false">COUNTIFS($A$2:$A$1931,A909,$C$2:$C$1931,"&gt;"&amp;C909)+COUNTIFS($A$2:A909,A909,$C$2:C909,C909)</f>
        <v>9</v>
      </c>
      <c r="E909" s="59" t="str">
        <f aca="false">A909&amp;"|"&amp;D909</f>
        <v>BLR-Kudlu|9</v>
      </c>
    </row>
    <row r="910" customFormat="false" ht="15" hidden="false" customHeight="false" outlineLevel="0" collapsed="false">
      <c r="A910" s="59" t="s">
        <v>230</v>
      </c>
      <c r="B910" s="59" t="s">
        <v>426</v>
      </c>
      <c r="C910" s="60" t="n">
        <v>6285.27</v>
      </c>
      <c r="D910" s="59" t="n">
        <f aca="false">COUNTIFS($A$2:$A$1931,A910,$C$2:$C$1931,"&gt;"&amp;C910)+COUNTIFS($A$2:A910,A910,$C$2:C910,C910)</f>
        <v>1</v>
      </c>
      <c r="E910" s="59" t="str">
        <f aca="false">A910&amp;"|"&amp;D910</f>
        <v>BLR-Kumaraswamy Layout|1</v>
      </c>
    </row>
    <row r="911" customFormat="false" ht="15" hidden="false" customHeight="false" outlineLevel="0" collapsed="false">
      <c r="A911" s="59" t="s">
        <v>230</v>
      </c>
      <c r="B911" s="59" t="s">
        <v>431</v>
      </c>
      <c r="C911" s="60" t="n">
        <v>1534.38</v>
      </c>
      <c r="D911" s="59" t="n">
        <f aca="false">COUNTIFS($A$2:$A$1931,A911,$C$2:$C$1931,"&gt;"&amp;C911)+COUNTIFS($A$2:A911,A911,$C$2:C911,C911)</f>
        <v>2</v>
      </c>
      <c r="E911" s="59" t="str">
        <f aca="false">A911&amp;"|"&amp;D911</f>
        <v>BLR-Kumaraswamy Layout|2</v>
      </c>
    </row>
    <row r="912" customFormat="false" ht="15" hidden="false" customHeight="false" outlineLevel="0" collapsed="false">
      <c r="A912" s="59" t="s">
        <v>230</v>
      </c>
      <c r="B912" s="59" t="s">
        <v>420</v>
      </c>
      <c r="C912" s="60" t="n">
        <v>1201.2</v>
      </c>
      <c r="D912" s="59" t="n">
        <f aca="false">COUNTIFS($A$2:$A$1931,A912,$C$2:$C$1931,"&gt;"&amp;C912)+COUNTIFS($A$2:A912,A912,$C$2:C912,C912)</f>
        <v>3</v>
      </c>
      <c r="E912" s="59" t="str">
        <f aca="false">A912&amp;"|"&amp;D912</f>
        <v>BLR-Kumaraswamy Layout|3</v>
      </c>
    </row>
    <row r="913" customFormat="false" ht="15" hidden="false" customHeight="false" outlineLevel="0" collapsed="false">
      <c r="A913" s="59" t="s">
        <v>230</v>
      </c>
      <c r="B913" s="59" t="s">
        <v>410</v>
      </c>
      <c r="C913" s="60" t="n">
        <v>904.49</v>
      </c>
      <c r="D913" s="59" t="n">
        <f aca="false">COUNTIFS($A$2:$A$1931,A913,$C$2:$C$1931,"&gt;"&amp;C913)+COUNTIFS($A$2:A913,A913,$C$2:C913,C913)</f>
        <v>4</v>
      </c>
      <c r="E913" s="59" t="str">
        <f aca="false">A913&amp;"|"&amp;D913</f>
        <v>BLR-Kumaraswamy Layout|4</v>
      </c>
    </row>
    <row r="914" customFormat="false" ht="15" hidden="false" customHeight="false" outlineLevel="0" collapsed="false">
      <c r="A914" s="59" t="s">
        <v>230</v>
      </c>
      <c r="B914" s="59" t="s">
        <v>415</v>
      </c>
      <c r="C914" s="60" t="n">
        <v>847.98</v>
      </c>
      <c r="D914" s="59" t="n">
        <f aca="false">COUNTIFS($A$2:$A$1931,A914,$C$2:$C$1931,"&gt;"&amp;C914)+COUNTIFS($A$2:A914,A914,$C$2:C914,C914)</f>
        <v>5</v>
      </c>
      <c r="E914" s="59" t="str">
        <f aca="false">A914&amp;"|"&amp;D914</f>
        <v>BLR-Kumaraswamy Layout|5</v>
      </c>
    </row>
    <row r="915" customFormat="false" ht="15" hidden="false" customHeight="false" outlineLevel="0" collapsed="false">
      <c r="A915" s="59" t="s">
        <v>230</v>
      </c>
      <c r="B915" s="59" t="s">
        <v>412</v>
      </c>
      <c r="C915" s="60" t="n">
        <v>847.97</v>
      </c>
      <c r="D915" s="59" t="n">
        <f aca="false">COUNTIFS($A$2:$A$1931,A915,$C$2:$C$1931,"&gt;"&amp;C915)+COUNTIFS($A$2:A915,A915,$C$2:C915,C915)</f>
        <v>6</v>
      </c>
      <c r="E915" s="59" t="str">
        <f aca="false">A915&amp;"|"&amp;D915</f>
        <v>BLR-Kumaraswamy Layout|6</v>
      </c>
    </row>
    <row r="916" customFormat="false" ht="15" hidden="false" customHeight="false" outlineLevel="0" collapsed="false">
      <c r="A916" s="59" t="s">
        <v>230</v>
      </c>
      <c r="B916" s="59" t="s">
        <v>417</v>
      </c>
      <c r="C916" s="60" t="n">
        <v>813.45</v>
      </c>
      <c r="D916" s="59" t="n">
        <f aca="false">COUNTIFS($A$2:$A$1931,A916,$C$2:$C$1931,"&gt;"&amp;C916)+COUNTIFS($A$2:A916,A916,$C$2:C916,C916)</f>
        <v>7</v>
      </c>
      <c r="E916" s="59" t="str">
        <f aca="false">A916&amp;"|"&amp;D916</f>
        <v>BLR-Kumaraswamy Layout|7</v>
      </c>
    </row>
    <row r="917" customFormat="false" ht="15" hidden="false" customHeight="false" outlineLevel="0" collapsed="false">
      <c r="A917" s="59" t="s">
        <v>230</v>
      </c>
      <c r="B917" s="59" t="s">
        <v>413</v>
      </c>
      <c r="C917" s="60" t="n">
        <v>109.1</v>
      </c>
      <c r="D917" s="59" t="n">
        <f aca="false">COUNTIFS($A$2:$A$1931,A917,$C$2:$C$1931,"&gt;"&amp;C917)+COUNTIFS($A$2:A917,A917,$C$2:C917,C917)</f>
        <v>8</v>
      </c>
      <c r="E917" s="59" t="str">
        <f aca="false">A917&amp;"|"&amp;D917</f>
        <v>BLR-Kumaraswamy Layout|8</v>
      </c>
    </row>
    <row r="918" customFormat="false" ht="15" hidden="false" customHeight="false" outlineLevel="0" collapsed="false">
      <c r="A918" s="59" t="s">
        <v>230</v>
      </c>
      <c r="B918" s="59" t="s">
        <v>408</v>
      </c>
      <c r="C918" s="60" t="n">
        <v>26.59</v>
      </c>
      <c r="D918" s="59" t="n">
        <f aca="false">COUNTIFS($A$2:$A$1931,A918,$C$2:$C$1931,"&gt;"&amp;C918)+COUNTIFS($A$2:A918,A918,$C$2:C918,C918)</f>
        <v>9</v>
      </c>
      <c r="E918" s="59" t="str">
        <f aca="false">A918&amp;"|"&amp;D918</f>
        <v>BLR-Kumaraswamy Layout|9</v>
      </c>
    </row>
    <row r="919" customFormat="false" ht="15" hidden="false" customHeight="false" outlineLevel="0" collapsed="false">
      <c r="A919" s="59" t="s">
        <v>234</v>
      </c>
      <c r="B919" s="59" t="s">
        <v>408</v>
      </c>
      <c r="C919" s="60" t="n">
        <v>1773.93</v>
      </c>
      <c r="D919" s="59" t="n">
        <f aca="false">COUNTIFS($A$2:$A$1931,A919,$C$2:$C$1931,"&gt;"&amp;C919)+COUNTIFS($A$2:A919,A919,$C$2:C919,C919)</f>
        <v>1</v>
      </c>
      <c r="E919" s="59" t="str">
        <f aca="false">A919&amp;"|"&amp;D919</f>
        <v>BLR-Magadi Road|1</v>
      </c>
    </row>
    <row r="920" customFormat="false" ht="15" hidden="false" customHeight="false" outlineLevel="0" collapsed="false">
      <c r="A920" s="59" t="s">
        <v>234</v>
      </c>
      <c r="B920" s="59" t="s">
        <v>416</v>
      </c>
      <c r="C920" s="60" t="n">
        <v>1763</v>
      </c>
      <c r="D920" s="59" t="n">
        <f aca="false">COUNTIFS($A$2:$A$1931,A920,$C$2:$C$1931,"&gt;"&amp;C920)+COUNTIFS($A$2:A920,A920,$C$2:C920,C920)</f>
        <v>2</v>
      </c>
      <c r="E920" s="59" t="str">
        <f aca="false">A920&amp;"|"&amp;D920</f>
        <v>BLR-Magadi Road|2</v>
      </c>
    </row>
    <row r="921" customFormat="false" ht="15" hidden="false" customHeight="false" outlineLevel="0" collapsed="false">
      <c r="A921" s="59" t="s">
        <v>234</v>
      </c>
      <c r="B921" s="59" t="s">
        <v>418</v>
      </c>
      <c r="C921" s="60" t="n">
        <v>1259.32</v>
      </c>
      <c r="D921" s="59" t="n">
        <f aca="false">COUNTIFS($A$2:$A$1931,A921,$C$2:$C$1931,"&gt;"&amp;C921)+COUNTIFS($A$2:A921,A921,$C$2:C921,C921)</f>
        <v>3</v>
      </c>
      <c r="E921" s="59" t="str">
        <f aca="false">A921&amp;"|"&amp;D921</f>
        <v>BLR-Magadi Road|3</v>
      </c>
    </row>
    <row r="922" customFormat="false" ht="15" hidden="false" customHeight="false" outlineLevel="0" collapsed="false">
      <c r="A922" s="59" t="s">
        <v>234</v>
      </c>
      <c r="B922" s="59" t="s">
        <v>413</v>
      </c>
      <c r="C922" s="60" t="n">
        <v>594.12</v>
      </c>
      <c r="D922" s="59" t="n">
        <f aca="false">COUNTIFS($A$2:$A$1931,A922,$C$2:$C$1931,"&gt;"&amp;C922)+COUNTIFS($A$2:A922,A922,$C$2:C922,C922)</f>
        <v>4</v>
      </c>
      <c r="E922" s="59" t="str">
        <f aca="false">A922&amp;"|"&amp;D922</f>
        <v>BLR-Magadi Road|4</v>
      </c>
    </row>
    <row r="923" customFormat="false" ht="15" hidden="false" customHeight="false" outlineLevel="0" collapsed="false">
      <c r="A923" s="59" t="s">
        <v>234</v>
      </c>
      <c r="B923" s="59" t="s">
        <v>431</v>
      </c>
      <c r="C923" s="60" t="n">
        <v>537.57</v>
      </c>
      <c r="D923" s="59" t="n">
        <f aca="false">COUNTIFS($A$2:$A$1931,A923,$C$2:$C$1931,"&gt;"&amp;C923)+COUNTIFS($A$2:A923,A923,$C$2:C923,C923)</f>
        <v>5</v>
      </c>
      <c r="E923" s="59" t="str">
        <f aca="false">A923&amp;"|"&amp;D923</f>
        <v>BLR-Magadi Road|5</v>
      </c>
    </row>
    <row r="924" customFormat="false" ht="15" hidden="false" customHeight="false" outlineLevel="0" collapsed="false">
      <c r="A924" s="59" t="s">
        <v>234</v>
      </c>
      <c r="B924" s="59" t="s">
        <v>424</v>
      </c>
      <c r="C924" s="60" t="n">
        <v>524.94</v>
      </c>
      <c r="D924" s="59" t="n">
        <f aca="false">COUNTIFS($A$2:$A$1931,A924,$C$2:$C$1931,"&gt;"&amp;C924)+COUNTIFS($A$2:A924,A924,$C$2:C924,C924)</f>
        <v>6</v>
      </c>
      <c r="E924" s="59" t="str">
        <f aca="false">A924&amp;"|"&amp;D924</f>
        <v>BLR-Magadi Road|6</v>
      </c>
    </row>
    <row r="925" customFormat="false" ht="15" hidden="false" customHeight="false" outlineLevel="0" collapsed="false">
      <c r="A925" s="59" t="s">
        <v>234</v>
      </c>
      <c r="B925" s="59" t="s">
        <v>415</v>
      </c>
      <c r="C925" s="60" t="n">
        <v>153.07</v>
      </c>
      <c r="D925" s="59" t="n">
        <f aca="false">COUNTIFS($A$2:$A$1931,A925,$C$2:$C$1931,"&gt;"&amp;C925)+COUNTIFS($A$2:A925,A925,$C$2:C925,C925)</f>
        <v>7</v>
      </c>
      <c r="E925" s="59" t="str">
        <f aca="false">A925&amp;"|"&amp;D925</f>
        <v>BLR-Magadi Road|7</v>
      </c>
    </row>
    <row r="926" customFormat="false" ht="15" hidden="false" customHeight="false" outlineLevel="0" collapsed="false">
      <c r="A926" s="59" t="s">
        <v>234</v>
      </c>
      <c r="B926" s="59" t="s">
        <v>420</v>
      </c>
      <c r="C926" s="60" t="n">
        <v>121.44</v>
      </c>
      <c r="D926" s="59" t="n">
        <f aca="false">COUNTIFS($A$2:$A$1931,A926,$C$2:$C$1931,"&gt;"&amp;C926)+COUNTIFS($A$2:A926,A926,$C$2:C926,C926)</f>
        <v>8</v>
      </c>
      <c r="E926" s="59" t="str">
        <f aca="false">A926&amp;"|"&amp;D926</f>
        <v>BLR-Magadi Road|8</v>
      </c>
    </row>
    <row r="927" customFormat="false" ht="15" hidden="false" customHeight="false" outlineLevel="0" collapsed="false">
      <c r="A927" s="59" t="s">
        <v>234</v>
      </c>
      <c r="B927" s="59" t="s">
        <v>423</v>
      </c>
      <c r="C927" s="60" t="n">
        <v>5.49</v>
      </c>
      <c r="D927" s="59" t="n">
        <f aca="false">COUNTIFS($A$2:$A$1931,A927,$C$2:$C$1931,"&gt;"&amp;C927)+COUNTIFS($A$2:A927,A927,$C$2:C927,C927)</f>
        <v>9</v>
      </c>
      <c r="E927" s="59" t="str">
        <f aca="false">A927&amp;"|"&amp;D927</f>
        <v>BLR-Magadi Road|9</v>
      </c>
    </row>
    <row r="928" customFormat="false" ht="15" hidden="false" customHeight="false" outlineLevel="0" collapsed="false">
      <c r="A928" s="59" t="s">
        <v>276</v>
      </c>
      <c r="B928" s="59" t="s">
        <v>415</v>
      </c>
      <c r="C928" s="60" t="n">
        <v>861.51</v>
      </c>
      <c r="D928" s="59" t="n">
        <f aca="false">COUNTIFS($A$2:$A$1931,A928,$C$2:$C$1931,"&gt;"&amp;C928)+COUNTIFS($A$2:A928,A928,$C$2:C928,C928)</f>
        <v>1</v>
      </c>
      <c r="E928" s="59" t="str">
        <f aca="false">A928&amp;"|"&amp;D928</f>
        <v>BLR-Malagala|1</v>
      </c>
    </row>
    <row r="929" customFormat="false" ht="15" hidden="false" customHeight="false" outlineLevel="0" collapsed="false">
      <c r="A929" s="59" t="s">
        <v>276</v>
      </c>
      <c r="B929" s="59" t="s">
        <v>410</v>
      </c>
      <c r="C929" s="60" t="n">
        <v>637.42</v>
      </c>
      <c r="D929" s="59" t="n">
        <f aca="false">COUNTIFS($A$2:$A$1931,A929,$C$2:$C$1931,"&gt;"&amp;C929)+COUNTIFS($A$2:A929,A929,$C$2:C929,C929)</f>
        <v>2</v>
      </c>
      <c r="E929" s="59" t="str">
        <f aca="false">A929&amp;"|"&amp;D929</f>
        <v>BLR-Malagala|2</v>
      </c>
    </row>
    <row r="930" customFormat="false" ht="15" hidden="false" customHeight="false" outlineLevel="0" collapsed="false">
      <c r="A930" s="59" t="s">
        <v>276</v>
      </c>
      <c r="B930" s="59" t="s">
        <v>409</v>
      </c>
      <c r="C930" s="60" t="n">
        <v>387.47</v>
      </c>
      <c r="D930" s="59" t="n">
        <f aca="false">COUNTIFS($A$2:$A$1931,A930,$C$2:$C$1931,"&gt;"&amp;C930)+COUNTIFS($A$2:A930,A930,$C$2:C930,C930)</f>
        <v>3</v>
      </c>
      <c r="E930" s="59" t="str">
        <f aca="false">A930&amp;"|"&amp;D930</f>
        <v>BLR-Malagala|3</v>
      </c>
    </row>
    <row r="931" customFormat="false" ht="15" hidden="false" customHeight="false" outlineLevel="0" collapsed="false">
      <c r="A931" s="59" t="s">
        <v>276</v>
      </c>
      <c r="B931" s="59" t="s">
        <v>413</v>
      </c>
      <c r="C931" s="60" t="n">
        <v>40.95</v>
      </c>
      <c r="D931" s="59" t="n">
        <f aca="false">COUNTIFS($A$2:$A$1931,A931,$C$2:$C$1931,"&gt;"&amp;C931)+COUNTIFS($A$2:A931,A931,$C$2:C931,C931)</f>
        <v>4</v>
      </c>
      <c r="E931" s="59" t="str">
        <f aca="false">A931&amp;"|"&amp;D931</f>
        <v>BLR-Malagala|4</v>
      </c>
    </row>
    <row r="932" customFormat="false" ht="15" hidden="false" customHeight="false" outlineLevel="0" collapsed="false">
      <c r="A932" s="59" t="s">
        <v>44</v>
      </c>
      <c r="B932" s="59" t="s">
        <v>426</v>
      </c>
      <c r="C932" s="60" t="n">
        <v>9565.97</v>
      </c>
      <c r="D932" s="59" t="n">
        <f aca="false">COUNTIFS($A$2:$A$1931,A932,$C$2:$C$1931,"&gt;"&amp;C932)+COUNTIFS($A$2:A932,A932,$C$2:C932,C932)</f>
        <v>1</v>
      </c>
      <c r="E932" s="59" t="str">
        <f aca="false">A932&amp;"|"&amp;D932</f>
        <v>BLR-Malleshpalya|1</v>
      </c>
    </row>
    <row r="933" customFormat="false" ht="15" hidden="false" customHeight="false" outlineLevel="0" collapsed="false">
      <c r="A933" s="59" t="s">
        <v>44</v>
      </c>
      <c r="B933" s="59" t="s">
        <v>419</v>
      </c>
      <c r="C933" s="60" t="n">
        <v>6215.29</v>
      </c>
      <c r="D933" s="59" t="n">
        <f aca="false">COUNTIFS($A$2:$A$1931,A933,$C$2:$C$1931,"&gt;"&amp;C933)+COUNTIFS($A$2:A933,A933,$C$2:C933,C933)</f>
        <v>2</v>
      </c>
      <c r="E933" s="59" t="str">
        <f aca="false">A933&amp;"|"&amp;D933</f>
        <v>BLR-Malleshpalya|2</v>
      </c>
    </row>
    <row r="934" customFormat="false" ht="15" hidden="false" customHeight="false" outlineLevel="0" collapsed="false">
      <c r="A934" s="59" t="s">
        <v>44</v>
      </c>
      <c r="B934" s="59" t="s">
        <v>413</v>
      </c>
      <c r="C934" s="60" t="n">
        <v>5185.35</v>
      </c>
      <c r="D934" s="59" t="n">
        <f aca="false">COUNTIFS($A$2:$A$1931,A934,$C$2:$C$1931,"&gt;"&amp;C934)+COUNTIFS($A$2:A934,A934,$C$2:C934,C934)</f>
        <v>3</v>
      </c>
      <c r="E934" s="59" t="str">
        <f aca="false">A934&amp;"|"&amp;D934</f>
        <v>BLR-Malleshpalya|3</v>
      </c>
    </row>
    <row r="935" customFormat="false" ht="15" hidden="false" customHeight="false" outlineLevel="0" collapsed="false">
      <c r="A935" s="59" t="s">
        <v>44</v>
      </c>
      <c r="B935" s="59" t="s">
        <v>420</v>
      </c>
      <c r="C935" s="60" t="n">
        <v>2008.57</v>
      </c>
      <c r="D935" s="59" t="n">
        <f aca="false">COUNTIFS($A$2:$A$1931,A935,$C$2:$C$1931,"&gt;"&amp;C935)+COUNTIFS($A$2:A935,A935,$C$2:C935,C935)</f>
        <v>4</v>
      </c>
      <c r="E935" s="59" t="str">
        <f aca="false">A935&amp;"|"&amp;D935</f>
        <v>BLR-Malleshpalya|4</v>
      </c>
    </row>
    <row r="936" customFormat="false" ht="15" hidden="false" customHeight="false" outlineLevel="0" collapsed="false">
      <c r="A936" s="59" t="s">
        <v>44</v>
      </c>
      <c r="B936" s="59" t="s">
        <v>410</v>
      </c>
      <c r="C936" s="60" t="n">
        <v>2005.76</v>
      </c>
      <c r="D936" s="59" t="n">
        <f aca="false">COUNTIFS($A$2:$A$1931,A936,$C$2:$C$1931,"&gt;"&amp;C936)+COUNTIFS($A$2:A936,A936,$C$2:C936,C936)</f>
        <v>5</v>
      </c>
      <c r="E936" s="59" t="str">
        <f aca="false">A936&amp;"|"&amp;D936</f>
        <v>BLR-Malleshpalya|5</v>
      </c>
    </row>
    <row r="937" customFormat="false" ht="15" hidden="false" customHeight="false" outlineLevel="0" collapsed="false">
      <c r="A937" s="59" t="s">
        <v>44</v>
      </c>
      <c r="B937" s="59" t="s">
        <v>412</v>
      </c>
      <c r="C937" s="60" t="n">
        <v>1291.97</v>
      </c>
      <c r="D937" s="59" t="n">
        <f aca="false">COUNTIFS($A$2:$A$1931,A937,$C$2:$C$1931,"&gt;"&amp;C937)+COUNTIFS($A$2:A937,A937,$C$2:C937,C937)</f>
        <v>6</v>
      </c>
      <c r="E937" s="59" t="str">
        <f aca="false">A937&amp;"|"&amp;D937</f>
        <v>BLR-Malleshpalya|6</v>
      </c>
    </row>
    <row r="938" customFormat="false" ht="15" hidden="false" customHeight="false" outlineLevel="0" collapsed="false">
      <c r="A938" s="59" t="s">
        <v>44</v>
      </c>
      <c r="B938" s="59" t="s">
        <v>417</v>
      </c>
      <c r="C938" s="60" t="n">
        <v>1086.38</v>
      </c>
      <c r="D938" s="59" t="n">
        <f aca="false">COUNTIFS($A$2:$A$1931,A938,$C$2:$C$1931,"&gt;"&amp;C938)+COUNTIFS($A$2:A938,A938,$C$2:C938,C938)</f>
        <v>7</v>
      </c>
      <c r="E938" s="59" t="str">
        <f aca="false">A938&amp;"|"&amp;D938</f>
        <v>BLR-Malleshpalya|7</v>
      </c>
    </row>
    <row r="939" customFormat="false" ht="15" hidden="false" customHeight="false" outlineLevel="0" collapsed="false">
      <c r="A939" s="59" t="s">
        <v>44</v>
      </c>
      <c r="B939" s="59" t="s">
        <v>431</v>
      </c>
      <c r="C939" s="60" t="n">
        <v>840.58</v>
      </c>
      <c r="D939" s="59" t="n">
        <f aca="false">COUNTIFS($A$2:$A$1931,A939,$C$2:$C$1931,"&gt;"&amp;C939)+COUNTIFS($A$2:A939,A939,$C$2:C939,C939)</f>
        <v>8</v>
      </c>
      <c r="E939" s="59" t="str">
        <f aca="false">A939&amp;"|"&amp;D939</f>
        <v>BLR-Malleshpalya|8</v>
      </c>
    </row>
    <row r="940" customFormat="false" ht="15" hidden="false" customHeight="false" outlineLevel="0" collapsed="false">
      <c r="A940" s="59" t="s">
        <v>44</v>
      </c>
      <c r="B940" s="59" t="s">
        <v>415</v>
      </c>
      <c r="C940" s="60" t="n">
        <v>549.77</v>
      </c>
      <c r="D940" s="59" t="n">
        <f aca="false">COUNTIFS($A$2:$A$1931,A940,$C$2:$C$1931,"&gt;"&amp;C940)+COUNTIFS($A$2:A940,A940,$C$2:C940,C940)</f>
        <v>9</v>
      </c>
      <c r="E940" s="59" t="str">
        <f aca="false">A940&amp;"|"&amp;D940</f>
        <v>BLR-Malleshpalya|9</v>
      </c>
    </row>
    <row r="941" customFormat="false" ht="15" hidden="false" customHeight="false" outlineLevel="0" collapsed="false">
      <c r="A941" s="59" t="s">
        <v>44</v>
      </c>
      <c r="B941" s="59" t="s">
        <v>409</v>
      </c>
      <c r="C941" s="60" t="n">
        <v>451.52</v>
      </c>
      <c r="D941" s="59" t="n">
        <f aca="false">COUNTIFS($A$2:$A$1931,A941,$C$2:$C$1931,"&gt;"&amp;C941)+COUNTIFS($A$2:A941,A941,$C$2:C941,C941)</f>
        <v>10</v>
      </c>
      <c r="E941" s="59" t="str">
        <f aca="false">A941&amp;"|"&amp;D941</f>
        <v>BLR-Malleshpalya|10</v>
      </c>
    </row>
    <row r="942" customFormat="false" ht="15" hidden="false" customHeight="false" outlineLevel="0" collapsed="false">
      <c r="A942" s="59" t="s">
        <v>44</v>
      </c>
      <c r="B942" s="59" t="s">
        <v>408</v>
      </c>
      <c r="C942" s="60" t="n">
        <v>333.42</v>
      </c>
      <c r="D942" s="59" t="n">
        <f aca="false">COUNTIFS($A$2:$A$1931,A942,$C$2:$C$1931,"&gt;"&amp;C942)+COUNTIFS($A$2:A942,A942,$C$2:C942,C942)</f>
        <v>11</v>
      </c>
      <c r="E942" s="59" t="str">
        <f aca="false">A942&amp;"|"&amp;D942</f>
        <v>BLR-Malleshpalya|11</v>
      </c>
    </row>
    <row r="943" customFormat="false" ht="15" hidden="false" customHeight="false" outlineLevel="0" collapsed="false">
      <c r="A943" s="59" t="s">
        <v>44</v>
      </c>
      <c r="B943" s="59" t="s">
        <v>424</v>
      </c>
      <c r="C943" s="60" t="n">
        <v>307.64</v>
      </c>
      <c r="D943" s="59" t="n">
        <f aca="false">COUNTIFS($A$2:$A$1931,A943,$C$2:$C$1931,"&gt;"&amp;C943)+COUNTIFS($A$2:A943,A943,$C$2:C943,C943)</f>
        <v>12</v>
      </c>
      <c r="E943" s="59" t="str">
        <f aca="false">A943&amp;"|"&amp;D943</f>
        <v>BLR-Malleshpalya|12</v>
      </c>
    </row>
    <row r="944" customFormat="false" ht="15" hidden="false" customHeight="false" outlineLevel="0" collapsed="false">
      <c r="A944" s="59" t="s">
        <v>44</v>
      </c>
      <c r="B944" s="59" t="s">
        <v>446</v>
      </c>
      <c r="C944" s="60" t="n">
        <v>97</v>
      </c>
      <c r="D944" s="59" t="n">
        <f aca="false">COUNTIFS($A$2:$A$1931,A944,$C$2:$C$1931,"&gt;"&amp;C944)+COUNTIFS($A$2:A944,A944,$C$2:C944,C944)</f>
        <v>13</v>
      </c>
      <c r="E944" s="59" t="str">
        <f aca="false">A944&amp;"|"&amp;D944</f>
        <v>BLR-Malleshpalya|13</v>
      </c>
    </row>
    <row r="945" customFormat="false" ht="15" hidden="false" customHeight="false" outlineLevel="0" collapsed="false">
      <c r="A945" s="59" t="s">
        <v>44</v>
      </c>
      <c r="B945" s="59" t="s">
        <v>436</v>
      </c>
      <c r="C945" s="60" t="n">
        <v>15.2</v>
      </c>
      <c r="D945" s="59" t="n">
        <f aca="false">COUNTIFS($A$2:$A$1931,A945,$C$2:$C$1931,"&gt;"&amp;C945)+COUNTIFS($A$2:A945,A945,$C$2:C945,C945)</f>
        <v>14</v>
      </c>
      <c r="E945" s="59" t="str">
        <f aca="false">A945&amp;"|"&amp;D945</f>
        <v>BLR-Malleshpalya|14</v>
      </c>
    </row>
    <row r="946" customFormat="false" ht="15" hidden="false" customHeight="false" outlineLevel="0" collapsed="false">
      <c r="A946" s="59" t="s">
        <v>33</v>
      </c>
      <c r="B946" s="59" t="s">
        <v>418</v>
      </c>
      <c r="C946" s="60" t="n">
        <v>10862.7</v>
      </c>
      <c r="D946" s="59" t="n">
        <f aca="false">COUNTIFS($A$2:$A$1931,A946,$C$2:$C$1931,"&gt;"&amp;C946)+COUNTIFS($A$2:A946,A946,$C$2:C946,C946)</f>
        <v>1</v>
      </c>
      <c r="E946" s="59" t="str">
        <f aca="false">A946&amp;"|"&amp;D946</f>
        <v>BLR-Malleshwaram SS|1</v>
      </c>
    </row>
    <row r="947" customFormat="false" ht="15" hidden="false" customHeight="false" outlineLevel="0" collapsed="false">
      <c r="A947" s="59" t="s">
        <v>33</v>
      </c>
      <c r="B947" s="59" t="s">
        <v>431</v>
      </c>
      <c r="C947" s="60" t="n">
        <v>7721.55</v>
      </c>
      <c r="D947" s="59" t="n">
        <f aca="false">COUNTIFS($A$2:$A$1931,A947,$C$2:$C$1931,"&gt;"&amp;C947)+COUNTIFS($A$2:A947,A947,$C$2:C947,C947)</f>
        <v>2</v>
      </c>
      <c r="E947" s="59" t="str">
        <f aca="false">A947&amp;"|"&amp;D947</f>
        <v>BLR-Malleshwaram SS|2</v>
      </c>
    </row>
    <row r="948" customFormat="false" ht="15" hidden="false" customHeight="false" outlineLevel="0" collapsed="false">
      <c r="A948" s="59" t="s">
        <v>33</v>
      </c>
      <c r="B948" s="59" t="s">
        <v>426</v>
      </c>
      <c r="C948" s="60" t="n">
        <v>7094.04</v>
      </c>
      <c r="D948" s="59" t="n">
        <f aca="false">COUNTIFS($A$2:$A$1931,A948,$C$2:$C$1931,"&gt;"&amp;C948)+COUNTIFS($A$2:A948,A948,$C$2:C948,C948)</f>
        <v>3</v>
      </c>
      <c r="E948" s="59" t="str">
        <f aca="false">A948&amp;"|"&amp;D948</f>
        <v>BLR-Malleshwaram SS|3</v>
      </c>
    </row>
    <row r="949" customFormat="false" ht="15" hidden="false" customHeight="false" outlineLevel="0" collapsed="false">
      <c r="A949" s="59" t="s">
        <v>33</v>
      </c>
      <c r="B949" s="59" t="s">
        <v>424</v>
      </c>
      <c r="C949" s="60" t="n">
        <v>6257.55</v>
      </c>
      <c r="D949" s="59" t="n">
        <f aca="false">COUNTIFS($A$2:$A$1931,A949,$C$2:$C$1931,"&gt;"&amp;C949)+COUNTIFS($A$2:A949,A949,$C$2:C949,C949)</f>
        <v>4</v>
      </c>
      <c r="E949" s="59" t="str">
        <f aca="false">A949&amp;"|"&amp;D949</f>
        <v>BLR-Malleshwaram SS|4</v>
      </c>
    </row>
    <row r="950" customFormat="false" ht="15" hidden="false" customHeight="false" outlineLevel="0" collapsed="false">
      <c r="A950" s="59" t="s">
        <v>33</v>
      </c>
      <c r="B950" s="59" t="s">
        <v>417</v>
      </c>
      <c r="C950" s="60" t="n">
        <v>4953.65</v>
      </c>
      <c r="D950" s="59" t="n">
        <f aca="false">COUNTIFS($A$2:$A$1931,A950,$C$2:$C$1931,"&gt;"&amp;C950)+COUNTIFS($A$2:A950,A950,$C$2:C950,C950)</f>
        <v>5</v>
      </c>
      <c r="E950" s="59" t="str">
        <f aca="false">A950&amp;"|"&amp;D950</f>
        <v>BLR-Malleshwaram SS|5</v>
      </c>
    </row>
    <row r="951" customFormat="false" ht="15" hidden="false" customHeight="false" outlineLevel="0" collapsed="false">
      <c r="A951" s="59" t="s">
        <v>33</v>
      </c>
      <c r="B951" s="59" t="s">
        <v>412</v>
      </c>
      <c r="C951" s="60" t="n">
        <v>4015.6</v>
      </c>
      <c r="D951" s="59" t="n">
        <f aca="false">COUNTIFS($A$2:$A$1931,A951,$C$2:$C$1931,"&gt;"&amp;C951)+COUNTIFS($A$2:A951,A951,$C$2:C951,C951)</f>
        <v>6</v>
      </c>
      <c r="E951" s="59" t="str">
        <f aca="false">A951&amp;"|"&amp;D951</f>
        <v>BLR-Malleshwaram SS|6</v>
      </c>
    </row>
    <row r="952" customFormat="false" ht="15" hidden="false" customHeight="false" outlineLevel="0" collapsed="false">
      <c r="A952" s="59" t="s">
        <v>33</v>
      </c>
      <c r="B952" s="59" t="s">
        <v>410</v>
      </c>
      <c r="C952" s="60" t="n">
        <v>3955.89</v>
      </c>
      <c r="D952" s="59" t="n">
        <f aca="false">COUNTIFS($A$2:$A$1931,A952,$C$2:$C$1931,"&gt;"&amp;C952)+COUNTIFS($A$2:A952,A952,$C$2:C952,C952)</f>
        <v>7</v>
      </c>
      <c r="E952" s="59" t="str">
        <f aca="false">A952&amp;"|"&amp;D952</f>
        <v>BLR-Malleshwaram SS|7</v>
      </c>
    </row>
    <row r="953" customFormat="false" ht="15" hidden="false" customHeight="false" outlineLevel="0" collapsed="false">
      <c r="A953" s="59" t="s">
        <v>33</v>
      </c>
      <c r="B953" s="59" t="s">
        <v>408</v>
      </c>
      <c r="C953" s="60" t="n">
        <v>3327.96</v>
      </c>
      <c r="D953" s="59" t="n">
        <f aca="false">COUNTIFS($A$2:$A$1931,A953,$C$2:$C$1931,"&gt;"&amp;C953)+COUNTIFS($A$2:A953,A953,$C$2:C953,C953)</f>
        <v>8</v>
      </c>
      <c r="E953" s="59" t="str">
        <f aca="false">A953&amp;"|"&amp;D953</f>
        <v>BLR-Malleshwaram SS|8</v>
      </c>
    </row>
    <row r="954" customFormat="false" ht="15" hidden="false" customHeight="false" outlineLevel="0" collapsed="false">
      <c r="A954" s="59" t="s">
        <v>33</v>
      </c>
      <c r="B954" s="59" t="s">
        <v>415</v>
      </c>
      <c r="C954" s="60" t="n">
        <v>3174.31</v>
      </c>
      <c r="D954" s="59" t="n">
        <f aca="false">COUNTIFS($A$2:$A$1931,A954,$C$2:$C$1931,"&gt;"&amp;C954)+COUNTIFS($A$2:A954,A954,$C$2:C954,C954)</f>
        <v>9</v>
      </c>
      <c r="E954" s="59" t="str">
        <f aca="false">A954&amp;"|"&amp;D954</f>
        <v>BLR-Malleshwaram SS|9</v>
      </c>
    </row>
    <row r="955" customFormat="false" ht="15" hidden="false" customHeight="false" outlineLevel="0" collapsed="false">
      <c r="A955" s="59" t="s">
        <v>33</v>
      </c>
      <c r="B955" s="59" t="s">
        <v>409</v>
      </c>
      <c r="C955" s="60" t="n">
        <v>3116.93</v>
      </c>
      <c r="D955" s="59" t="n">
        <f aca="false">COUNTIFS($A$2:$A$1931,A955,$C$2:$C$1931,"&gt;"&amp;C955)+COUNTIFS($A$2:A955,A955,$C$2:C955,C955)</f>
        <v>10</v>
      </c>
      <c r="E955" s="59" t="str">
        <f aca="false">A955&amp;"|"&amp;D955</f>
        <v>BLR-Malleshwaram SS|10</v>
      </c>
    </row>
    <row r="956" customFormat="false" ht="15" hidden="false" customHeight="false" outlineLevel="0" collapsed="false">
      <c r="A956" s="59" t="s">
        <v>33</v>
      </c>
      <c r="B956" s="59" t="s">
        <v>416</v>
      </c>
      <c r="C956" s="60" t="n">
        <v>3116.93</v>
      </c>
      <c r="D956" s="59" t="n">
        <f aca="false">COUNTIFS($A$2:$A$1931,A956,$C$2:$C$1931,"&gt;"&amp;C956)+COUNTIFS($A$2:A956,A956,$C$2:C956,C956)</f>
        <v>11</v>
      </c>
      <c r="E956" s="59" t="str">
        <f aca="false">A956&amp;"|"&amp;D956</f>
        <v>BLR-Malleshwaram SS|11</v>
      </c>
    </row>
    <row r="957" customFormat="false" ht="15" hidden="false" customHeight="false" outlineLevel="0" collapsed="false">
      <c r="A957" s="59" t="s">
        <v>33</v>
      </c>
      <c r="B957" s="59" t="s">
        <v>414</v>
      </c>
      <c r="C957" s="60" t="n">
        <v>2719.81</v>
      </c>
      <c r="D957" s="59" t="n">
        <f aca="false">COUNTIFS($A$2:$A$1931,A957,$C$2:$C$1931,"&gt;"&amp;C957)+COUNTIFS($A$2:A957,A957,$C$2:C957,C957)</f>
        <v>12</v>
      </c>
      <c r="E957" s="59" t="str">
        <f aca="false">A957&amp;"|"&amp;D957</f>
        <v>BLR-Malleshwaram SS|12</v>
      </c>
    </row>
    <row r="958" customFormat="false" ht="15" hidden="false" customHeight="false" outlineLevel="0" collapsed="false">
      <c r="A958" s="59" t="s">
        <v>33</v>
      </c>
      <c r="B958" s="59" t="s">
        <v>420</v>
      </c>
      <c r="C958" s="60" t="n">
        <v>1146.41</v>
      </c>
      <c r="D958" s="59" t="n">
        <f aca="false">COUNTIFS($A$2:$A$1931,A958,$C$2:$C$1931,"&gt;"&amp;C958)+COUNTIFS($A$2:A958,A958,$C$2:C958,C958)</f>
        <v>13</v>
      </c>
      <c r="E958" s="59" t="str">
        <f aca="false">A958&amp;"|"&amp;D958</f>
        <v>BLR-Malleshwaram SS|13</v>
      </c>
    </row>
    <row r="959" customFormat="false" ht="15" hidden="false" customHeight="false" outlineLevel="0" collapsed="false">
      <c r="A959" s="59" t="s">
        <v>33</v>
      </c>
      <c r="B959" s="59" t="s">
        <v>407</v>
      </c>
      <c r="C959" s="60" t="n">
        <v>117.96</v>
      </c>
      <c r="D959" s="59" t="n">
        <f aca="false">COUNTIFS($A$2:$A$1931,A959,$C$2:$C$1931,"&gt;"&amp;C959)+COUNTIFS($A$2:A959,A959,$C$2:C959,C959)</f>
        <v>14</v>
      </c>
      <c r="E959" s="59" t="str">
        <f aca="false">A959&amp;"|"&amp;D959</f>
        <v>BLR-Malleshwaram SS|14</v>
      </c>
    </row>
    <row r="960" customFormat="false" ht="15" hidden="false" customHeight="false" outlineLevel="0" collapsed="false">
      <c r="A960" s="59" t="s">
        <v>33</v>
      </c>
      <c r="B960" s="59" t="s">
        <v>448</v>
      </c>
      <c r="C960" s="60" t="n">
        <v>80</v>
      </c>
      <c r="D960" s="59" t="n">
        <f aca="false">COUNTIFS($A$2:$A$1931,A960,$C$2:$C$1931,"&gt;"&amp;C960)+COUNTIFS($A$2:A960,A960,$C$2:C960,C960)</f>
        <v>15</v>
      </c>
      <c r="E960" s="59" t="str">
        <f aca="false">A960&amp;"|"&amp;D960</f>
        <v>BLR-Malleshwaram SS|15</v>
      </c>
    </row>
    <row r="961" customFormat="false" ht="15" hidden="false" customHeight="false" outlineLevel="0" collapsed="false">
      <c r="A961" s="59" t="s">
        <v>251</v>
      </c>
      <c r="B961" s="59" t="s">
        <v>412</v>
      </c>
      <c r="C961" s="60" t="n">
        <v>11552.06</v>
      </c>
      <c r="D961" s="59" t="n">
        <f aca="false">COUNTIFS($A$2:$A$1931,A961,$C$2:$C$1931,"&gt;"&amp;C961)+COUNTIFS($A$2:A961,A961,$C$2:C961,C961)</f>
        <v>1</v>
      </c>
      <c r="E961" s="59" t="str">
        <f aca="false">A961&amp;"|"&amp;D961</f>
        <v>BLR-Malleshwaram new|1</v>
      </c>
    </row>
    <row r="962" customFormat="false" ht="15" hidden="false" customHeight="false" outlineLevel="0" collapsed="false">
      <c r="A962" s="59" t="s">
        <v>251</v>
      </c>
      <c r="B962" s="59" t="s">
        <v>418</v>
      </c>
      <c r="C962" s="60" t="n">
        <v>7888.22</v>
      </c>
      <c r="D962" s="59" t="n">
        <f aca="false">COUNTIFS($A$2:$A$1931,A962,$C$2:$C$1931,"&gt;"&amp;C962)+COUNTIFS($A$2:A962,A962,$C$2:C962,C962)</f>
        <v>2</v>
      </c>
      <c r="E962" s="59" t="str">
        <f aca="false">A962&amp;"|"&amp;D962</f>
        <v>BLR-Malleshwaram new|2</v>
      </c>
    </row>
    <row r="963" customFormat="false" ht="15" hidden="false" customHeight="false" outlineLevel="0" collapsed="false">
      <c r="A963" s="59" t="s">
        <v>251</v>
      </c>
      <c r="B963" s="59" t="s">
        <v>431</v>
      </c>
      <c r="C963" s="60" t="n">
        <v>4081.95</v>
      </c>
      <c r="D963" s="59" t="n">
        <f aca="false">COUNTIFS($A$2:$A$1931,A963,$C$2:$C$1931,"&gt;"&amp;C963)+COUNTIFS($A$2:A963,A963,$C$2:C963,C963)</f>
        <v>3</v>
      </c>
      <c r="E963" s="59" t="str">
        <f aca="false">A963&amp;"|"&amp;D963</f>
        <v>BLR-Malleshwaram new|3</v>
      </c>
    </row>
    <row r="964" customFormat="false" ht="15" hidden="false" customHeight="false" outlineLevel="0" collapsed="false">
      <c r="A964" s="59" t="s">
        <v>251</v>
      </c>
      <c r="B964" s="59" t="s">
        <v>417</v>
      </c>
      <c r="C964" s="60" t="n">
        <v>1406.09</v>
      </c>
      <c r="D964" s="59" t="n">
        <f aca="false">COUNTIFS($A$2:$A$1931,A964,$C$2:$C$1931,"&gt;"&amp;C964)+COUNTIFS($A$2:A964,A964,$C$2:C964,C964)</f>
        <v>4</v>
      </c>
      <c r="E964" s="59" t="str">
        <f aca="false">A964&amp;"|"&amp;D964</f>
        <v>BLR-Malleshwaram new|4</v>
      </c>
    </row>
    <row r="965" customFormat="false" ht="15" hidden="false" customHeight="false" outlineLevel="0" collapsed="false">
      <c r="A965" s="59" t="s">
        <v>251</v>
      </c>
      <c r="B965" s="59" t="s">
        <v>423</v>
      </c>
      <c r="C965" s="60" t="n">
        <v>36.83</v>
      </c>
      <c r="D965" s="59" t="n">
        <f aca="false">COUNTIFS($A$2:$A$1931,A965,$C$2:$C$1931,"&gt;"&amp;C965)+COUNTIFS($A$2:A965,A965,$C$2:C965,C965)</f>
        <v>5</v>
      </c>
      <c r="E965" s="59" t="str">
        <f aca="false">A965&amp;"|"&amp;D965</f>
        <v>BLR-Malleshwaram new|5</v>
      </c>
    </row>
    <row r="966" customFormat="false" ht="15" hidden="false" customHeight="false" outlineLevel="0" collapsed="false">
      <c r="A966" s="59" t="s">
        <v>69</v>
      </c>
      <c r="B966" s="59" t="s">
        <v>412</v>
      </c>
      <c r="C966" s="60" t="n">
        <v>9227.54</v>
      </c>
      <c r="D966" s="59" t="n">
        <f aca="false">COUNTIFS($A$2:$A$1931,A966,$C$2:$C$1931,"&gt;"&amp;C966)+COUNTIFS($A$2:A966,A966,$C$2:C966,C966)</f>
        <v>1</v>
      </c>
      <c r="E966" s="59" t="str">
        <f aca="false">A966&amp;"|"&amp;D966</f>
        <v>BLR-Manjunatha layout|1</v>
      </c>
    </row>
    <row r="967" customFormat="false" ht="15" hidden="false" customHeight="false" outlineLevel="0" collapsed="false">
      <c r="A967" s="59" t="s">
        <v>69</v>
      </c>
      <c r="B967" s="59" t="s">
        <v>413</v>
      </c>
      <c r="C967" s="60" t="n">
        <v>7366.29</v>
      </c>
      <c r="D967" s="59" t="n">
        <f aca="false">COUNTIFS($A$2:$A$1931,A967,$C$2:$C$1931,"&gt;"&amp;C967)+COUNTIFS($A$2:A967,A967,$C$2:C967,C967)</f>
        <v>2</v>
      </c>
      <c r="E967" s="59" t="str">
        <f aca="false">A967&amp;"|"&amp;D967</f>
        <v>BLR-Manjunatha layout|2</v>
      </c>
    </row>
    <row r="968" customFormat="false" ht="15" hidden="false" customHeight="false" outlineLevel="0" collapsed="false">
      <c r="A968" s="59" t="s">
        <v>69</v>
      </c>
      <c r="B968" s="59" t="s">
        <v>410</v>
      </c>
      <c r="C968" s="60" t="n">
        <v>7184.96</v>
      </c>
      <c r="D968" s="59" t="n">
        <f aca="false">COUNTIFS($A$2:$A$1931,A968,$C$2:$C$1931,"&gt;"&amp;C968)+COUNTIFS($A$2:A968,A968,$C$2:C968,C968)</f>
        <v>3</v>
      </c>
      <c r="E968" s="59" t="str">
        <f aca="false">A968&amp;"|"&amp;D968</f>
        <v>BLR-Manjunatha layout|3</v>
      </c>
    </row>
    <row r="969" customFormat="false" ht="15" hidden="false" customHeight="false" outlineLevel="0" collapsed="false">
      <c r="A969" s="59" t="s">
        <v>69</v>
      </c>
      <c r="B969" s="59" t="s">
        <v>415</v>
      </c>
      <c r="C969" s="60" t="n">
        <v>3017.86</v>
      </c>
      <c r="D969" s="59" t="n">
        <f aca="false">COUNTIFS($A$2:$A$1931,A969,$C$2:$C$1931,"&gt;"&amp;C969)+COUNTIFS($A$2:A969,A969,$C$2:C969,C969)</f>
        <v>4</v>
      </c>
      <c r="E969" s="59" t="str">
        <f aca="false">A969&amp;"|"&amp;D969</f>
        <v>BLR-Manjunatha layout|4</v>
      </c>
    </row>
    <row r="970" customFormat="false" ht="15" hidden="false" customHeight="false" outlineLevel="0" collapsed="false">
      <c r="A970" s="59" t="s">
        <v>69</v>
      </c>
      <c r="B970" s="59" t="s">
        <v>431</v>
      </c>
      <c r="C970" s="60" t="n">
        <v>2879.33</v>
      </c>
      <c r="D970" s="59" t="n">
        <f aca="false">COUNTIFS($A$2:$A$1931,A970,$C$2:$C$1931,"&gt;"&amp;C970)+COUNTIFS($A$2:A970,A970,$C$2:C970,C970)</f>
        <v>5</v>
      </c>
      <c r="E970" s="59" t="str">
        <f aca="false">A970&amp;"|"&amp;D970</f>
        <v>BLR-Manjunatha layout|5</v>
      </c>
    </row>
    <row r="971" customFormat="false" ht="15" hidden="false" customHeight="false" outlineLevel="0" collapsed="false">
      <c r="A971" s="59" t="s">
        <v>69</v>
      </c>
      <c r="B971" s="59" t="s">
        <v>409</v>
      </c>
      <c r="C971" s="60" t="n">
        <v>2485.15</v>
      </c>
      <c r="D971" s="59" t="n">
        <f aca="false">COUNTIFS($A$2:$A$1931,A971,$C$2:$C$1931,"&gt;"&amp;C971)+COUNTIFS($A$2:A971,A971,$C$2:C971,C971)</f>
        <v>6</v>
      </c>
      <c r="E971" s="59" t="str">
        <f aca="false">A971&amp;"|"&amp;D971</f>
        <v>BLR-Manjunatha layout|6</v>
      </c>
    </row>
    <row r="972" customFormat="false" ht="15" hidden="false" customHeight="false" outlineLevel="0" collapsed="false">
      <c r="A972" s="59" t="s">
        <v>69</v>
      </c>
      <c r="B972" s="59" t="s">
        <v>417</v>
      </c>
      <c r="C972" s="60" t="n">
        <v>948.35</v>
      </c>
      <c r="D972" s="59" t="n">
        <f aca="false">COUNTIFS($A$2:$A$1931,A972,$C$2:$C$1931,"&gt;"&amp;C972)+COUNTIFS($A$2:A972,A972,$C$2:C972,C972)</f>
        <v>7</v>
      </c>
      <c r="E972" s="59" t="str">
        <f aca="false">A972&amp;"|"&amp;D972</f>
        <v>BLR-Manjunatha layout|7</v>
      </c>
    </row>
    <row r="973" customFormat="false" ht="15" hidden="false" customHeight="false" outlineLevel="0" collapsed="false">
      <c r="A973" s="59" t="s">
        <v>69</v>
      </c>
      <c r="B973" s="59" t="s">
        <v>436</v>
      </c>
      <c r="C973" s="60" t="n">
        <v>25.41</v>
      </c>
      <c r="D973" s="59" t="n">
        <f aca="false">COUNTIFS($A$2:$A$1931,A973,$C$2:$C$1931,"&gt;"&amp;C973)+COUNTIFS($A$2:A973,A973,$C$2:C973,C973)</f>
        <v>8</v>
      </c>
      <c r="E973" s="59" t="str">
        <f aca="false">A973&amp;"|"&amp;D973</f>
        <v>BLR-Manjunatha layout|8</v>
      </c>
    </row>
    <row r="974" customFormat="false" ht="15" hidden="false" customHeight="false" outlineLevel="0" collapsed="false">
      <c r="A974" s="59" t="s">
        <v>163</v>
      </c>
      <c r="B974" s="59" t="s">
        <v>410</v>
      </c>
      <c r="C974" s="60" t="n">
        <v>6463.41</v>
      </c>
      <c r="D974" s="59" t="n">
        <f aca="false">COUNTIFS($A$2:$A$1931,A974,$C$2:$C$1931,"&gt;"&amp;C974)+COUNTIFS($A$2:A974,A974,$C$2:C974,C974)</f>
        <v>1</v>
      </c>
      <c r="E974" s="59" t="str">
        <f aca="false">A974&amp;"|"&amp;D974</f>
        <v>BLR-Marathahalli 2|1</v>
      </c>
    </row>
    <row r="975" customFormat="false" ht="15" hidden="false" customHeight="false" outlineLevel="0" collapsed="false">
      <c r="A975" s="59" t="s">
        <v>163</v>
      </c>
      <c r="B975" s="59" t="s">
        <v>424</v>
      </c>
      <c r="C975" s="60" t="n">
        <v>2366.28</v>
      </c>
      <c r="D975" s="59" t="n">
        <f aca="false">COUNTIFS($A$2:$A$1931,A975,$C$2:$C$1931,"&gt;"&amp;C975)+COUNTIFS($A$2:A975,A975,$C$2:C975,C975)</f>
        <v>2</v>
      </c>
      <c r="E975" s="59" t="str">
        <f aca="false">A975&amp;"|"&amp;D975</f>
        <v>BLR-Marathahalli 2|2</v>
      </c>
    </row>
    <row r="976" customFormat="false" ht="15" hidden="false" customHeight="false" outlineLevel="0" collapsed="false">
      <c r="A976" s="59" t="s">
        <v>163</v>
      </c>
      <c r="B976" s="59" t="s">
        <v>441</v>
      </c>
      <c r="C976" s="60" t="n">
        <v>706.44</v>
      </c>
      <c r="D976" s="59" t="n">
        <f aca="false">COUNTIFS($A$2:$A$1931,A976,$C$2:$C$1931,"&gt;"&amp;C976)+COUNTIFS($A$2:A976,A976,$C$2:C976,C976)</f>
        <v>3</v>
      </c>
      <c r="E976" s="59" t="str">
        <f aca="false">A976&amp;"|"&amp;D976</f>
        <v>BLR-Marathahalli 2|3</v>
      </c>
    </row>
    <row r="977" customFormat="false" ht="15" hidden="false" customHeight="false" outlineLevel="0" collapsed="false">
      <c r="A977" s="59" t="s">
        <v>163</v>
      </c>
      <c r="B977" s="59" t="s">
        <v>431</v>
      </c>
      <c r="C977" s="60" t="n">
        <v>559.35</v>
      </c>
      <c r="D977" s="59" t="n">
        <f aca="false">COUNTIFS($A$2:$A$1931,A977,$C$2:$C$1931,"&gt;"&amp;C977)+COUNTIFS($A$2:A977,A977,$C$2:C977,C977)</f>
        <v>4</v>
      </c>
      <c r="E977" s="59" t="str">
        <f aca="false">A977&amp;"|"&amp;D977</f>
        <v>BLR-Marathahalli 2|4</v>
      </c>
    </row>
    <row r="978" customFormat="false" ht="15" hidden="false" customHeight="false" outlineLevel="0" collapsed="false">
      <c r="A978" s="59" t="s">
        <v>163</v>
      </c>
      <c r="B978" s="59" t="s">
        <v>423</v>
      </c>
      <c r="C978" s="60" t="n">
        <v>276.96</v>
      </c>
      <c r="D978" s="59" t="n">
        <f aca="false">COUNTIFS($A$2:$A$1931,A978,$C$2:$C$1931,"&gt;"&amp;C978)+COUNTIFS($A$2:A978,A978,$C$2:C978,C978)</f>
        <v>5</v>
      </c>
      <c r="E978" s="59" t="str">
        <f aca="false">A978&amp;"|"&amp;D978</f>
        <v>BLR-Marathahalli 2|5</v>
      </c>
    </row>
    <row r="979" customFormat="false" ht="15" hidden="false" customHeight="false" outlineLevel="0" collapsed="false">
      <c r="A979" s="59" t="s">
        <v>163</v>
      </c>
      <c r="B979" s="59" t="s">
        <v>417</v>
      </c>
      <c r="C979" s="60" t="n">
        <v>208.05</v>
      </c>
      <c r="D979" s="59" t="n">
        <f aca="false">COUNTIFS($A$2:$A$1931,A979,$C$2:$C$1931,"&gt;"&amp;C979)+COUNTIFS($A$2:A979,A979,$C$2:C979,C979)</f>
        <v>6</v>
      </c>
      <c r="E979" s="59" t="str">
        <f aca="false">A979&amp;"|"&amp;D979</f>
        <v>BLR-Marathahalli 2|6</v>
      </c>
    </row>
    <row r="980" customFormat="false" ht="15" hidden="false" customHeight="false" outlineLevel="0" collapsed="false">
      <c r="A980" s="59" t="s">
        <v>163</v>
      </c>
      <c r="B980" s="59" t="s">
        <v>432</v>
      </c>
      <c r="C980" s="60" t="n">
        <v>14.74</v>
      </c>
      <c r="D980" s="59" t="n">
        <f aca="false">COUNTIFS($A$2:$A$1931,A980,$C$2:$C$1931,"&gt;"&amp;C980)+COUNTIFS($A$2:A980,A980,$C$2:C980,C980)</f>
        <v>7</v>
      </c>
      <c r="E980" s="59" t="str">
        <f aca="false">A980&amp;"|"&amp;D980</f>
        <v>BLR-Marathahalli 2|7</v>
      </c>
    </row>
    <row r="981" customFormat="false" ht="15" hidden="false" customHeight="false" outlineLevel="0" collapsed="false">
      <c r="A981" s="59" t="s">
        <v>120</v>
      </c>
      <c r="B981" s="59" t="s">
        <v>417</v>
      </c>
      <c r="C981" s="60" t="n">
        <v>27645.48</v>
      </c>
      <c r="D981" s="59" t="n">
        <f aca="false">COUNTIFS($A$2:$A$1931,A981,$C$2:$C$1931,"&gt;"&amp;C981)+COUNTIFS($A$2:A981,A981,$C$2:C981,C981)</f>
        <v>1</v>
      </c>
      <c r="E981" s="59" t="str">
        <f aca="false">A981&amp;"|"&amp;D981</f>
        <v>BLR-Marathahalli New|1</v>
      </c>
    </row>
    <row r="982" customFormat="false" ht="15" hidden="false" customHeight="false" outlineLevel="0" collapsed="false">
      <c r="A982" s="59" t="s">
        <v>120</v>
      </c>
      <c r="B982" s="59" t="s">
        <v>418</v>
      </c>
      <c r="C982" s="60" t="n">
        <v>15291.35</v>
      </c>
      <c r="D982" s="59" t="n">
        <f aca="false">COUNTIFS($A$2:$A$1931,A982,$C$2:$C$1931,"&gt;"&amp;C982)+COUNTIFS($A$2:A982,A982,$C$2:C982,C982)</f>
        <v>2</v>
      </c>
      <c r="E982" s="59" t="str">
        <f aca="false">A982&amp;"|"&amp;D982</f>
        <v>BLR-Marathahalli New|2</v>
      </c>
    </row>
    <row r="983" customFormat="false" ht="15" hidden="false" customHeight="false" outlineLevel="0" collapsed="false">
      <c r="A983" s="59" t="s">
        <v>120</v>
      </c>
      <c r="B983" s="59" t="s">
        <v>408</v>
      </c>
      <c r="C983" s="60" t="n">
        <v>13548.42</v>
      </c>
      <c r="D983" s="59" t="n">
        <f aca="false">COUNTIFS($A$2:$A$1931,A983,$C$2:$C$1931,"&gt;"&amp;C983)+COUNTIFS($A$2:A983,A983,$C$2:C983,C983)</f>
        <v>3</v>
      </c>
      <c r="E983" s="59" t="str">
        <f aca="false">A983&amp;"|"&amp;D983</f>
        <v>BLR-Marathahalli New|3</v>
      </c>
    </row>
    <row r="984" customFormat="false" ht="15" hidden="false" customHeight="false" outlineLevel="0" collapsed="false">
      <c r="A984" s="59" t="s">
        <v>120</v>
      </c>
      <c r="B984" s="59" t="s">
        <v>409</v>
      </c>
      <c r="C984" s="60" t="n">
        <v>12613.52</v>
      </c>
      <c r="D984" s="59" t="n">
        <f aca="false">COUNTIFS($A$2:$A$1931,A984,$C$2:$C$1931,"&gt;"&amp;C984)+COUNTIFS($A$2:A984,A984,$C$2:C984,C984)</f>
        <v>4</v>
      </c>
      <c r="E984" s="59" t="str">
        <f aca="false">A984&amp;"|"&amp;D984</f>
        <v>BLR-Marathahalli New|4</v>
      </c>
    </row>
    <row r="985" customFormat="false" ht="15" hidden="false" customHeight="false" outlineLevel="0" collapsed="false">
      <c r="A985" s="59" t="s">
        <v>120</v>
      </c>
      <c r="B985" s="59" t="s">
        <v>413</v>
      </c>
      <c r="C985" s="60" t="n">
        <v>8115</v>
      </c>
      <c r="D985" s="59" t="n">
        <f aca="false">COUNTIFS($A$2:$A$1931,A985,$C$2:$C$1931,"&gt;"&amp;C985)+COUNTIFS($A$2:A985,A985,$C$2:C985,C985)</f>
        <v>5</v>
      </c>
      <c r="E985" s="59" t="str">
        <f aca="false">A985&amp;"|"&amp;D985</f>
        <v>BLR-Marathahalli New|5</v>
      </c>
    </row>
    <row r="986" customFormat="false" ht="15" hidden="false" customHeight="false" outlineLevel="0" collapsed="false">
      <c r="A986" s="59" t="s">
        <v>120</v>
      </c>
      <c r="B986" s="59" t="s">
        <v>410</v>
      </c>
      <c r="C986" s="60" t="n">
        <v>5700.48</v>
      </c>
      <c r="D986" s="59" t="n">
        <f aca="false">COUNTIFS($A$2:$A$1931,A986,$C$2:$C$1931,"&gt;"&amp;C986)+COUNTIFS($A$2:A986,A986,$C$2:C986,C986)</f>
        <v>6</v>
      </c>
      <c r="E986" s="59" t="str">
        <f aca="false">A986&amp;"|"&amp;D986</f>
        <v>BLR-Marathahalli New|6</v>
      </c>
    </row>
    <row r="987" customFormat="false" ht="15" hidden="false" customHeight="false" outlineLevel="0" collapsed="false">
      <c r="A987" s="59" t="s">
        <v>120</v>
      </c>
      <c r="B987" s="59" t="s">
        <v>412</v>
      </c>
      <c r="C987" s="60" t="n">
        <v>2871.75</v>
      </c>
      <c r="D987" s="59" t="n">
        <f aca="false">COUNTIFS($A$2:$A$1931,A987,$C$2:$C$1931,"&gt;"&amp;C987)+COUNTIFS($A$2:A987,A987,$C$2:C987,C987)</f>
        <v>7</v>
      </c>
      <c r="E987" s="59" t="str">
        <f aca="false">A987&amp;"|"&amp;D987</f>
        <v>BLR-Marathahalli New|7</v>
      </c>
    </row>
    <row r="988" customFormat="false" ht="15" hidden="false" customHeight="false" outlineLevel="0" collapsed="false">
      <c r="A988" s="59" t="s">
        <v>120</v>
      </c>
      <c r="B988" s="59" t="s">
        <v>424</v>
      </c>
      <c r="C988" s="60" t="n">
        <v>1871.75</v>
      </c>
      <c r="D988" s="59" t="n">
        <f aca="false">COUNTIFS($A$2:$A$1931,A988,$C$2:$C$1931,"&gt;"&amp;C988)+COUNTIFS($A$2:A988,A988,$C$2:C988,C988)</f>
        <v>8</v>
      </c>
      <c r="E988" s="59" t="str">
        <f aca="false">A988&amp;"|"&amp;D988</f>
        <v>BLR-Marathahalli New|8</v>
      </c>
    </row>
    <row r="989" customFormat="false" ht="15" hidden="false" customHeight="false" outlineLevel="0" collapsed="false">
      <c r="A989" s="59" t="s">
        <v>120</v>
      </c>
      <c r="B989" s="59" t="s">
        <v>415</v>
      </c>
      <c r="C989" s="60" t="n">
        <v>17.72</v>
      </c>
      <c r="D989" s="59" t="n">
        <f aca="false">COUNTIFS($A$2:$A$1931,A989,$C$2:$C$1931,"&gt;"&amp;C989)+COUNTIFS($A$2:A989,A989,$C$2:C989,C989)</f>
        <v>9</v>
      </c>
      <c r="E989" s="59" t="str">
        <f aca="false">A989&amp;"|"&amp;D989</f>
        <v>BLR-Marathahalli New|9</v>
      </c>
    </row>
    <row r="990" customFormat="false" ht="15" hidden="false" customHeight="false" outlineLevel="0" collapsed="false">
      <c r="A990" s="59" t="s">
        <v>52</v>
      </c>
      <c r="B990" s="59" t="s">
        <v>412</v>
      </c>
      <c r="C990" s="60" t="n">
        <v>18560.3</v>
      </c>
      <c r="D990" s="59" t="n">
        <f aca="false">COUNTIFS($A$2:$A$1931,A990,$C$2:$C$1931,"&gt;"&amp;C990)+COUNTIFS($A$2:A990,A990,$C$2:C990,C990)</f>
        <v>1</v>
      </c>
      <c r="E990" s="59" t="str">
        <f aca="false">A990&amp;"|"&amp;D990</f>
        <v>BLR-Marathahalli-3|1</v>
      </c>
    </row>
    <row r="991" customFormat="false" ht="15" hidden="false" customHeight="false" outlineLevel="0" collapsed="false">
      <c r="A991" s="59" t="s">
        <v>52</v>
      </c>
      <c r="B991" s="59" t="s">
        <v>413</v>
      </c>
      <c r="C991" s="60" t="n">
        <v>17945.59</v>
      </c>
      <c r="D991" s="59" t="n">
        <f aca="false">COUNTIFS($A$2:$A$1931,A991,$C$2:$C$1931,"&gt;"&amp;C991)+COUNTIFS($A$2:A991,A991,$C$2:C991,C991)</f>
        <v>2</v>
      </c>
      <c r="E991" s="59" t="str">
        <f aca="false">A991&amp;"|"&amp;D991</f>
        <v>BLR-Marathahalli-3|2</v>
      </c>
    </row>
    <row r="992" customFormat="false" ht="15" hidden="false" customHeight="false" outlineLevel="0" collapsed="false">
      <c r="A992" s="59" t="s">
        <v>52</v>
      </c>
      <c r="B992" s="59" t="s">
        <v>431</v>
      </c>
      <c r="C992" s="60" t="n">
        <v>5649.26</v>
      </c>
      <c r="D992" s="59" t="n">
        <f aca="false">COUNTIFS($A$2:$A$1931,A992,$C$2:$C$1931,"&gt;"&amp;C992)+COUNTIFS($A$2:A992,A992,$C$2:C992,C992)</f>
        <v>3</v>
      </c>
      <c r="E992" s="59" t="str">
        <f aca="false">A992&amp;"|"&amp;D992</f>
        <v>BLR-Marathahalli-3|3</v>
      </c>
    </row>
    <row r="993" customFormat="false" ht="15" hidden="false" customHeight="false" outlineLevel="0" collapsed="false">
      <c r="A993" s="59" t="s">
        <v>52</v>
      </c>
      <c r="B993" s="59" t="s">
        <v>409</v>
      </c>
      <c r="C993" s="60" t="n">
        <v>4769.57</v>
      </c>
      <c r="D993" s="59" t="n">
        <f aca="false">COUNTIFS($A$2:$A$1931,A993,$C$2:$C$1931,"&gt;"&amp;C993)+COUNTIFS($A$2:A993,A993,$C$2:C993,C993)</f>
        <v>4</v>
      </c>
      <c r="E993" s="59" t="str">
        <f aca="false">A993&amp;"|"&amp;D993</f>
        <v>BLR-Marathahalli-3|4</v>
      </c>
    </row>
    <row r="994" customFormat="false" ht="15" hidden="false" customHeight="false" outlineLevel="0" collapsed="false">
      <c r="A994" s="59" t="s">
        <v>52</v>
      </c>
      <c r="B994" s="59" t="s">
        <v>408</v>
      </c>
      <c r="C994" s="60" t="n">
        <v>2758.14</v>
      </c>
      <c r="D994" s="59" t="n">
        <f aca="false">COUNTIFS($A$2:$A$1931,A994,$C$2:$C$1931,"&gt;"&amp;C994)+COUNTIFS($A$2:A994,A994,$C$2:C994,C994)</f>
        <v>5</v>
      </c>
      <c r="E994" s="59" t="str">
        <f aca="false">A994&amp;"|"&amp;D994</f>
        <v>BLR-Marathahalli-3|5</v>
      </c>
    </row>
    <row r="995" customFormat="false" ht="15" hidden="false" customHeight="false" outlineLevel="0" collapsed="false">
      <c r="A995" s="59" t="s">
        <v>52</v>
      </c>
      <c r="B995" s="59" t="s">
        <v>410</v>
      </c>
      <c r="C995" s="60" t="n">
        <v>1999.17</v>
      </c>
      <c r="D995" s="59" t="n">
        <f aca="false">COUNTIFS($A$2:$A$1931,A995,$C$2:$C$1931,"&gt;"&amp;C995)+COUNTIFS($A$2:A995,A995,$C$2:C995,C995)</f>
        <v>6</v>
      </c>
      <c r="E995" s="59" t="str">
        <f aca="false">A995&amp;"|"&amp;D995</f>
        <v>BLR-Marathahalli-3|6</v>
      </c>
    </row>
    <row r="996" customFormat="false" ht="15" hidden="false" customHeight="false" outlineLevel="0" collapsed="false">
      <c r="A996" s="59" t="s">
        <v>52</v>
      </c>
      <c r="B996" s="59" t="s">
        <v>418</v>
      </c>
      <c r="C996" s="60" t="n">
        <v>77.38</v>
      </c>
      <c r="D996" s="59" t="n">
        <f aca="false">COUNTIFS($A$2:$A$1931,A996,$C$2:$C$1931,"&gt;"&amp;C996)+COUNTIFS($A$2:A996,A996,$C$2:C996,C996)</f>
        <v>7</v>
      </c>
      <c r="E996" s="59" t="str">
        <f aca="false">A996&amp;"|"&amp;D996</f>
        <v>BLR-Marathahalli-3|7</v>
      </c>
    </row>
    <row r="997" customFormat="false" ht="15" hidden="false" customHeight="false" outlineLevel="0" collapsed="false">
      <c r="A997" s="59" t="s">
        <v>135</v>
      </c>
      <c r="B997" s="59" t="s">
        <v>418</v>
      </c>
      <c r="C997" s="60" t="n">
        <v>5095.11</v>
      </c>
      <c r="D997" s="59" t="n">
        <f aca="false">COUNTIFS($A$2:$A$1931,A997,$C$2:$C$1931,"&gt;"&amp;C997)+COUNTIFS($A$2:A997,A997,$C$2:C997,C997)</f>
        <v>1</v>
      </c>
      <c r="E997" s="59" t="str">
        <f aca="false">A997&amp;"|"&amp;D997</f>
        <v>BLR-Marathahalli-4|1</v>
      </c>
    </row>
    <row r="998" customFormat="false" ht="15" hidden="false" customHeight="false" outlineLevel="0" collapsed="false">
      <c r="A998" s="59" t="s">
        <v>135</v>
      </c>
      <c r="B998" s="59" t="s">
        <v>408</v>
      </c>
      <c r="C998" s="60" t="n">
        <v>5028.17</v>
      </c>
      <c r="D998" s="59" t="n">
        <f aca="false">COUNTIFS($A$2:$A$1931,A998,$C$2:$C$1931,"&gt;"&amp;C998)+COUNTIFS($A$2:A998,A998,$C$2:C998,C998)</f>
        <v>2</v>
      </c>
      <c r="E998" s="59" t="str">
        <f aca="false">A998&amp;"|"&amp;D998</f>
        <v>BLR-Marathahalli-4|2</v>
      </c>
    </row>
    <row r="999" customFormat="false" ht="15" hidden="false" customHeight="false" outlineLevel="0" collapsed="false">
      <c r="A999" s="59" t="s">
        <v>135</v>
      </c>
      <c r="B999" s="59" t="s">
        <v>409</v>
      </c>
      <c r="C999" s="60" t="n">
        <v>3176.64</v>
      </c>
      <c r="D999" s="59" t="n">
        <f aca="false">COUNTIFS($A$2:$A$1931,A999,$C$2:$C$1931,"&gt;"&amp;C999)+COUNTIFS($A$2:A999,A999,$C$2:C999,C999)</f>
        <v>3</v>
      </c>
      <c r="E999" s="59" t="str">
        <f aca="false">A999&amp;"|"&amp;D999</f>
        <v>BLR-Marathahalli-4|3</v>
      </c>
    </row>
    <row r="1000" customFormat="false" ht="15" hidden="false" customHeight="false" outlineLevel="0" collapsed="false">
      <c r="A1000" s="59" t="s">
        <v>135</v>
      </c>
      <c r="B1000" s="59" t="s">
        <v>412</v>
      </c>
      <c r="C1000" s="60" t="n">
        <v>1551.34</v>
      </c>
      <c r="D1000" s="59" t="n">
        <f aca="false">COUNTIFS($A$2:$A$1931,A1000,$C$2:$C$1931,"&gt;"&amp;C1000)+COUNTIFS($A$2:A1000,A1000,$C$2:C1000,C1000)</f>
        <v>4</v>
      </c>
      <c r="E1000" s="59" t="str">
        <f aca="false">A1000&amp;"|"&amp;D1000</f>
        <v>BLR-Marathahalli-4|4</v>
      </c>
    </row>
    <row r="1001" customFormat="false" ht="15" hidden="false" customHeight="false" outlineLevel="0" collapsed="false">
      <c r="A1001" s="59" t="s">
        <v>135</v>
      </c>
      <c r="B1001" s="59" t="s">
        <v>417</v>
      </c>
      <c r="C1001" s="60" t="n">
        <v>416.34</v>
      </c>
      <c r="D1001" s="59" t="n">
        <f aca="false">COUNTIFS($A$2:$A$1931,A1001,$C$2:$C$1931,"&gt;"&amp;C1001)+COUNTIFS($A$2:A1001,A1001,$C$2:C1001,C1001)</f>
        <v>5</v>
      </c>
      <c r="E1001" s="59" t="str">
        <f aca="false">A1001&amp;"|"&amp;D1001</f>
        <v>BLR-Marathahalli-4|5</v>
      </c>
    </row>
    <row r="1002" customFormat="false" ht="15" hidden="false" customHeight="false" outlineLevel="0" collapsed="false">
      <c r="A1002" s="59" t="s">
        <v>67</v>
      </c>
      <c r="B1002" s="59" t="s">
        <v>418</v>
      </c>
      <c r="C1002" s="60" t="n">
        <v>7366.23</v>
      </c>
      <c r="D1002" s="59" t="n">
        <f aca="false">COUNTIFS($A$2:$A$1931,A1002,$C$2:$C$1931,"&gt;"&amp;C1002)+COUNTIFS($A$2:A1002,A1002,$C$2:C1002,C1002)</f>
        <v>1</v>
      </c>
      <c r="E1002" s="59" t="str">
        <f aca="false">A1002&amp;"|"&amp;D1002</f>
        <v>BLR-Marathalli SS|1</v>
      </c>
    </row>
    <row r="1003" customFormat="false" ht="15" hidden="false" customHeight="false" outlineLevel="0" collapsed="false">
      <c r="A1003" s="59" t="s">
        <v>67</v>
      </c>
      <c r="B1003" s="59" t="s">
        <v>419</v>
      </c>
      <c r="C1003" s="60" t="n">
        <v>6920.42</v>
      </c>
      <c r="D1003" s="59" t="n">
        <f aca="false">COUNTIFS($A$2:$A$1931,A1003,$C$2:$C$1931,"&gt;"&amp;C1003)+COUNTIFS($A$2:A1003,A1003,$C$2:C1003,C1003)</f>
        <v>2</v>
      </c>
      <c r="E1003" s="59" t="str">
        <f aca="false">A1003&amp;"|"&amp;D1003</f>
        <v>BLR-Marathalli SS|2</v>
      </c>
    </row>
    <row r="1004" customFormat="false" ht="15" hidden="false" customHeight="false" outlineLevel="0" collapsed="false">
      <c r="A1004" s="59" t="s">
        <v>67</v>
      </c>
      <c r="B1004" s="59" t="s">
        <v>410</v>
      </c>
      <c r="C1004" s="60" t="n">
        <v>6910.63</v>
      </c>
      <c r="D1004" s="59" t="n">
        <f aca="false">COUNTIFS($A$2:$A$1931,A1004,$C$2:$C$1931,"&gt;"&amp;C1004)+COUNTIFS($A$2:A1004,A1004,$C$2:C1004,C1004)</f>
        <v>3</v>
      </c>
      <c r="E1004" s="59" t="str">
        <f aca="false">A1004&amp;"|"&amp;D1004</f>
        <v>BLR-Marathalli SS|3</v>
      </c>
    </row>
    <row r="1005" customFormat="false" ht="15" hidden="false" customHeight="false" outlineLevel="0" collapsed="false">
      <c r="A1005" s="59" t="s">
        <v>67</v>
      </c>
      <c r="B1005" s="59" t="s">
        <v>438</v>
      </c>
      <c r="C1005" s="60" t="n">
        <v>4111.84</v>
      </c>
      <c r="D1005" s="59" t="n">
        <f aca="false">COUNTIFS($A$2:$A$1931,A1005,$C$2:$C$1931,"&gt;"&amp;C1005)+COUNTIFS($A$2:A1005,A1005,$C$2:C1005,C1005)</f>
        <v>4</v>
      </c>
      <c r="E1005" s="59" t="str">
        <f aca="false">A1005&amp;"|"&amp;D1005</f>
        <v>BLR-Marathalli SS|4</v>
      </c>
    </row>
    <row r="1006" customFormat="false" ht="15" hidden="false" customHeight="false" outlineLevel="0" collapsed="false">
      <c r="A1006" s="59" t="s">
        <v>67</v>
      </c>
      <c r="B1006" s="59" t="s">
        <v>421</v>
      </c>
      <c r="C1006" s="60" t="n">
        <v>3985.86</v>
      </c>
      <c r="D1006" s="59" t="n">
        <f aca="false">COUNTIFS($A$2:$A$1931,A1006,$C$2:$C$1931,"&gt;"&amp;C1006)+COUNTIFS($A$2:A1006,A1006,$C$2:C1006,C1006)</f>
        <v>5</v>
      </c>
      <c r="E1006" s="59" t="str">
        <f aca="false">A1006&amp;"|"&amp;D1006</f>
        <v>BLR-Marathalli SS|5</v>
      </c>
    </row>
    <row r="1007" customFormat="false" ht="15" hidden="false" customHeight="false" outlineLevel="0" collapsed="false">
      <c r="A1007" s="59" t="s">
        <v>67</v>
      </c>
      <c r="B1007" s="59" t="s">
        <v>426</v>
      </c>
      <c r="C1007" s="60" t="n">
        <v>3756.82</v>
      </c>
      <c r="D1007" s="59" t="n">
        <f aca="false">COUNTIFS($A$2:$A$1931,A1007,$C$2:$C$1931,"&gt;"&amp;C1007)+COUNTIFS($A$2:A1007,A1007,$C$2:C1007,C1007)</f>
        <v>6</v>
      </c>
      <c r="E1007" s="59" t="str">
        <f aca="false">A1007&amp;"|"&amp;D1007</f>
        <v>BLR-Marathalli SS|6</v>
      </c>
    </row>
    <row r="1008" customFormat="false" ht="15" hidden="false" customHeight="false" outlineLevel="0" collapsed="false">
      <c r="A1008" s="59" t="s">
        <v>67</v>
      </c>
      <c r="B1008" s="59" t="s">
        <v>413</v>
      </c>
      <c r="C1008" s="60" t="n">
        <v>3210.06</v>
      </c>
      <c r="D1008" s="59" t="n">
        <f aca="false">COUNTIFS($A$2:$A$1931,A1008,$C$2:$C$1931,"&gt;"&amp;C1008)+COUNTIFS($A$2:A1008,A1008,$C$2:C1008,C1008)</f>
        <v>7</v>
      </c>
      <c r="E1008" s="59" t="str">
        <f aca="false">A1008&amp;"|"&amp;D1008</f>
        <v>BLR-Marathalli SS|7</v>
      </c>
    </row>
    <row r="1009" customFormat="false" ht="15" hidden="false" customHeight="false" outlineLevel="0" collapsed="false">
      <c r="A1009" s="59" t="s">
        <v>67</v>
      </c>
      <c r="B1009" s="59" t="s">
        <v>412</v>
      </c>
      <c r="C1009" s="60" t="n">
        <v>2340.34</v>
      </c>
      <c r="D1009" s="59" t="n">
        <f aca="false">COUNTIFS($A$2:$A$1931,A1009,$C$2:$C$1931,"&gt;"&amp;C1009)+COUNTIFS($A$2:A1009,A1009,$C$2:C1009,C1009)</f>
        <v>8</v>
      </c>
      <c r="E1009" s="59" t="str">
        <f aca="false">A1009&amp;"|"&amp;D1009</f>
        <v>BLR-Marathalli SS|8</v>
      </c>
    </row>
    <row r="1010" customFormat="false" ht="15" hidden="false" customHeight="false" outlineLevel="0" collapsed="false">
      <c r="A1010" s="59" t="s">
        <v>67</v>
      </c>
      <c r="B1010" s="59" t="s">
        <v>435</v>
      </c>
      <c r="C1010" s="60" t="n">
        <v>2330.53</v>
      </c>
      <c r="D1010" s="59" t="n">
        <f aca="false">COUNTIFS($A$2:$A$1931,A1010,$C$2:$C$1931,"&gt;"&amp;C1010)+COUNTIFS($A$2:A1010,A1010,$C$2:C1010,C1010)</f>
        <v>9</v>
      </c>
      <c r="E1010" s="59" t="str">
        <f aca="false">A1010&amp;"|"&amp;D1010</f>
        <v>BLR-Marathalli SS|9</v>
      </c>
    </row>
    <row r="1011" customFormat="false" ht="15" hidden="false" customHeight="false" outlineLevel="0" collapsed="false">
      <c r="A1011" s="59" t="s">
        <v>67</v>
      </c>
      <c r="B1011" s="59" t="s">
        <v>409</v>
      </c>
      <c r="C1011" s="60" t="n">
        <v>1946.69</v>
      </c>
      <c r="D1011" s="59" t="n">
        <f aca="false">COUNTIFS($A$2:$A$1931,A1011,$C$2:$C$1931,"&gt;"&amp;C1011)+COUNTIFS($A$2:A1011,A1011,$C$2:C1011,C1011)</f>
        <v>10</v>
      </c>
      <c r="E1011" s="59" t="str">
        <f aca="false">A1011&amp;"|"&amp;D1011</f>
        <v>BLR-Marathalli SS|10</v>
      </c>
    </row>
    <row r="1012" customFormat="false" ht="15" hidden="false" customHeight="false" outlineLevel="0" collapsed="false">
      <c r="A1012" s="59" t="s">
        <v>67</v>
      </c>
      <c r="B1012" s="59" t="s">
        <v>424</v>
      </c>
      <c r="C1012" s="60" t="n">
        <v>1934.4</v>
      </c>
      <c r="D1012" s="59" t="n">
        <f aca="false">COUNTIFS($A$2:$A$1931,A1012,$C$2:$C$1931,"&gt;"&amp;C1012)+COUNTIFS($A$2:A1012,A1012,$C$2:C1012,C1012)</f>
        <v>11</v>
      </c>
      <c r="E1012" s="59" t="str">
        <f aca="false">A1012&amp;"|"&amp;D1012</f>
        <v>BLR-Marathalli SS|11</v>
      </c>
    </row>
    <row r="1013" customFormat="false" ht="15" hidden="false" customHeight="false" outlineLevel="0" collapsed="false">
      <c r="A1013" s="59" t="s">
        <v>67</v>
      </c>
      <c r="B1013" s="59" t="s">
        <v>408</v>
      </c>
      <c r="C1013" s="60" t="n">
        <v>1297.15</v>
      </c>
      <c r="D1013" s="59" t="n">
        <f aca="false">COUNTIFS($A$2:$A$1931,A1013,$C$2:$C$1931,"&gt;"&amp;C1013)+COUNTIFS($A$2:A1013,A1013,$C$2:C1013,C1013)</f>
        <v>12</v>
      </c>
      <c r="E1013" s="59" t="str">
        <f aca="false">A1013&amp;"|"&amp;D1013</f>
        <v>BLR-Marathalli SS|12</v>
      </c>
    </row>
    <row r="1014" customFormat="false" ht="15" hidden="false" customHeight="false" outlineLevel="0" collapsed="false">
      <c r="A1014" s="59" t="s">
        <v>67</v>
      </c>
      <c r="B1014" s="59" t="s">
        <v>449</v>
      </c>
      <c r="C1014" s="60" t="n">
        <v>1101.27</v>
      </c>
      <c r="D1014" s="59" t="n">
        <f aca="false">COUNTIFS($A$2:$A$1931,A1014,$C$2:$C$1931,"&gt;"&amp;C1014)+COUNTIFS($A$2:A1014,A1014,$C$2:C1014,C1014)</f>
        <v>13</v>
      </c>
      <c r="E1014" s="59" t="str">
        <f aca="false">A1014&amp;"|"&amp;D1014</f>
        <v>BLR-Marathalli SS|13</v>
      </c>
    </row>
    <row r="1015" customFormat="false" ht="15" hidden="false" customHeight="false" outlineLevel="0" collapsed="false">
      <c r="A1015" s="59" t="s">
        <v>67</v>
      </c>
      <c r="B1015" s="59" t="s">
        <v>416</v>
      </c>
      <c r="C1015" s="60" t="n">
        <v>679.3</v>
      </c>
      <c r="D1015" s="59" t="n">
        <f aca="false">COUNTIFS($A$2:$A$1931,A1015,$C$2:$C$1931,"&gt;"&amp;C1015)+COUNTIFS($A$2:A1015,A1015,$C$2:C1015,C1015)</f>
        <v>14</v>
      </c>
      <c r="E1015" s="59" t="str">
        <f aca="false">A1015&amp;"|"&amp;D1015</f>
        <v>BLR-Marathalli SS|14</v>
      </c>
    </row>
    <row r="1016" customFormat="false" ht="15" hidden="false" customHeight="false" outlineLevel="0" collapsed="false">
      <c r="A1016" s="59" t="s">
        <v>67</v>
      </c>
      <c r="B1016" s="59" t="s">
        <v>428</v>
      </c>
      <c r="C1016" s="60" t="n">
        <v>162.94</v>
      </c>
      <c r="D1016" s="59" t="n">
        <f aca="false">COUNTIFS($A$2:$A$1931,A1016,$C$2:$C$1931,"&gt;"&amp;C1016)+COUNTIFS($A$2:A1016,A1016,$C$2:C1016,C1016)</f>
        <v>15</v>
      </c>
      <c r="E1016" s="59" t="str">
        <f aca="false">A1016&amp;"|"&amp;D1016</f>
        <v>BLR-Marathalli SS|15</v>
      </c>
    </row>
    <row r="1017" customFormat="false" ht="15" hidden="false" customHeight="false" outlineLevel="0" collapsed="false">
      <c r="A1017" s="59" t="s">
        <v>67</v>
      </c>
      <c r="B1017" s="59" t="s">
        <v>445</v>
      </c>
      <c r="C1017" s="60" t="n">
        <v>110.98</v>
      </c>
      <c r="D1017" s="59" t="n">
        <f aca="false">COUNTIFS($A$2:$A$1931,A1017,$C$2:$C$1931,"&gt;"&amp;C1017)+COUNTIFS($A$2:A1017,A1017,$C$2:C1017,C1017)</f>
        <v>16</v>
      </c>
      <c r="E1017" s="59" t="str">
        <f aca="false">A1017&amp;"|"&amp;D1017</f>
        <v>BLR-Marathalli SS|16</v>
      </c>
    </row>
    <row r="1018" customFormat="false" ht="15" hidden="false" customHeight="false" outlineLevel="0" collapsed="false">
      <c r="A1018" s="59" t="s">
        <v>67</v>
      </c>
      <c r="B1018" s="59" t="s">
        <v>444</v>
      </c>
      <c r="C1018" s="60" t="n">
        <v>98.68</v>
      </c>
      <c r="D1018" s="59" t="n">
        <f aca="false">COUNTIFS($A$2:$A$1931,A1018,$C$2:$C$1931,"&gt;"&amp;C1018)+COUNTIFS($A$2:A1018,A1018,$C$2:C1018,C1018)</f>
        <v>17</v>
      </c>
      <c r="E1018" s="59" t="str">
        <f aca="false">A1018&amp;"|"&amp;D1018</f>
        <v>BLR-Marathalli SS|17</v>
      </c>
    </row>
    <row r="1019" customFormat="false" ht="15" hidden="false" customHeight="false" outlineLevel="0" collapsed="false">
      <c r="A1019" s="59" t="s">
        <v>67</v>
      </c>
      <c r="B1019" s="59" t="s">
        <v>425</v>
      </c>
      <c r="C1019" s="60" t="n">
        <v>42.35</v>
      </c>
      <c r="D1019" s="59" t="n">
        <f aca="false">COUNTIFS($A$2:$A$1931,A1019,$C$2:$C$1931,"&gt;"&amp;C1019)+COUNTIFS($A$2:A1019,A1019,$C$2:C1019,C1019)</f>
        <v>18</v>
      </c>
      <c r="E1019" s="59" t="str">
        <f aca="false">A1019&amp;"|"&amp;D1019</f>
        <v>BLR-Marathalli SS|18</v>
      </c>
    </row>
    <row r="1020" customFormat="false" ht="15" hidden="false" customHeight="false" outlineLevel="0" collapsed="false">
      <c r="A1020" s="59" t="s">
        <v>67</v>
      </c>
      <c r="B1020" s="59" t="s">
        <v>434</v>
      </c>
      <c r="C1020" s="60" t="n">
        <v>3.19</v>
      </c>
      <c r="D1020" s="59" t="n">
        <f aca="false">COUNTIFS($A$2:$A$1931,A1020,$C$2:$C$1931,"&gt;"&amp;C1020)+COUNTIFS($A$2:A1020,A1020,$C$2:C1020,C1020)</f>
        <v>19</v>
      </c>
      <c r="E1020" s="59" t="str">
        <f aca="false">A1020&amp;"|"&amp;D1020</f>
        <v>BLR-Marathalli SS|19</v>
      </c>
    </row>
    <row r="1021" customFormat="false" ht="15" hidden="false" customHeight="false" outlineLevel="0" collapsed="false">
      <c r="A1021" s="59" t="s">
        <v>238</v>
      </c>
      <c r="B1021" s="59" t="s">
        <v>424</v>
      </c>
      <c r="C1021" s="60" t="n">
        <v>865.28</v>
      </c>
      <c r="D1021" s="59" t="n">
        <f aca="false">COUNTIFS($A$2:$A$1931,A1021,$C$2:$C$1931,"&gt;"&amp;C1021)+COUNTIFS($A$2:A1021,A1021,$C$2:C1021,C1021)</f>
        <v>1</v>
      </c>
      <c r="E1021" s="59" t="str">
        <f aca="false">A1021&amp;"|"&amp;D1021</f>
        <v>BLR-Margosa road|1</v>
      </c>
    </row>
    <row r="1022" customFormat="false" ht="15" hidden="false" customHeight="false" outlineLevel="0" collapsed="false">
      <c r="A1022" s="59" t="s">
        <v>238</v>
      </c>
      <c r="B1022" s="59" t="s">
        <v>431</v>
      </c>
      <c r="C1022" s="60" t="n">
        <v>723.14</v>
      </c>
      <c r="D1022" s="59" t="n">
        <f aca="false">COUNTIFS($A$2:$A$1931,A1022,$C$2:$C$1931,"&gt;"&amp;C1022)+COUNTIFS($A$2:A1022,A1022,$C$2:C1022,C1022)</f>
        <v>2</v>
      </c>
      <c r="E1022" s="59" t="str">
        <f aca="false">A1022&amp;"|"&amp;D1022</f>
        <v>BLR-Margosa road|2</v>
      </c>
    </row>
    <row r="1023" customFormat="false" ht="15" hidden="false" customHeight="false" outlineLevel="0" collapsed="false">
      <c r="A1023" s="59" t="s">
        <v>238</v>
      </c>
      <c r="B1023" s="59" t="s">
        <v>415</v>
      </c>
      <c r="C1023" s="60" t="n">
        <v>567.52</v>
      </c>
      <c r="D1023" s="59" t="n">
        <f aca="false">COUNTIFS($A$2:$A$1931,A1023,$C$2:$C$1931,"&gt;"&amp;C1023)+COUNTIFS($A$2:A1023,A1023,$C$2:C1023,C1023)</f>
        <v>3</v>
      </c>
      <c r="E1023" s="59" t="str">
        <f aca="false">A1023&amp;"|"&amp;D1023</f>
        <v>BLR-Margosa road|3</v>
      </c>
    </row>
    <row r="1024" customFormat="false" ht="15" hidden="false" customHeight="false" outlineLevel="0" collapsed="false">
      <c r="A1024" s="59" t="s">
        <v>238</v>
      </c>
      <c r="B1024" s="59" t="s">
        <v>412</v>
      </c>
      <c r="C1024" s="60" t="n">
        <v>546.35</v>
      </c>
      <c r="D1024" s="59" t="n">
        <f aca="false">COUNTIFS($A$2:$A$1931,A1024,$C$2:$C$1931,"&gt;"&amp;C1024)+COUNTIFS($A$2:A1024,A1024,$C$2:C1024,C1024)</f>
        <v>4</v>
      </c>
      <c r="E1024" s="59" t="str">
        <f aca="false">A1024&amp;"|"&amp;D1024</f>
        <v>BLR-Margosa road|4</v>
      </c>
    </row>
    <row r="1025" customFormat="false" ht="15" hidden="false" customHeight="false" outlineLevel="0" collapsed="false">
      <c r="A1025" s="59" t="s">
        <v>238</v>
      </c>
      <c r="B1025" s="59" t="s">
        <v>408</v>
      </c>
      <c r="C1025" s="60" t="n">
        <v>87.44</v>
      </c>
      <c r="D1025" s="59" t="n">
        <f aca="false">COUNTIFS($A$2:$A$1931,A1025,$C$2:$C$1931,"&gt;"&amp;C1025)+COUNTIFS($A$2:A1025,A1025,$C$2:C1025,C1025)</f>
        <v>5</v>
      </c>
      <c r="E1025" s="59" t="str">
        <f aca="false">A1025&amp;"|"&amp;D1025</f>
        <v>BLR-Margosa road|5</v>
      </c>
    </row>
    <row r="1026" customFormat="false" ht="15" hidden="false" customHeight="false" outlineLevel="0" collapsed="false">
      <c r="A1026" s="59" t="s">
        <v>238</v>
      </c>
      <c r="B1026" s="59" t="s">
        <v>440</v>
      </c>
      <c r="C1026" s="60" t="n">
        <v>24.08</v>
      </c>
      <c r="D1026" s="59" t="n">
        <f aca="false">COUNTIFS($A$2:$A$1931,A1026,$C$2:$C$1931,"&gt;"&amp;C1026)+COUNTIFS($A$2:A1026,A1026,$C$2:C1026,C1026)</f>
        <v>6</v>
      </c>
      <c r="E1026" s="59" t="str">
        <f aca="false">A1026&amp;"|"&amp;D1026</f>
        <v>BLR-Margosa road|6</v>
      </c>
    </row>
    <row r="1027" customFormat="false" ht="15" hidden="false" customHeight="false" outlineLevel="0" collapsed="false">
      <c r="A1027" s="59" t="s">
        <v>26</v>
      </c>
      <c r="B1027" s="59" t="s">
        <v>420</v>
      </c>
      <c r="C1027" s="60" t="n">
        <v>35.09</v>
      </c>
      <c r="D1027" s="59" t="n">
        <f aca="false">COUNTIFS($A$2:$A$1931,A1027,$C$2:$C$1931,"&gt;"&amp;C1027)+COUNTIFS($A$2:A1027,A1027,$C$2:C1027,C1027)</f>
        <v>1</v>
      </c>
      <c r="E1027" s="59" t="str">
        <f aca="false">A1027&amp;"|"&amp;D1027</f>
        <v>BLR-Mathikere|1</v>
      </c>
    </row>
    <row r="1028" customFormat="false" ht="15" hidden="false" customHeight="false" outlineLevel="0" collapsed="false">
      <c r="A1028" s="59" t="s">
        <v>289</v>
      </c>
      <c r="B1028" s="59" t="s">
        <v>418</v>
      </c>
      <c r="C1028" s="60" t="n">
        <v>2950.19</v>
      </c>
      <c r="D1028" s="59" t="n">
        <f aca="false">COUNTIFS($A$2:$A$1931,A1028,$C$2:$C$1931,"&gt;"&amp;C1028)+COUNTIFS($A$2:A1028,A1028,$C$2:C1028,C1028)</f>
        <v>1</v>
      </c>
      <c r="E1028" s="59" t="str">
        <f aca="false">A1028&amp;"|"&amp;D1028</f>
        <v>BLR-Mathikere New|1</v>
      </c>
    </row>
    <row r="1029" customFormat="false" ht="15" hidden="false" customHeight="false" outlineLevel="0" collapsed="false">
      <c r="A1029" s="59" t="s">
        <v>289</v>
      </c>
      <c r="B1029" s="59" t="s">
        <v>420</v>
      </c>
      <c r="C1029" s="60" t="n">
        <v>2564.31</v>
      </c>
      <c r="D1029" s="59" t="n">
        <f aca="false">COUNTIFS($A$2:$A$1931,A1029,$C$2:$C$1931,"&gt;"&amp;C1029)+COUNTIFS($A$2:A1029,A1029,$C$2:C1029,C1029)</f>
        <v>2</v>
      </c>
      <c r="E1029" s="59" t="str">
        <f aca="false">A1029&amp;"|"&amp;D1029</f>
        <v>BLR-Mathikere New|2</v>
      </c>
    </row>
    <row r="1030" customFormat="false" ht="15" hidden="false" customHeight="false" outlineLevel="0" collapsed="false">
      <c r="A1030" s="59" t="s">
        <v>289</v>
      </c>
      <c r="B1030" s="59" t="s">
        <v>412</v>
      </c>
      <c r="C1030" s="60" t="n">
        <v>1600.51</v>
      </c>
      <c r="D1030" s="59" t="n">
        <f aca="false">COUNTIFS($A$2:$A$1931,A1030,$C$2:$C$1931,"&gt;"&amp;C1030)+COUNTIFS($A$2:A1030,A1030,$C$2:C1030,C1030)</f>
        <v>3</v>
      </c>
      <c r="E1030" s="59" t="str">
        <f aca="false">A1030&amp;"|"&amp;D1030</f>
        <v>BLR-Mathikere New|3</v>
      </c>
    </row>
    <row r="1031" customFormat="false" ht="15" hidden="false" customHeight="false" outlineLevel="0" collapsed="false">
      <c r="A1031" s="59" t="s">
        <v>289</v>
      </c>
      <c r="B1031" s="59" t="s">
        <v>408</v>
      </c>
      <c r="C1031" s="60" t="n">
        <v>1115.98</v>
      </c>
      <c r="D1031" s="59" t="n">
        <f aca="false">COUNTIFS($A$2:$A$1931,A1031,$C$2:$C$1931,"&gt;"&amp;C1031)+COUNTIFS($A$2:A1031,A1031,$C$2:C1031,C1031)</f>
        <v>4</v>
      </c>
      <c r="E1031" s="59" t="str">
        <f aca="false">A1031&amp;"|"&amp;D1031</f>
        <v>BLR-Mathikere New|4</v>
      </c>
    </row>
    <row r="1032" customFormat="false" ht="15" hidden="false" customHeight="false" outlineLevel="0" collapsed="false">
      <c r="A1032" s="59" t="s">
        <v>289</v>
      </c>
      <c r="B1032" s="59" t="s">
        <v>424</v>
      </c>
      <c r="C1032" s="60" t="n">
        <v>744.77</v>
      </c>
      <c r="D1032" s="59" t="n">
        <f aca="false">COUNTIFS($A$2:$A$1931,A1032,$C$2:$C$1931,"&gt;"&amp;C1032)+COUNTIFS($A$2:A1032,A1032,$C$2:C1032,C1032)</f>
        <v>5</v>
      </c>
      <c r="E1032" s="59" t="str">
        <f aca="false">A1032&amp;"|"&amp;D1032</f>
        <v>BLR-Mathikere New|5</v>
      </c>
    </row>
    <row r="1033" customFormat="false" ht="15" hidden="false" customHeight="false" outlineLevel="0" collapsed="false">
      <c r="A1033" s="59" t="s">
        <v>289</v>
      </c>
      <c r="B1033" s="59" t="s">
        <v>426</v>
      </c>
      <c r="C1033" s="60" t="n">
        <v>422.92</v>
      </c>
      <c r="D1033" s="59" t="n">
        <f aca="false">COUNTIFS($A$2:$A$1931,A1033,$C$2:$C$1931,"&gt;"&amp;C1033)+COUNTIFS($A$2:A1033,A1033,$C$2:C1033,C1033)</f>
        <v>6</v>
      </c>
      <c r="E1033" s="59" t="str">
        <f aca="false">A1033&amp;"|"&amp;D1033</f>
        <v>BLR-Mathikere New|6</v>
      </c>
    </row>
    <row r="1034" customFormat="false" ht="15" hidden="false" customHeight="false" outlineLevel="0" collapsed="false">
      <c r="A1034" s="59" t="s">
        <v>294</v>
      </c>
      <c r="B1034" s="59" t="s">
        <v>424</v>
      </c>
      <c r="C1034" s="60" t="n">
        <v>3465.62</v>
      </c>
      <c r="D1034" s="59" t="n">
        <f aca="false">COUNTIFS($A$2:$A$1931,A1034,$C$2:$C$1931,"&gt;"&amp;C1034)+COUNTIFS($A$2:A1034,A1034,$C$2:C1034,C1034)</f>
        <v>1</v>
      </c>
      <c r="E1034" s="59" t="str">
        <f aca="false">A1034&amp;"|"&amp;D1034</f>
        <v>BLR-Michael Palaya|1</v>
      </c>
    </row>
    <row r="1035" customFormat="false" ht="15" hidden="false" customHeight="false" outlineLevel="0" collapsed="false">
      <c r="A1035" s="59" t="s">
        <v>294</v>
      </c>
      <c r="B1035" s="59" t="s">
        <v>417</v>
      </c>
      <c r="C1035" s="60" t="n">
        <v>212.02</v>
      </c>
      <c r="D1035" s="59" t="n">
        <f aca="false">COUNTIFS($A$2:$A$1931,A1035,$C$2:$C$1931,"&gt;"&amp;C1035)+COUNTIFS($A$2:A1035,A1035,$C$2:C1035,C1035)</f>
        <v>2</v>
      </c>
      <c r="E1035" s="59" t="str">
        <f aca="false">A1035&amp;"|"&amp;D1035</f>
        <v>BLR-Michael Palaya|2</v>
      </c>
    </row>
    <row r="1036" customFormat="false" ht="15" hidden="false" customHeight="false" outlineLevel="0" collapsed="false">
      <c r="A1036" s="59" t="s">
        <v>275</v>
      </c>
      <c r="B1036" s="59" t="s">
        <v>408</v>
      </c>
      <c r="C1036" s="60" t="n">
        <v>1608.23</v>
      </c>
      <c r="D1036" s="59" t="n">
        <f aca="false">COUNTIFS($A$2:$A$1931,A1036,$C$2:$C$1931,"&gt;"&amp;C1036)+COUNTIFS($A$2:A1036,A1036,$C$2:C1036,C1036)</f>
        <v>1</v>
      </c>
      <c r="E1036" s="59" t="str">
        <f aca="false">A1036&amp;"|"&amp;D1036</f>
        <v>BLR-Mico Layout Network|1</v>
      </c>
    </row>
    <row r="1037" customFormat="false" ht="15" hidden="false" customHeight="false" outlineLevel="0" collapsed="false">
      <c r="A1037" s="59" t="s">
        <v>275</v>
      </c>
      <c r="B1037" s="59" t="s">
        <v>431</v>
      </c>
      <c r="C1037" s="60" t="n">
        <v>1314.69</v>
      </c>
      <c r="D1037" s="59" t="n">
        <f aca="false">COUNTIFS($A$2:$A$1931,A1037,$C$2:$C$1931,"&gt;"&amp;C1037)+COUNTIFS($A$2:A1037,A1037,$C$2:C1037,C1037)</f>
        <v>2</v>
      </c>
      <c r="E1037" s="59" t="str">
        <f aca="false">A1037&amp;"|"&amp;D1037</f>
        <v>BLR-Mico Layout Network|2</v>
      </c>
    </row>
    <row r="1038" customFormat="false" ht="15" hidden="false" customHeight="false" outlineLevel="0" collapsed="false">
      <c r="A1038" s="59" t="s">
        <v>275</v>
      </c>
      <c r="B1038" s="59" t="s">
        <v>417</v>
      </c>
      <c r="C1038" s="60" t="n">
        <v>1038.4</v>
      </c>
      <c r="D1038" s="59" t="n">
        <f aca="false">COUNTIFS($A$2:$A$1931,A1038,$C$2:$C$1931,"&gt;"&amp;C1038)+COUNTIFS($A$2:A1038,A1038,$C$2:C1038,C1038)</f>
        <v>3</v>
      </c>
      <c r="E1038" s="59" t="str">
        <f aca="false">A1038&amp;"|"&amp;D1038</f>
        <v>BLR-Mico Layout Network|3</v>
      </c>
    </row>
    <row r="1039" customFormat="false" ht="15" hidden="false" customHeight="false" outlineLevel="0" collapsed="false">
      <c r="A1039" s="59" t="s">
        <v>275</v>
      </c>
      <c r="B1039" s="59" t="s">
        <v>409</v>
      </c>
      <c r="C1039" s="60" t="n">
        <v>611.72</v>
      </c>
      <c r="D1039" s="59" t="n">
        <f aca="false">COUNTIFS($A$2:$A$1931,A1039,$C$2:$C$1931,"&gt;"&amp;C1039)+COUNTIFS($A$2:A1039,A1039,$C$2:C1039,C1039)</f>
        <v>4</v>
      </c>
      <c r="E1039" s="59" t="str">
        <f aca="false">A1039&amp;"|"&amp;D1039</f>
        <v>BLR-Mico Layout Network|4</v>
      </c>
    </row>
    <row r="1040" customFormat="false" ht="15" hidden="false" customHeight="false" outlineLevel="0" collapsed="false">
      <c r="A1040" s="59" t="s">
        <v>275</v>
      </c>
      <c r="B1040" s="59" t="s">
        <v>432</v>
      </c>
      <c r="C1040" s="60" t="n">
        <v>358.5</v>
      </c>
      <c r="D1040" s="59" t="n">
        <f aca="false">COUNTIFS($A$2:$A$1931,A1040,$C$2:$C$1931,"&gt;"&amp;C1040)+COUNTIFS($A$2:A1040,A1040,$C$2:C1040,C1040)</f>
        <v>5</v>
      </c>
      <c r="E1040" s="59" t="str">
        <f aca="false">A1040&amp;"|"&amp;D1040</f>
        <v>BLR-Mico Layout Network|5</v>
      </c>
    </row>
    <row r="1041" customFormat="false" ht="15" hidden="false" customHeight="false" outlineLevel="0" collapsed="false">
      <c r="A1041" s="59" t="s">
        <v>275</v>
      </c>
      <c r="B1041" s="59" t="s">
        <v>415</v>
      </c>
      <c r="C1041" s="60" t="n">
        <v>324.05</v>
      </c>
      <c r="D1041" s="59" t="n">
        <f aca="false">COUNTIFS($A$2:$A$1931,A1041,$C$2:$C$1931,"&gt;"&amp;C1041)+COUNTIFS($A$2:A1041,A1041,$C$2:C1041,C1041)</f>
        <v>6</v>
      </c>
      <c r="E1041" s="59" t="str">
        <f aca="false">A1041&amp;"|"&amp;D1041</f>
        <v>BLR-Mico Layout Network|6</v>
      </c>
    </row>
    <row r="1042" customFormat="false" ht="15" hidden="false" customHeight="false" outlineLevel="0" collapsed="false">
      <c r="A1042" s="59" t="s">
        <v>35</v>
      </c>
      <c r="B1042" s="59" t="s">
        <v>409</v>
      </c>
      <c r="C1042" s="60" t="n">
        <v>14058.68</v>
      </c>
      <c r="D1042" s="59" t="n">
        <f aca="false">COUNTIFS($A$2:$A$1931,A1042,$C$2:$C$1931,"&gt;"&amp;C1042)+COUNTIFS($A$2:A1042,A1042,$C$2:C1042,C1042)</f>
        <v>1</v>
      </c>
      <c r="E1042" s="59" t="str">
        <f aca="false">A1042&amp;"|"&amp;D1042</f>
        <v>BLR-Mico layout New|1</v>
      </c>
    </row>
    <row r="1043" customFormat="false" ht="15" hidden="false" customHeight="false" outlineLevel="0" collapsed="false">
      <c r="A1043" s="59" t="s">
        <v>35</v>
      </c>
      <c r="B1043" s="59" t="s">
        <v>408</v>
      </c>
      <c r="C1043" s="60" t="n">
        <v>9850.65</v>
      </c>
      <c r="D1043" s="59" t="n">
        <f aca="false">COUNTIFS($A$2:$A$1931,A1043,$C$2:$C$1931,"&gt;"&amp;C1043)+COUNTIFS($A$2:A1043,A1043,$C$2:C1043,C1043)</f>
        <v>2</v>
      </c>
      <c r="E1043" s="59" t="str">
        <f aca="false">A1043&amp;"|"&amp;D1043</f>
        <v>BLR-Mico layout New|2</v>
      </c>
    </row>
    <row r="1044" customFormat="false" ht="15" hidden="false" customHeight="false" outlineLevel="0" collapsed="false">
      <c r="A1044" s="59" t="s">
        <v>35</v>
      </c>
      <c r="B1044" s="59" t="s">
        <v>426</v>
      </c>
      <c r="C1044" s="60" t="n">
        <v>8989.73</v>
      </c>
      <c r="D1044" s="59" t="n">
        <f aca="false">COUNTIFS($A$2:$A$1931,A1044,$C$2:$C$1931,"&gt;"&amp;C1044)+COUNTIFS($A$2:A1044,A1044,$C$2:C1044,C1044)</f>
        <v>3</v>
      </c>
      <c r="E1044" s="59" t="str">
        <f aca="false">A1044&amp;"|"&amp;D1044</f>
        <v>BLR-Mico layout New|3</v>
      </c>
    </row>
    <row r="1045" customFormat="false" ht="15" hidden="false" customHeight="false" outlineLevel="0" collapsed="false">
      <c r="A1045" s="59" t="s">
        <v>35</v>
      </c>
      <c r="B1045" s="59" t="s">
        <v>419</v>
      </c>
      <c r="C1045" s="60" t="n">
        <v>8881.8</v>
      </c>
      <c r="D1045" s="59" t="n">
        <f aca="false">COUNTIFS($A$2:$A$1931,A1045,$C$2:$C$1931,"&gt;"&amp;C1045)+COUNTIFS($A$2:A1045,A1045,$C$2:C1045,C1045)</f>
        <v>4</v>
      </c>
      <c r="E1045" s="59" t="str">
        <f aca="false">A1045&amp;"|"&amp;D1045</f>
        <v>BLR-Mico layout New|4</v>
      </c>
    </row>
    <row r="1046" customFormat="false" ht="15" hidden="false" customHeight="false" outlineLevel="0" collapsed="false">
      <c r="A1046" s="59" t="s">
        <v>35</v>
      </c>
      <c r="B1046" s="59" t="s">
        <v>420</v>
      </c>
      <c r="C1046" s="60" t="n">
        <v>4075.41</v>
      </c>
      <c r="D1046" s="59" t="n">
        <f aca="false">COUNTIFS($A$2:$A$1931,A1046,$C$2:$C$1931,"&gt;"&amp;C1046)+COUNTIFS($A$2:A1046,A1046,$C$2:C1046,C1046)</f>
        <v>5</v>
      </c>
      <c r="E1046" s="59" t="str">
        <f aca="false">A1046&amp;"|"&amp;D1046</f>
        <v>BLR-Mico layout New|5</v>
      </c>
    </row>
    <row r="1047" customFormat="false" ht="15" hidden="false" customHeight="false" outlineLevel="0" collapsed="false">
      <c r="A1047" s="59" t="s">
        <v>35</v>
      </c>
      <c r="B1047" s="59" t="s">
        <v>412</v>
      </c>
      <c r="C1047" s="60" t="n">
        <v>3392.26</v>
      </c>
      <c r="D1047" s="59" t="n">
        <f aca="false">COUNTIFS($A$2:$A$1931,A1047,$C$2:$C$1931,"&gt;"&amp;C1047)+COUNTIFS($A$2:A1047,A1047,$C$2:C1047,C1047)</f>
        <v>6</v>
      </c>
      <c r="E1047" s="59" t="str">
        <f aca="false">A1047&amp;"|"&amp;D1047</f>
        <v>BLR-Mico layout New|6</v>
      </c>
    </row>
    <row r="1048" customFormat="false" ht="15" hidden="false" customHeight="false" outlineLevel="0" collapsed="false">
      <c r="A1048" s="59" t="s">
        <v>35</v>
      </c>
      <c r="B1048" s="59" t="s">
        <v>424</v>
      </c>
      <c r="C1048" s="60" t="n">
        <v>3069.19</v>
      </c>
      <c r="D1048" s="59" t="n">
        <f aca="false">COUNTIFS($A$2:$A$1931,A1048,$C$2:$C$1931,"&gt;"&amp;C1048)+COUNTIFS($A$2:A1048,A1048,$C$2:C1048,C1048)</f>
        <v>7</v>
      </c>
      <c r="E1048" s="59" t="str">
        <f aca="false">A1048&amp;"|"&amp;D1048</f>
        <v>BLR-Mico layout New|7</v>
      </c>
    </row>
    <row r="1049" customFormat="false" ht="15" hidden="false" customHeight="false" outlineLevel="0" collapsed="false">
      <c r="A1049" s="59" t="s">
        <v>35</v>
      </c>
      <c r="B1049" s="59" t="s">
        <v>415</v>
      </c>
      <c r="C1049" s="60" t="n">
        <v>1897.27</v>
      </c>
      <c r="D1049" s="59" t="n">
        <f aca="false">COUNTIFS($A$2:$A$1931,A1049,$C$2:$C$1931,"&gt;"&amp;C1049)+COUNTIFS($A$2:A1049,A1049,$C$2:C1049,C1049)</f>
        <v>8</v>
      </c>
      <c r="E1049" s="59" t="str">
        <f aca="false">A1049&amp;"|"&amp;D1049</f>
        <v>BLR-Mico layout New|8</v>
      </c>
    </row>
    <row r="1050" customFormat="false" ht="15" hidden="false" customHeight="false" outlineLevel="0" collapsed="false">
      <c r="A1050" s="59" t="s">
        <v>35</v>
      </c>
      <c r="B1050" s="59" t="s">
        <v>416</v>
      </c>
      <c r="C1050" s="60" t="n">
        <v>1315.23</v>
      </c>
      <c r="D1050" s="59" t="n">
        <f aca="false">COUNTIFS($A$2:$A$1931,A1050,$C$2:$C$1931,"&gt;"&amp;C1050)+COUNTIFS($A$2:A1050,A1050,$C$2:C1050,C1050)</f>
        <v>9</v>
      </c>
      <c r="E1050" s="59" t="str">
        <f aca="false">A1050&amp;"|"&amp;D1050</f>
        <v>BLR-Mico layout New|9</v>
      </c>
    </row>
    <row r="1051" customFormat="false" ht="15" hidden="false" customHeight="false" outlineLevel="0" collapsed="false">
      <c r="A1051" s="59" t="s">
        <v>35</v>
      </c>
      <c r="B1051" s="59" t="s">
        <v>413</v>
      </c>
      <c r="C1051" s="60" t="n">
        <v>1292.13</v>
      </c>
      <c r="D1051" s="59" t="n">
        <f aca="false">COUNTIFS($A$2:$A$1931,A1051,$C$2:$C$1931,"&gt;"&amp;C1051)+COUNTIFS($A$2:A1051,A1051,$C$2:C1051,C1051)</f>
        <v>10</v>
      </c>
      <c r="E1051" s="59" t="str">
        <f aca="false">A1051&amp;"|"&amp;D1051</f>
        <v>BLR-Mico layout New|10</v>
      </c>
    </row>
    <row r="1052" customFormat="false" ht="15" hidden="false" customHeight="false" outlineLevel="0" collapsed="false">
      <c r="A1052" s="59" t="s">
        <v>35</v>
      </c>
      <c r="B1052" s="59" t="s">
        <v>431</v>
      </c>
      <c r="C1052" s="60" t="n">
        <v>27.64</v>
      </c>
      <c r="D1052" s="59" t="n">
        <f aca="false">COUNTIFS($A$2:$A$1931,A1052,$C$2:$C$1931,"&gt;"&amp;C1052)+COUNTIFS($A$2:A1052,A1052,$C$2:C1052,C1052)</f>
        <v>11</v>
      </c>
      <c r="E1052" s="59" t="str">
        <f aca="false">A1052&amp;"|"&amp;D1052</f>
        <v>BLR-Mico layout New|11</v>
      </c>
    </row>
    <row r="1053" customFormat="false" ht="15" hidden="false" customHeight="false" outlineLevel="0" collapsed="false">
      <c r="A1053" s="59" t="s">
        <v>122</v>
      </c>
      <c r="B1053" s="59" t="s">
        <v>424</v>
      </c>
      <c r="C1053" s="60" t="n">
        <v>3430.1</v>
      </c>
      <c r="D1053" s="59" t="n">
        <f aca="false">COUNTIFS($A$2:$A$1931,A1053,$C$2:$C$1931,"&gt;"&amp;C1053)+COUNTIFS($A$2:A1053,A1053,$C$2:C1053,C1053)</f>
        <v>1</v>
      </c>
      <c r="E1053" s="59" t="str">
        <f aca="false">A1053&amp;"|"&amp;D1053</f>
        <v>BLR-Mico layout network-2|1</v>
      </c>
    </row>
    <row r="1054" customFormat="false" ht="15" hidden="false" customHeight="false" outlineLevel="0" collapsed="false">
      <c r="A1054" s="59" t="s">
        <v>122</v>
      </c>
      <c r="B1054" s="59" t="s">
        <v>420</v>
      </c>
      <c r="C1054" s="60" t="n">
        <v>1665.81</v>
      </c>
      <c r="D1054" s="59" t="n">
        <f aca="false">COUNTIFS($A$2:$A$1931,A1054,$C$2:$C$1931,"&gt;"&amp;C1054)+COUNTIFS($A$2:A1054,A1054,$C$2:C1054,C1054)</f>
        <v>2</v>
      </c>
      <c r="E1054" s="59" t="str">
        <f aca="false">A1054&amp;"|"&amp;D1054</f>
        <v>BLR-Mico layout network-2|2</v>
      </c>
    </row>
    <row r="1055" customFormat="false" ht="15" hidden="false" customHeight="false" outlineLevel="0" collapsed="false">
      <c r="A1055" s="59" t="s">
        <v>122</v>
      </c>
      <c r="B1055" s="59" t="s">
        <v>408</v>
      </c>
      <c r="C1055" s="60" t="n">
        <v>1459.75</v>
      </c>
      <c r="D1055" s="59" t="n">
        <f aca="false">COUNTIFS($A$2:$A$1931,A1055,$C$2:$C$1931,"&gt;"&amp;C1055)+COUNTIFS($A$2:A1055,A1055,$C$2:C1055,C1055)</f>
        <v>3</v>
      </c>
      <c r="E1055" s="59" t="str">
        <f aca="false">A1055&amp;"|"&amp;D1055</f>
        <v>BLR-Mico layout network-2|3</v>
      </c>
    </row>
    <row r="1056" customFormat="false" ht="15" hidden="false" customHeight="false" outlineLevel="0" collapsed="false">
      <c r="A1056" s="59" t="s">
        <v>122</v>
      </c>
      <c r="B1056" s="59" t="s">
        <v>431</v>
      </c>
      <c r="C1056" s="60" t="n">
        <v>1065.46</v>
      </c>
      <c r="D1056" s="59" t="n">
        <f aca="false">COUNTIFS($A$2:$A$1931,A1056,$C$2:$C$1931,"&gt;"&amp;C1056)+COUNTIFS($A$2:A1056,A1056,$C$2:C1056,C1056)</f>
        <v>4</v>
      </c>
      <c r="E1056" s="59" t="str">
        <f aca="false">A1056&amp;"|"&amp;D1056</f>
        <v>BLR-Mico layout network-2|4</v>
      </c>
    </row>
    <row r="1057" customFormat="false" ht="15" hidden="false" customHeight="false" outlineLevel="0" collapsed="false">
      <c r="A1057" s="59" t="s">
        <v>122</v>
      </c>
      <c r="B1057" s="59" t="s">
        <v>415</v>
      </c>
      <c r="C1057" s="60" t="n">
        <v>1059.65</v>
      </c>
      <c r="D1057" s="59" t="n">
        <f aca="false">COUNTIFS($A$2:$A$1931,A1057,$C$2:$C$1931,"&gt;"&amp;C1057)+COUNTIFS($A$2:A1057,A1057,$C$2:C1057,C1057)</f>
        <v>5</v>
      </c>
      <c r="E1057" s="59" t="str">
        <f aca="false">A1057&amp;"|"&amp;D1057</f>
        <v>BLR-Mico layout network-2|5</v>
      </c>
    </row>
    <row r="1058" customFormat="false" ht="15" hidden="false" customHeight="false" outlineLevel="0" collapsed="false">
      <c r="A1058" s="59" t="s">
        <v>122</v>
      </c>
      <c r="B1058" s="59" t="s">
        <v>409</v>
      </c>
      <c r="C1058" s="60" t="n">
        <v>463.82</v>
      </c>
      <c r="D1058" s="59" t="n">
        <f aca="false">COUNTIFS($A$2:$A$1931,A1058,$C$2:$C$1931,"&gt;"&amp;C1058)+COUNTIFS($A$2:A1058,A1058,$C$2:C1058,C1058)</f>
        <v>6</v>
      </c>
      <c r="E1058" s="59" t="str">
        <f aca="false">A1058&amp;"|"&amp;D1058</f>
        <v>BLR-Mico layout network-2|6</v>
      </c>
    </row>
    <row r="1059" customFormat="false" ht="15" hidden="false" customHeight="false" outlineLevel="0" collapsed="false">
      <c r="A1059" s="59" t="s">
        <v>122</v>
      </c>
      <c r="B1059" s="59" t="s">
        <v>423</v>
      </c>
      <c r="C1059" s="60" t="n">
        <v>25.81</v>
      </c>
      <c r="D1059" s="59" t="n">
        <f aca="false">COUNTIFS($A$2:$A$1931,A1059,$C$2:$C$1931,"&gt;"&amp;C1059)+COUNTIFS($A$2:A1059,A1059,$C$2:C1059,C1059)</f>
        <v>7</v>
      </c>
      <c r="E1059" s="59" t="str">
        <f aca="false">A1059&amp;"|"&amp;D1059</f>
        <v>BLR-Mico layout network-2|7</v>
      </c>
    </row>
    <row r="1060" customFormat="false" ht="15" hidden="false" customHeight="false" outlineLevel="0" collapsed="false">
      <c r="A1060" s="59" t="s">
        <v>46</v>
      </c>
      <c r="B1060" s="59" t="s">
        <v>450</v>
      </c>
      <c r="C1060" s="60" t="n">
        <v>13458.09</v>
      </c>
      <c r="D1060" s="59" t="n">
        <f aca="false">COUNTIFS($A$2:$A$1931,A1060,$C$2:$C$1931,"&gt;"&amp;C1060)+COUNTIFS($A$2:A1060,A1060,$C$2:C1060,C1060)</f>
        <v>1</v>
      </c>
      <c r="E1060" s="59" t="str">
        <f aca="false">A1060&amp;"|"&amp;D1060</f>
        <v>BLR-Murugeshpalya|1</v>
      </c>
    </row>
    <row r="1061" customFormat="false" ht="15" hidden="false" customHeight="false" outlineLevel="0" collapsed="false">
      <c r="A1061" s="59" t="s">
        <v>46</v>
      </c>
      <c r="B1061" s="59" t="s">
        <v>431</v>
      </c>
      <c r="C1061" s="60" t="n">
        <v>11544.11</v>
      </c>
      <c r="D1061" s="59" t="n">
        <f aca="false">COUNTIFS($A$2:$A$1931,A1061,$C$2:$C$1931,"&gt;"&amp;C1061)+COUNTIFS($A$2:A1061,A1061,$C$2:C1061,C1061)</f>
        <v>2</v>
      </c>
      <c r="E1061" s="59" t="str">
        <f aca="false">A1061&amp;"|"&amp;D1061</f>
        <v>BLR-Murugeshpalya|2</v>
      </c>
    </row>
    <row r="1062" customFormat="false" ht="15" hidden="false" customHeight="false" outlineLevel="0" collapsed="false">
      <c r="A1062" s="59" t="s">
        <v>46</v>
      </c>
      <c r="B1062" s="59" t="s">
        <v>412</v>
      </c>
      <c r="C1062" s="60" t="n">
        <v>10647.75</v>
      </c>
      <c r="D1062" s="59" t="n">
        <f aca="false">COUNTIFS($A$2:$A$1931,A1062,$C$2:$C$1931,"&gt;"&amp;C1062)+COUNTIFS($A$2:A1062,A1062,$C$2:C1062,C1062)</f>
        <v>3</v>
      </c>
      <c r="E1062" s="59" t="str">
        <f aca="false">A1062&amp;"|"&amp;D1062</f>
        <v>BLR-Murugeshpalya|3</v>
      </c>
    </row>
    <row r="1063" customFormat="false" ht="15" hidden="false" customHeight="false" outlineLevel="0" collapsed="false">
      <c r="A1063" s="59" t="s">
        <v>46</v>
      </c>
      <c r="B1063" s="59" t="s">
        <v>424</v>
      </c>
      <c r="C1063" s="60" t="n">
        <v>6346.58</v>
      </c>
      <c r="D1063" s="59" t="n">
        <f aca="false">COUNTIFS($A$2:$A$1931,A1063,$C$2:$C$1931,"&gt;"&amp;C1063)+COUNTIFS($A$2:A1063,A1063,$C$2:C1063,C1063)</f>
        <v>4</v>
      </c>
      <c r="E1063" s="59" t="str">
        <f aca="false">A1063&amp;"|"&amp;D1063</f>
        <v>BLR-Murugeshpalya|4</v>
      </c>
    </row>
    <row r="1064" customFormat="false" ht="15" hidden="false" customHeight="false" outlineLevel="0" collapsed="false">
      <c r="A1064" s="59" t="s">
        <v>46</v>
      </c>
      <c r="B1064" s="59" t="s">
        <v>415</v>
      </c>
      <c r="C1064" s="60" t="n">
        <v>5960.38</v>
      </c>
      <c r="D1064" s="59" t="n">
        <f aca="false">COUNTIFS($A$2:$A$1931,A1064,$C$2:$C$1931,"&gt;"&amp;C1064)+COUNTIFS($A$2:A1064,A1064,$C$2:C1064,C1064)</f>
        <v>5</v>
      </c>
      <c r="E1064" s="59" t="str">
        <f aca="false">A1064&amp;"|"&amp;D1064</f>
        <v>BLR-Murugeshpalya|5</v>
      </c>
    </row>
    <row r="1065" customFormat="false" ht="15" hidden="false" customHeight="false" outlineLevel="0" collapsed="false">
      <c r="A1065" s="59" t="s">
        <v>46</v>
      </c>
      <c r="B1065" s="59" t="s">
        <v>451</v>
      </c>
      <c r="C1065" s="60" t="n">
        <v>5941.05</v>
      </c>
      <c r="D1065" s="59" t="n">
        <f aca="false">COUNTIFS($A$2:$A$1931,A1065,$C$2:$C$1931,"&gt;"&amp;C1065)+COUNTIFS($A$2:A1065,A1065,$C$2:C1065,C1065)</f>
        <v>6</v>
      </c>
      <c r="E1065" s="59" t="str">
        <f aca="false">A1065&amp;"|"&amp;D1065</f>
        <v>BLR-Murugeshpalya|6</v>
      </c>
    </row>
    <row r="1066" customFormat="false" ht="15" hidden="false" customHeight="false" outlineLevel="0" collapsed="false">
      <c r="A1066" s="59" t="s">
        <v>46</v>
      </c>
      <c r="B1066" s="59" t="s">
        <v>419</v>
      </c>
      <c r="C1066" s="60" t="n">
        <v>5092.1</v>
      </c>
      <c r="D1066" s="59" t="n">
        <f aca="false">COUNTIFS($A$2:$A$1931,A1066,$C$2:$C$1931,"&gt;"&amp;C1066)+COUNTIFS($A$2:A1066,A1066,$C$2:C1066,C1066)</f>
        <v>7</v>
      </c>
      <c r="E1066" s="59" t="str">
        <f aca="false">A1066&amp;"|"&amp;D1066</f>
        <v>BLR-Murugeshpalya|7</v>
      </c>
    </row>
    <row r="1067" customFormat="false" ht="15" hidden="false" customHeight="false" outlineLevel="0" collapsed="false">
      <c r="A1067" s="59" t="s">
        <v>46</v>
      </c>
      <c r="B1067" s="59" t="s">
        <v>449</v>
      </c>
      <c r="C1067" s="60" t="n">
        <v>5041.82</v>
      </c>
      <c r="D1067" s="59" t="n">
        <f aca="false">COUNTIFS($A$2:$A$1931,A1067,$C$2:$C$1931,"&gt;"&amp;C1067)+COUNTIFS($A$2:A1067,A1067,$C$2:C1067,C1067)</f>
        <v>8</v>
      </c>
      <c r="E1067" s="59" t="str">
        <f aca="false">A1067&amp;"|"&amp;D1067</f>
        <v>BLR-Murugeshpalya|8</v>
      </c>
    </row>
    <row r="1068" customFormat="false" ht="15" hidden="false" customHeight="false" outlineLevel="0" collapsed="false">
      <c r="A1068" s="59" t="s">
        <v>46</v>
      </c>
      <c r="B1068" s="59" t="s">
        <v>452</v>
      </c>
      <c r="C1068" s="60" t="n">
        <v>4310.33</v>
      </c>
      <c r="D1068" s="59" t="n">
        <f aca="false">COUNTIFS($A$2:$A$1931,A1068,$C$2:$C$1931,"&gt;"&amp;C1068)+COUNTIFS($A$2:A1068,A1068,$C$2:C1068,C1068)</f>
        <v>9</v>
      </c>
      <c r="E1068" s="59" t="str">
        <f aca="false">A1068&amp;"|"&amp;D1068</f>
        <v>BLR-Murugeshpalya|9</v>
      </c>
    </row>
    <row r="1069" customFormat="false" ht="15" hidden="false" customHeight="false" outlineLevel="0" collapsed="false">
      <c r="A1069" s="59" t="s">
        <v>46</v>
      </c>
      <c r="B1069" s="59" t="s">
        <v>418</v>
      </c>
      <c r="C1069" s="60" t="n">
        <v>4085.02</v>
      </c>
      <c r="D1069" s="59" t="n">
        <f aca="false">COUNTIFS($A$2:$A$1931,A1069,$C$2:$C$1931,"&gt;"&amp;C1069)+COUNTIFS($A$2:A1069,A1069,$C$2:C1069,C1069)</f>
        <v>10</v>
      </c>
      <c r="E1069" s="59" t="str">
        <f aca="false">A1069&amp;"|"&amp;D1069</f>
        <v>BLR-Murugeshpalya|10</v>
      </c>
    </row>
    <row r="1070" customFormat="false" ht="15" hidden="false" customHeight="false" outlineLevel="0" collapsed="false">
      <c r="A1070" s="59" t="s">
        <v>46</v>
      </c>
      <c r="B1070" s="59" t="s">
        <v>414</v>
      </c>
      <c r="C1070" s="60" t="n">
        <v>3861.12</v>
      </c>
      <c r="D1070" s="59" t="n">
        <f aca="false">COUNTIFS($A$2:$A$1931,A1070,$C$2:$C$1931,"&gt;"&amp;C1070)+COUNTIFS($A$2:A1070,A1070,$C$2:C1070,C1070)</f>
        <v>11</v>
      </c>
      <c r="E1070" s="59" t="str">
        <f aca="false">A1070&amp;"|"&amp;D1070</f>
        <v>BLR-Murugeshpalya|11</v>
      </c>
    </row>
    <row r="1071" customFormat="false" ht="15" hidden="false" customHeight="false" outlineLevel="0" collapsed="false">
      <c r="A1071" s="59" t="s">
        <v>46</v>
      </c>
      <c r="B1071" s="59" t="s">
        <v>427</v>
      </c>
      <c r="C1071" s="60" t="n">
        <v>3383.92</v>
      </c>
      <c r="D1071" s="59" t="n">
        <f aca="false">COUNTIFS($A$2:$A$1931,A1071,$C$2:$C$1931,"&gt;"&amp;C1071)+COUNTIFS($A$2:A1071,A1071,$C$2:C1071,C1071)</f>
        <v>12</v>
      </c>
      <c r="E1071" s="59" t="str">
        <f aca="false">A1071&amp;"|"&amp;D1071</f>
        <v>BLR-Murugeshpalya|12</v>
      </c>
    </row>
    <row r="1072" customFormat="false" ht="15" hidden="false" customHeight="false" outlineLevel="0" collapsed="false">
      <c r="A1072" s="59" t="s">
        <v>46</v>
      </c>
      <c r="B1072" s="59" t="s">
        <v>413</v>
      </c>
      <c r="C1072" s="60" t="n">
        <v>2719.71</v>
      </c>
      <c r="D1072" s="59" t="n">
        <f aca="false">COUNTIFS($A$2:$A$1931,A1072,$C$2:$C$1931,"&gt;"&amp;C1072)+COUNTIFS($A$2:A1072,A1072,$C$2:C1072,C1072)</f>
        <v>13</v>
      </c>
      <c r="E1072" s="59" t="str">
        <f aca="false">A1072&amp;"|"&amp;D1072</f>
        <v>BLR-Murugeshpalya|13</v>
      </c>
    </row>
    <row r="1073" customFormat="false" ht="15" hidden="false" customHeight="false" outlineLevel="0" collapsed="false">
      <c r="A1073" s="59" t="s">
        <v>46</v>
      </c>
      <c r="B1073" s="59" t="s">
        <v>417</v>
      </c>
      <c r="C1073" s="60" t="n">
        <v>2600.91</v>
      </c>
      <c r="D1073" s="59" t="n">
        <f aca="false">COUNTIFS($A$2:$A$1931,A1073,$C$2:$C$1931,"&gt;"&amp;C1073)+COUNTIFS($A$2:A1073,A1073,$C$2:C1073,C1073)</f>
        <v>14</v>
      </c>
      <c r="E1073" s="59" t="str">
        <f aca="false">A1073&amp;"|"&amp;D1073</f>
        <v>BLR-Murugeshpalya|14</v>
      </c>
    </row>
    <row r="1074" customFormat="false" ht="15" hidden="false" customHeight="false" outlineLevel="0" collapsed="false">
      <c r="A1074" s="59" t="s">
        <v>46</v>
      </c>
      <c r="B1074" s="59" t="s">
        <v>441</v>
      </c>
      <c r="C1074" s="60" t="n">
        <v>2393.93</v>
      </c>
      <c r="D1074" s="59" t="n">
        <f aca="false">COUNTIFS($A$2:$A$1931,A1074,$C$2:$C$1931,"&gt;"&amp;C1074)+COUNTIFS($A$2:A1074,A1074,$C$2:C1074,C1074)</f>
        <v>15</v>
      </c>
      <c r="E1074" s="59" t="str">
        <f aca="false">A1074&amp;"|"&amp;D1074</f>
        <v>BLR-Murugeshpalya|15</v>
      </c>
    </row>
    <row r="1075" customFormat="false" ht="15" hidden="false" customHeight="false" outlineLevel="0" collapsed="false">
      <c r="A1075" s="59" t="s">
        <v>46</v>
      </c>
      <c r="B1075" s="59" t="s">
        <v>453</v>
      </c>
      <c r="C1075" s="60" t="n">
        <v>2390.99</v>
      </c>
      <c r="D1075" s="59" t="n">
        <f aca="false">COUNTIFS($A$2:$A$1931,A1075,$C$2:$C$1931,"&gt;"&amp;C1075)+COUNTIFS($A$2:A1075,A1075,$C$2:C1075,C1075)</f>
        <v>16</v>
      </c>
      <c r="E1075" s="59" t="str">
        <f aca="false">A1075&amp;"|"&amp;D1075</f>
        <v>BLR-Murugeshpalya|16</v>
      </c>
    </row>
    <row r="1076" customFormat="false" ht="15" hidden="false" customHeight="false" outlineLevel="0" collapsed="false">
      <c r="A1076" s="59" t="s">
        <v>46</v>
      </c>
      <c r="B1076" s="59" t="s">
        <v>420</v>
      </c>
      <c r="C1076" s="60" t="n">
        <v>2175.31</v>
      </c>
      <c r="D1076" s="59" t="n">
        <f aca="false">COUNTIFS($A$2:$A$1931,A1076,$C$2:$C$1931,"&gt;"&amp;C1076)+COUNTIFS($A$2:A1076,A1076,$C$2:C1076,C1076)</f>
        <v>17</v>
      </c>
      <c r="E1076" s="59" t="str">
        <f aca="false">A1076&amp;"|"&amp;D1076</f>
        <v>BLR-Murugeshpalya|17</v>
      </c>
    </row>
    <row r="1077" customFormat="false" ht="15" hidden="false" customHeight="false" outlineLevel="0" collapsed="false">
      <c r="A1077" s="59" t="s">
        <v>46</v>
      </c>
      <c r="B1077" s="59" t="s">
        <v>438</v>
      </c>
      <c r="C1077" s="60" t="n">
        <v>1670.32</v>
      </c>
      <c r="D1077" s="59" t="n">
        <f aca="false">COUNTIFS($A$2:$A$1931,A1077,$C$2:$C$1931,"&gt;"&amp;C1077)+COUNTIFS($A$2:A1077,A1077,$C$2:C1077,C1077)</f>
        <v>18</v>
      </c>
      <c r="E1077" s="59" t="str">
        <f aca="false">A1077&amp;"|"&amp;D1077</f>
        <v>BLR-Murugeshpalya|18</v>
      </c>
    </row>
    <row r="1078" customFormat="false" ht="15" hidden="false" customHeight="false" outlineLevel="0" collapsed="false">
      <c r="A1078" s="59" t="s">
        <v>46</v>
      </c>
      <c r="B1078" s="59" t="s">
        <v>454</v>
      </c>
      <c r="C1078" s="60" t="n">
        <v>1236.67</v>
      </c>
      <c r="D1078" s="59" t="n">
        <f aca="false">COUNTIFS($A$2:$A$1931,A1078,$C$2:$C$1931,"&gt;"&amp;C1078)+COUNTIFS($A$2:A1078,A1078,$C$2:C1078,C1078)</f>
        <v>19</v>
      </c>
      <c r="E1078" s="59" t="str">
        <f aca="false">A1078&amp;"|"&amp;D1078</f>
        <v>BLR-Murugeshpalya|19</v>
      </c>
    </row>
    <row r="1079" customFormat="false" ht="15" hidden="false" customHeight="false" outlineLevel="0" collapsed="false">
      <c r="A1079" s="59" t="s">
        <v>46</v>
      </c>
      <c r="B1079" s="59" t="s">
        <v>455</v>
      </c>
      <c r="C1079" s="60" t="n">
        <v>1105.09</v>
      </c>
      <c r="D1079" s="59" t="n">
        <f aca="false">COUNTIFS($A$2:$A$1931,A1079,$C$2:$C$1931,"&gt;"&amp;C1079)+COUNTIFS($A$2:A1079,A1079,$C$2:C1079,C1079)</f>
        <v>20</v>
      </c>
      <c r="E1079" s="59" t="str">
        <f aca="false">A1079&amp;"|"&amp;D1079</f>
        <v>BLR-Murugeshpalya|20</v>
      </c>
    </row>
    <row r="1080" customFormat="false" ht="15" hidden="false" customHeight="false" outlineLevel="0" collapsed="false">
      <c r="A1080" s="59" t="s">
        <v>46</v>
      </c>
      <c r="B1080" s="59" t="s">
        <v>416</v>
      </c>
      <c r="C1080" s="60" t="n">
        <v>1066.28</v>
      </c>
      <c r="D1080" s="59" t="n">
        <f aca="false">COUNTIFS($A$2:$A$1931,A1080,$C$2:$C$1931,"&gt;"&amp;C1080)+COUNTIFS($A$2:A1080,A1080,$C$2:C1080,C1080)</f>
        <v>21</v>
      </c>
      <c r="E1080" s="59" t="str">
        <f aca="false">A1080&amp;"|"&amp;D1080</f>
        <v>BLR-Murugeshpalya|21</v>
      </c>
    </row>
    <row r="1081" customFormat="false" ht="15" hidden="false" customHeight="false" outlineLevel="0" collapsed="false">
      <c r="A1081" s="59" t="s">
        <v>46</v>
      </c>
      <c r="B1081" s="59" t="s">
        <v>421</v>
      </c>
      <c r="C1081" s="60" t="n">
        <v>956.39</v>
      </c>
      <c r="D1081" s="59" t="n">
        <f aca="false">COUNTIFS($A$2:$A$1931,A1081,$C$2:$C$1931,"&gt;"&amp;C1081)+COUNTIFS($A$2:A1081,A1081,$C$2:C1081,C1081)</f>
        <v>22</v>
      </c>
      <c r="E1081" s="59" t="str">
        <f aca="false">A1081&amp;"|"&amp;D1081</f>
        <v>BLR-Murugeshpalya|22</v>
      </c>
    </row>
    <row r="1082" customFormat="false" ht="15" hidden="false" customHeight="false" outlineLevel="0" collapsed="false">
      <c r="A1082" s="59" t="s">
        <v>46</v>
      </c>
      <c r="B1082" s="59" t="s">
        <v>409</v>
      </c>
      <c r="C1082" s="60" t="n">
        <v>623.52</v>
      </c>
      <c r="D1082" s="59" t="n">
        <f aca="false">COUNTIFS($A$2:$A$1931,A1082,$C$2:$C$1931,"&gt;"&amp;C1082)+COUNTIFS($A$2:A1082,A1082,$C$2:C1082,C1082)</f>
        <v>23</v>
      </c>
      <c r="E1082" s="59" t="str">
        <f aca="false">A1082&amp;"|"&amp;D1082</f>
        <v>BLR-Murugeshpalya|23</v>
      </c>
    </row>
    <row r="1083" customFormat="false" ht="15" hidden="false" customHeight="false" outlineLevel="0" collapsed="false">
      <c r="A1083" s="59" t="s">
        <v>46</v>
      </c>
      <c r="B1083" s="59" t="s">
        <v>426</v>
      </c>
      <c r="C1083" s="60" t="n">
        <v>284.47</v>
      </c>
      <c r="D1083" s="59" t="n">
        <f aca="false">COUNTIFS($A$2:$A$1931,A1083,$C$2:$C$1931,"&gt;"&amp;C1083)+COUNTIFS($A$2:A1083,A1083,$C$2:C1083,C1083)</f>
        <v>24</v>
      </c>
      <c r="E1083" s="59" t="str">
        <f aca="false">A1083&amp;"|"&amp;D1083</f>
        <v>BLR-Murugeshpalya|24</v>
      </c>
    </row>
    <row r="1084" customFormat="false" ht="15" hidden="false" customHeight="false" outlineLevel="0" collapsed="false">
      <c r="A1084" s="59" t="s">
        <v>46</v>
      </c>
      <c r="B1084" s="59" t="s">
        <v>408</v>
      </c>
      <c r="C1084" s="60" t="n">
        <v>283.66</v>
      </c>
      <c r="D1084" s="59" t="n">
        <f aca="false">COUNTIFS($A$2:$A$1931,A1084,$C$2:$C$1931,"&gt;"&amp;C1084)+COUNTIFS($A$2:A1084,A1084,$C$2:C1084,C1084)</f>
        <v>25</v>
      </c>
      <c r="E1084" s="59" t="str">
        <f aca="false">A1084&amp;"|"&amp;D1084</f>
        <v>BLR-Murugeshpalya|25</v>
      </c>
    </row>
    <row r="1085" customFormat="false" ht="15" hidden="false" customHeight="false" outlineLevel="0" collapsed="false">
      <c r="A1085" s="59" t="s">
        <v>46</v>
      </c>
      <c r="B1085" s="59" t="s">
        <v>437</v>
      </c>
      <c r="C1085" s="60" t="n">
        <v>216.52</v>
      </c>
      <c r="D1085" s="59" t="n">
        <f aca="false">COUNTIFS($A$2:$A$1931,A1085,$C$2:$C$1931,"&gt;"&amp;C1085)+COUNTIFS($A$2:A1085,A1085,$C$2:C1085,C1085)</f>
        <v>26</v>
      </c>
      <c r="E1085" s="59" t="str">
        <f aca="false">A1085&amp;"|"&amp;D1085</f>
        <v>BLR-Murugeshpalya|26</v>
      </c>
    </row>
    <row r="1086" customFormat="false" ht="15" hidden="false" customHeight="false" outlineLevel="0" collapsed="false">
      <c r="A1086" s="59" t="s">
        <v>46</v>
      </c>
      <c r="B1086" s="59" t="s">
        <v>411</v>
      </c>
      <c r="C1086" s="60" t="n">
        <v>82.44</v>
      </c>
      <c r="D1086" s="59" t="n">
        <f aca="false">COUNTIFS($A$2:$A$1931,A1086,$C$2:$C$1931,"&gt;"&amp;C1086)+COUNTIFS($A$2:A1086,A1086,$C$2:C1086,C1086)</f>
        <v>27</v>
      </c>
      <c r="E1086" s="59" t="str">
        <f aca="false">A1086&amp;"|"&amp;D1086</f>
        <v>BLR-Murugeshpalya|27</v>
      </c>
    </row>
    <row r="1087" customFormat="false" ht="15" hidden="false" customHeight="false" outlineLevel="0" collapsed="false">
      <c r="A1087" s="59" t="s">
        <v>46</v>
      </c>
      <c r="B1087" s="59" t="s">
        <v>445</v>
      </c>
      <c r="C1087" s="60" t="n">
        <v>7.93</v>
      </c>
      <c r="D1087" s="59" t="n">
        <f aca="false">COUNTIFS($A$2:$A$1931,A1087,$C$2:$C$1931,"&gt;"&amp;C1087)+COUNTIFS($A$2:A1087,A1087,$C$2:C1087,C1087)</f>
        <v>28</v>
      </c>
      <c r="E1087" s="59" t="str">
        <f aca="false">A1087&amp;"|"&amp;D1087</f>
        <v>BLR-Murugeshpalya|28</v>
      </c>
    </row>
    <row r="1088" customFormat="false" ht="15" hidden="false" customHeight="false" outlineLevel="0" collapsed="false">
      <c r="A1088" s="59" t="s">
        <v>220</v>
      </c>
      <c r="B1088" s="59" t="s">
        <v>410</v>
      </c>
      <c r="C1088" s="60" t="n">
        <v>9725.61</v>
      </c>
      <c r="D1088" s="59" t="n">
        <f aca="false">COUNTIFS($A$2:$A$1931,A1088,$C$2:$C$1931,"&gt;"&amp;C1088)+COUNTIFS($A$2:A1088,A1088,$C$2:C1088,C1088)</f>
        <v>1</v>
      </c>
      <c r="E1088" s="59" t="str">
        <f aca="false">A1088&amp;"|"&amp;D1088</f>
        <v>BLR-Nagavara|1</v>
      </c>
    </row>
    <row r="1089" customFormat="false" ht="15" hidden="false" customHeight="false" outlineLevel="0" collapsed="false">
      <c r="A1089" s="59" t="s">
        <v>220</v>
      </c>
      <c r="B1089" s="59" t="s">
        <v>408</v>
      </c>
      <c r="C1089" s="60" t="n">
        <v>1547.7</v>
      </c>
      <c r="D1089" s="59" t="n">
        <f aca="false">COUNTIFS($A$2:$A$1931,A1089,$C$2:$C$1931,"&gt;"&amp;C1089)+COUNTIFS($A$2:A1089,A1089,$C$2:C1089,C1089)</f>
        <v>2</v>
      </c>
      <c r="E1089" s="59" t="str">
        <f aca="false">A1089&amp;"|"&amp;D1089</f>
        <v>BLR-Nagavara|2</v>
      </c>
    </row>
    <row r="1090" customFormat="false" ht="15" hidden="false" customHeight="false" outlineLevel="0" collapsed="false">
      <c r="A1090" s="59" t="s">
        <v>220</v>
      </c>
      <c r="B1090" s="59" t="s">
        <v>431</v>
      </c>
      <c r="C1090" s="60" t="n">
        <v>1206.04</v>
      </c>
      <c r="D1090" s="59" t="n">
        <f aca="false">COUNTIFS($A$2:$A$1931,A1090,$C$2:$C$1931,"&gt;"&amp;C1090)+COUNTIFS($A$2:A1090,A1090,$C$2:C1090,C1090)</f>
        <v>3</v>
      </c>
      <c r="E1090" s="59" t="str">
        <f aca="false">A1090&amp;"|"&amp;D1090</f>
        <v>BLR-Nagavara|3</v>
      </c>
    </row>
    <row r="1091" customFormat="false" ht="15" hidden="false" customHeight="false" outlineLevel="0" collapsed="false">
      <c r="A1091" s="59" t="s">
        <v>220</v>
      </c>
      <c r="B1091" s="59" t="s">
        <v>407</v>
      </c>
      <c r="C1091" s="60" t="n">
        <v>1135.44</v>
      </c>
      <c r="D1091" s="59" t="n">
        <f aca="false">COUNTIFS($A$2:$A$1931,A1091,$C$2:$C$1931,"&gt;"&amp;C1091)+COUNTIFS($A$2:A1091,A1091,$C$2:C1091,C1091)</f>
        <v>4</v>
      </c>
      <c r="E1091" s="59" t="str">
        <f aca="false">A1091&amp;"|"&amp;D1091</f>
        <v>BLR-Nagavara|4</v>
      </c>
    </row>
    <row r="1092" customFormat="false" ht="15" hidden="false" customHeight="false" outlineLevel="0" collapsed="false">
      <c r="A1092" s="59" t="s">
        <v>220</v>
      </c>
      <c r="B1092" s="59" t="s">
        <v>412</v>
      </c>
      <c r="C1092" s="60" t="n">
        <v>1032.6</v>
      </c>
      <c r="D1092" s="59" t="n">
        <f aca="false">COUNTIFS($A$2:$A$1931,A1092,$C$2:$C$1931,"&gt;"&amp;C1092)+COUNTIFS($A$2:A1092,A1092,$C$2:C1092,C1092)</f>
        <v>5</v>
      </c>
      <c r="E1092" s="59" t="str">
        <f aca="false">A1092&amp;"|"&amp;D1092</f>
        <v>BLR-Nagavara|5</v>
      </c>
    </row>
    <row r="1093" customFormat="false" ht="15" hidden="false" customHeight="false" outlineLevel="0" collapsed="false">
      <c r="A1093" s="59" t="s">
        <v>220</v>
      </c>
      <c r="B1093" s="59" t="s">
        <v>418</v>
      </c>
      <c r="C1093" s="60" t="n">
        <v>1030.32</v>
      </c>
      <c r="D1093" s="59" t="n">
        <f aca="false">COUNTIFS($A$2:$A$1931,A1093,$C$2:$C$1931,"&gt;"&amp;C1093)+COUNTIFS($A$2:A1093,A1093,$C$2:C1093,C1093)</f>
        <v>6</v>
      </c>
      <c r="E1093" s="59" t="str">
        <f aca="false">A1093&amp;"|"&amp;D1093</f>
        <v>BLR-Nagavara|6</v>
      </c>
    </row>
    <row r="1094" customFormat="false" ht="15" hidden="false" customHeight="false" outlineLevel="0" collapsed="false">
      <c r="A1094" s="59" t="s">
        <v>220</v>
      </c>
      <c r="B1094" s="59" t="s">
        <v>416</v>
      </c>
      <c r="C1094" s="60" t="n">
        <v>796.8</v>
      </c>
      <c r="D1094" s="59" t="n">
        <f aca="false">COUNTIFS($A$2:$A$1931,A1094,$C$2:$C$1931,"&gt;"&amp;C1094)+COUNTIFS($A$2:A1094,A1094,$C$2:C1094,C1094)</f>
        <v>7</v>
      </c>
      <c r="E1094" s="59" t="str">
        <f aca="false">A1094&amp;"|"&amp;D1094</f>
        <v>BLR-Nagavara|7</v>
      </c>
    </row>
    <row r="1095" customFormat="false" ht="15" hidden="false" customHeight="false" outlineLevel="0" collapsed="false">
      <c r="A1095" s="59" t="s">
        <v>220</v>
      </c>
      <c r="B1095" s="59" t="s">
        <v>414</v>
      </c>
      <c r="C1095" s="60" t="n">
        <v>573.98</v>
      </c>
      <c r="D1095" s="59" t="n">
        <f aca="false">COUNTIFS($A$2:$A$1931,A1095,$C$2:$C$1931,"&gt;"&amp;C1095)+COUNTIFS($A$2:A1095,A1095,$C$2:C1095,C1095)</f>
        <v>8</v>
      </c>
      <c r="E1095" s="59" t="str">
        <f aca="false">A1095&amp;"|"&amp;D1095</f>
        <v>BLR-Nagavara|8</v>
      </c>
    </row>
    <row r="1096" customFormat="false" ht="15" hidden="false" customHeight="false" outlineLevel="0" collapsed="false">
      <c r="A1096" s="59" t="s">
        <v>220</v>
      </c>
      <c r="B1096" s="59" t="s">
        <v>419</v>
      </c>
      <c r="C1096" s="60" t="n">
        <v>567.19</v>
      </c>
      <c r="D1096" s="59" t="n">
        <f aca="false">COUNTIFS($A$2:$A$1931,A1096,$C$2:$C$1931,"&gt;"&amp;C1096)+COUNTIFS($A$2:A1096,A1096,$C$2:C1096,C1096)</f>
        <v>9</v>
      </c>
      <c r="E1096" s="59" t="str">
        <f aca="false">A1096&amp;"|"&amp;D1096</f>
        <v>BLR-Nagavara|9</v>
      </c>
    </row>
    <row r="1097" customFormat="false" ht="15" hidden="false" customHeight="false" outlineLevel="0" collapsed="false">
      <c r="A1097" s="59" t="s">
        <v>220</v>
      </c>
      <c r="B1097" s="59" t="s">
        <v>413</v>
      </c>
      <c r="C1097" s="60" t="n">
        <v>254.91</v>
      </c>
      <c r="D1097" s="59" t="n">
        <f aca="false">COUNTIFS($A$2:$A$1931,A1097,$C$2:$C$1931,"&gt;"&amp;C1097)+COUNTIFS($A$2:A1097,A1097,$C$2:C1097,C1097)</f>
        <v>10</v>
      </c>
      <c r="E1097" s="59" t="str">
        <f aca="false">A1097&amp;"|"&amp;D1097</f>
        <v>BLR-Nagavara|10</v>
      </c>
    </row>
    <row r="1098" customFormat="false" ht="15" hidden="false" customHeight="false" outlineLevel="0" collapsed="false">
      <c r="A1098" s="59" t="s">
        <v>214</v>
      </c>
      <c r="B1098" s="59" t="s">
        <v>419</v>
      </c>
      <c r="C1098" s="60" t="n">
        <v>2394.73</v>
      </c>
      <c r="D1098" s="59" t="n">
        <f aca="false">COUNTIFS($A$2:$A$1931,A1098,$C$2:$C$1931,"&gt;"&amp;C1098)+COUNTIFS($A$2:A1098,A1098,$C$2:C1098,C1098)</f>
        <v>1</v>
      </c>
      <c r="E1098" s="59" t="str">
        <f aca="false">A1098&amp;"|"&amp;D1098</f>
        <v>BLR-Nagdevanahalli|1</v>
      </c>
    </row>
    <row r="1099" customFormat="false" ht="15" hidden="false" customHeight="false" outlineLevel="0" collapsed="false">
      <c r="A1099" s="59" t="s">
        <v>214</v>
      </c>
      <c r="B1099" s="59" t="s">
        <v>424</v>
      </c>
      <c r="C1099" s="60" t="n">
        <v>1136.19</v>
      </c>
      <c r="D1099" s="59" t="n">
        <f aca="false">COUNTIFS($A$2:$A$1931,A1099,$C$2:$C$1931,"&gt;"&amp;C1099)+COUNTIFS($A$2:A1099,A1099,$C$2:C1099,C1099)</f>
        <v>2</v>
      </c>
      <c r="E1099" s="59" t="str">
        <f aca="false">A1099&amp;"|"&amp;D1099</f>
        <v>BLR-Nagdevanahalli|2</v>
      </c>
    </row>
    <row r="1100" customFormat="false" ht="15" hidden="false" customHeight="false" outlineLevel="0" collapsed="false">
      <c r="A1100" s="59" t="s">
        <v>214</v>
      </c>
      <c r="B1100" s="59" t="s">
        <v>420</v>
      </c>
      <c r="C1100" s="60" t="n">
        <v>502.01</v>
      </c>
      <c r="D1100" s="59" t="n">
        <f aca="false">COUNTIFS($A$2:$A$1931,A1100,$C$2:$C$1931,"&gt;"&amp;C1100)+COUNTIFS($A$2:A1100,A1100,$C$2:C1100,C1100)</f>
        <v>3</v>
      </c>
      <c r="E1100" s="59" t="str">
        <f aca="false">A1100&amp;"|"&amp;D1100</f>
        <v>BLR-Nagdevanahalli|3</v>
      </c>
    </row>
    <row r="1101" customFormat="false" ht="15" hidden="false" customHeight="false" outlineLevel="0" collapsed="false">
      <c r="A1101" s="59" t="s">
        <v>214</v>
      </c>
      <c r="B1101" s="59" t="s">
        <v>416</v>
      </c>
      <c r="C1101" s="60" t="n">
        <v>421.27</v>
      </c>
      <c r="D1101" s="59" t="n">
        <f aca="false">COUNTIFS($A$2:$A$1931,A1101,$C$2:$C$1931,"&gt;"&amp;C1101)+COUNTIFS($A$2:A1101,A1101,$C$2:C1101,C1101)</f>
        <v>4</v>
      </c>
      <c r="E1101" s="59" t="str">
        <f aca="false">A1101&amp;"|"&amp;D1101</f>
        <v>BLR-Nagdevanahalli|4</v>
      </c>
    </row>
    <row r="1102" customFormat="false" ht="15" hidden="false" customHeight="false" outlineLevel="0" collapsed="false">
      <c r="A1102" s="59" t="s">
        <v>214</v>
      </c>
      <c r="B1102" s="59" t="s">
        <v>407</v>
      </c>
      <c r="C1102" s="60" t="n">
        <v>361.28</v>
      </c>
      <c r="D1102" s="59" t="n">
        <f aca="false">COUNTIFS($A$2:$A$1931,A1102,$C$2:$C$1931,"&gt;"&amp;C1102)+COUNTIFS($A$2:A1102,A1102,$C$2:C1102,C1102)</f>
        <v>5</v>
      </c>
      <c r="E1102" s="59" t="str">
        <f aca="false">A1102&amp;"|"&amp;D1102</f>
        <v>BLR-Nagdevanahalli|5</v>
      </c>
    </row>
    <row r="1103" customFormat="false" ht="15" hidden="false" customHeight="false" outlineLevel="0" collapsed="false">
      <c r="A1103" s="59" t="s">
        <v>214</v>
      </c>
      <c r="B1103" s="59" t="s">
        <v>409</v>
      </c>
      <c r="C1103" s="60" t="n">
        <v>356.43</v>
      </c>
      <c r="D1103" s="59" t="n">
        <f aca="false">COUNTIFS($A$2:$A$1931,A1103,$C$2:$C$1931,"&gt;"&amp;C1103)+COUNTIFS($A$2:A1103,A1103,$C$2:C1103,C1103)</f>
        <v>6</v>
      </c>
      <c r="E1103" s="59" t="str">
        <f aca="false">A1103&amp;"|"&amp;D1103</f>
        <v>BLR-Nagdevanahalli|6</v>
      </c>
    </row>
    <row r="1104" customFormat="false" ht="15" hidden="false" customHeight="false" outlineLevel="0" collapsed="false">
      <c r="A1104" s="59" t="s">
        <v>214</v>
      </c>
      <c r="B1104" s="59" t="s">
        <v>417</v>
      </c>
      <c r="C1104" s="60" t="n">
        <v>123.82</v>
      </c>
      <c r="D1104" s="59" t="n">
        <f aca="false">COUNTIFS($A$2:$A$1931,A1104,$C$2:$C$1931,"&gt;"&amp;C1104)+COUNTIFS($A$2:A1104,A1104,$C$2:C1104,C1104)</f>
        <v>7</v>
      </c>
      <c r="E1104" s="59" t="str">
        <f aca="false">A1104&amp;"|"&amp;D1104</f>
        <v>BLR-Nagdevanahalli|7</v>
      </c>
    </row>
    <row r="1105" customFormat="false" ht="15" hidden="false" customHeight="false" outlineLevel="0" collapsed="false">
      <c r="A1105" s="59" t="s">
        <v>214</v>
      </c>
      <c r="B1105" s="59" t="s">
        <v>412</v>
      </c>
      <c r="C1105" s="60" t="n">
        <v>20.43</v>
      </c>
      <c r="D1105" s="59" t="n">
        <f aca="false">COUNTIFS($A$2:$A$1931,A1105,$C$2:$C$1931,"&gt;"&amp;C1105)+COUNTIFS($A$2:A1105,A1105,$C$2:C1105,C1105)</f>
        <v>8</v>
      </c>
      <c r="E1105" s="59" t="str">
        <f aca="false">A1105&amp;"|"&amp;D1105</f>
        <v>BLR-Nagdevanahalli|8</v>
      </c>
    </row>
    <row r="1106" customFormat="false" ht="15" hidden="false" customHeight="false" outlineLevel="0" collapsed="false">
      <c r="A1106" s="59" t="s">
        <v>180</v>
      </c>
      <c r="B1106" s="59" t="s">
        <v>417</v>
      </c>
      <c r="C1106" s="60" t="n">
        <v>1728.11</v>
      </c>
      <c r="D1106" s="59" t="n">
        <f aca="false">COUNTIFS($A$2:$A$1931,A1106,$C$2:$C$1931,"&gt;"&amp;C1106)+COUNTIFS($A$2:A1106,A1106,$C$2:C1106,C1106)</f>
        <v>1</v>
      </c>
      <c r="E1106" s="59" t="str">
        <f aca="false">A1106&amp;"|"&amp;D1106</f>
        <v>BLR-Nagondanahalli|1</v>
      </c>
    </row>
    <row r="1107" customFormat="false" ht="15" hidden="false" customHeight="false" outlineLevel="0" collapsed="false">
      <c r="A1107" s="59" t="s">
        <v>180</v>
      </c>
      <c r="B1107" s="59" t="s">
        <v>413</v>
      </c>
      <c r="C1107" s="60" t="n">
        <v>1328.51</v>
      </c>
      <c r="D1107" s="59" t="n">
        <f aca="false">COUNTIFS($A$2:$A$1931,A1107,$C$2:$C$1931,"&gt;"&amp;C1107)+COUNTIFS($A$2:A1107,A1107,$C$2:C1107,C1107)</f>
        <v>2</v>
      </c>
      <c r="E1107" s="59" t="str">
        <f aca="false">A1107&amp;"|"&amp;D1107</f>
        <v>BLR-Nagondanahalli|2</v>
      </c>
    </row>
    <row r="1108" customFormat="false" ht="15" hidden="false" customHeight="false" outlineLevel="0" collapsed="false">
      <c r="A1108" s="59" t="s">
        <v>180</v>
      </c>
      <c r="B1108" s="59" t="s">
        <v>424</v>
      </c>
      <c r="C1108" s="60" t="n">
        <v>1310.54</v>
      </c>
      <c r="D1108" s="59" t="n">
        <f aca="false">COUNTIFS($A$2:$A$1931,A1108,$C$2:$C$1931,"&gt;"&amp;C1108)+COUNTIFS($A$2:A1108,A1108,$C$2:C1108,C1108)</f>
        <v>3</v>
      </c>
      <c r="E1108" s="59" t="str">
        <f aca="false">A1108&amp;"|"&amp;D1108</f>
        <v>BLR-Nagondanahalli|3</v>
      </c>
    </row>
    <row r="1109" customFormat="false" ht="15" hidden="false" customHeight="false" outlineLevel="0" collapsed="false">
      <c r="A1109" s="59" t="s">
        <v>180</v>
      </c>
      <c r="B1109" s="59" t="s">
        <v>420</v>
      </c>
      <c r="C1109" s="60" t="n">
        <v>407.1</v>
      </c>
      <c r="D1109" s="59" t="n">
        <f aca="false">COUNTIFS($A$2:$A$1931,A1109,$C$2:$C$1931,"&gt;"&amp;C1109)+COUNTIFS($A$2:A1109,A1109,$C$2:C1109,C1109)</f>
        <v>4</v>
      </c>
      <c r="E1109" s="59" t="str">
        <f aca="false">A1109&amp;"|"&amp;D1109</f>
        <v>BLR-Nagondanahalli|4</v>
      </c>
    </row>
    <row r="1110" customFormat="false" ht="15" hidden="false" customHeight="false" outlineLevel="0" collapsed="false">
      <c r="A1110" s="59" t="s">
        <v>180</v>
      </c>
      <c r="B1110" s="59" t="s">
        <v>410</v>
      </c>
      <c r="C1110" s="60" t="n">
        <v>185.06</v>
      </c>
      <c r="D1110" s="59" t="n">
        <f aca="false">COUNTIFS($A$2:$A$1931,A1110,$C$2:$C$1931,"&gt;"&amp;C1110)+COUNTIFS($A$2:A1110,A1110,$C$2:C1110,C1110)</f>
        <v>5</v>
      </c>
      <c r="E1110" s="59" t="str">
        <f aca="false">A1110&amp;"|"&amp;D1110</f>
        <v>BLR-Nagondanahalli|5</v>
      </c>
    </row>
    <row r="1111" customFormat="false" ht="15" hidden="false" customHeight="false" outlineLevel="0" collapsed="false">
      <c r="A1111" s="59" t="s">
        <v>180</v>
      </c>
      <c r="B1111" s="59" t="s">
        <v>423</v>
      </c>
      <c r="C1111" s="60" t="n">
        <v>143.46</v>
      </c>
      <c r="D1111" s="59" t="n">
        <f aca="false">COUNTIFS($A$2:$A$1931,A1111,$C$2:$C$1931,"&gt;"&amp;C1111)+COUNTIFS($A$2:A1111,A1111,$C$2:C1111,C1111)</f>
        <v>6</v>
      </c>
      <c r="E1111" s="59" t="str">
        <f aca="false">A1111&amp;"|"&amp;D1111</f>
        <v>BLR-Nagondanahalli|6</v>
      </c>
    </row>
    <row r="1112" customFormat="false" ht="15" hidden="false" customHeight="false" outlineLevel="0" collapsed="false">
      <c r="A1112" s="59" t="s">
        <v>180</v>
      </c>
      <c r="B1112" s="59" t="s">
        <v>408</v>
      </c>
      <c r="C1112" s="60" t="n">
        <v>85.65</v>
      </c>
      <c r="D1112" s="59" t="n">
        <f aca="false">COUNTIFS($A$2:$A$1931,A1112,$C$2:$C$1931,"&gt;"&amp;C1112)+COUNTIFS($A$2:A1112,A1112,$C$2:C1112,C1112)</f>
        <v>7</v>
      </c>
      <c r="E1112" s="59" t="str">
        <f aca="false">A1112&amp;"|"&amp;D1112</f>
        <v>BLR-Nagondanahalli|7</v>
      </c>
    </row>
    <row r="1113" customFormat="false" ht="15" hidden="false" customHeight="false" outlineLevel="0" collapsed="false">
      <c r="A1113" s="59" t="s">
        <v>38</v>
      </c>
      <c r="B1113" s="59" t="s">
        <v>418</v>
      </c>
      <c r="C1113" s="60" t="n">
        <v>19364.47</v>
      </c>
      <c r="D1113" s="59" t="n">
        <f aca="false">COUNTIFS($A$2:$A$1931,A1113,$C$2:$C$1931,"&gt;"&amp;C1113)+COUNTIFS($A$2:A1113,A1113,$C$2:C1113,C1113)</f>
        <v>1</v>
      </c>
      <c r="E1113" s="59" t="str">
        <f aca="false">A1113&amp;"|"&amp;D1113</f>
        <v>BLR-Narayanapura|1</v>
      </c>
    </row>
    <row r="1114" customFormat="false" ht="15" hidden="false" customHeight="false" outlineLevel="0" collapsed="false">
      <c r="A1114" s="59" t="s">
        <v>38</v>
      </c>
      <c r="B1114" s="59" t="s">
        <v>409</v>
      </c>
      <c r="C1114" s="60" t="n">
        <v>9541.25</v>
      </c>
      <c r="D1114" s="59" t="n">
        <f aca="false">COUNTIFS($A$2:$A$1931,A1114,$C$2:$C$1931,"&gt;"&amp;C1114)+COUNTIFS($A$2:A1114,A1114,$C$2:C1114,C1114)</f>
        <v>2</v>
      </c>
      <c r="E1114" s="59" t="str">
        <f aca="false">A1114&amp;"|"&amp;D1114</f>
        <v>BLR-Narayanapura|2</v>
      </c>
    </row>
    <row r="1115" customFormat="false" ht="15" hidden="false" customHeight="false" outlineLevel="0" collapsed="false">
      <c r="A1115" s="59" t="s">
        <v>38</v>
      </c>
      <c r="B1115" s="59" t="s">
        <v>412</v>
      </c>
      <c r="C1115" s="60" t="n">
        <v>4938.62</v>
      </c>
      <c r="D1115" s="59" t="n">
        <f aca="false">COUNTIFS($A$2:$A$1931,A1115,$C$2:$C$1931,"&gt;"&amp;C1115)+COUNTIFS($A$2:A1115,A1115,$C$2:C1115,C1115)</f>
        <v>3</v>
      </c>
      <c r="E1115" s="59" t="str">
        <f aca="false">A1115&amp;"|"&amp;D1115</f>
        <v>BLR-Narayanapura|3</v>
      </c>
    </row>
    <row r="1116" customFormat="false" ht="15" hidden="false" customHeight="false" outlineLevel="0" collapsed="false">
      <c r="A1116" s="59" t="s">
        <v>38</v>
      </c>
      <c r="B1116" s="59" t="s">
        <v>416</v>
      </c>
      <c r="C1116" s="60" t="n">
        <v>4366.83</v>
      </c>
      <c r="D1116" s="59" t="n">
        <f aca="false">COUNTIFS($A$2:$A$1931,A1116,$C$2:$C$1931,"&gt;"&amp;C1116)+COUNTIFS($A$2:A1116,A1116,$C$2:C1116,C1116)</f>
        <v>4</v>
      </c>
      <c r="E1116" s="59" t="str">
        <f aca="false">A1116&amp;"|"&amp;D1116</f>
        <v>BLR-Narayanapura|4</v>
      </c>
    </row>
    <row r="1117" customFormat="false" ht="15" hidden="false" customHeight="false" outlineLevel="0" collapsed="false">
      <c r="A1117" s="59" t="s">
        <v>38</v>
      </c>
      <c r="B1117" s="59" t="s">
        <v>420</v>
      </c>
      <c r="C1117" s="60" t="n">
        <v>4338.42</v>
      </c>
      <c r="D1117" s="59" t="n">
        <f aca="false">COUNTIFS($A$2:$A$1931,A1117,$C$2:$C$1931,"&gt;"&amp;C1117)+COUNTIFS($A$2:A1117,A1117,$C$2:C1117,C1117)</f>
        <v>5</v>
      </c>
      <c r="E1117" s="59" t="str">
        <f aca="false">A1117&amp;"|"&amp;D1117</f>
        <v>BLR-Narayanapura|5</v>
      </c>
    </row>
    <row r="1118" customFormat="false" ht="15" hidden="false" customHeight="false" outlineLevel="0" collapsed="false">
      <c r="A1118" s="59" t="s">
        <v>38</v>
      </c>
      <c r="B1118" s="59" t="s">
        <v>410</v>
      </c>
      <c r="C1118" s="60" t="n">
        <v>3138.05</v>
      </c>
      <c r="D1118" s="59" t="n">
        <f aca="false">COUNTIFS($A$2:$A$1931,A1118,$C$2:$C$1931,"&gt;"&amp;C1118)+COUNTIFS($A$2:A1118,A1118,$C$2:C1118,C1118)</f>
        <v>6</v>
      </c>
      <c r="E1118" s="59" t="str">
        <f aca="false">A1118&amp;"|"&amp;D1118</f>
        <v>BLR-Narayanapura|6</v>
      </c>
    </row>
    <row r="1119" customFormat="false" ht="15" hidden="false" customHeight="false" outlineLevel="0" collapsed="false">
      <c r="A1119" s="59" t="s">
        <v>38</v>
      </c>
      <c r="B1119" s="59" t="s">
        <v>415</v>
      </c>
      <c r="C1119" s="60" t="n">
        <v>2867.15</v>
      </c>
      <c r="D1119" s="59" t="n">
        <f aca="false">COUNTIFS($A$2:$A$1931,A1119,$C$2:$C$1931,"&gt;"&amp;C1119)+COUNTIFS($A$2:A1119,A1119,$C$2:C1119,C1119)</f>
        <v>7</v>
      </c>
      <c r="E1119" s="59" t="str">
        <f aca="false">A1119&amp;"|"&amp;D1119</f>
        <v>BLR-Narayanapura|7</v>
      </c>
    </row>
    <row r="1120" customFormat="false" ht="15" hidden="false" customHeight="false" outlineLevel="0" collapsed="false">
      <c r="A1120" s="59" t="s">
        <v>38</v>
      </c>
      <c r="B1120" s="59" t="s">
        <v>423</v>
      </c>
      <c r="C1120" s="60" t="n">
        <v>735.84</v>
      </c>
      <c r="D1120" s="59" t="n">
        <f aca="false">COUNTIFS($A$2:$A$1931,A1120,$C$2:$C$1931,"&gt;"&amp;C1120)+COUNTIFS($A$2:A1120,A1120,$C$2:C1120,C1120)</f>
        <v>8</v>
      </c>
      <c r="E1120" s="59" t="str">
        <f aca="false">A1120&amp;"|"&amp;D1120</f>
        <v>BLR-Narayanapura|8</v>
      </c>
    </row>
    <row r="1121" customFormat="false" ht="15" hidden="false" customHeight="false" outlineLevel="0" collapsed="false">
      <c r="A1121" s="59" t="s">
        <v>38</v>
      </c>
      <c r="B1121" s="59" t="s">
        <v>419</v>
      </c>
      <c r="C1121" s="60" t="n">
        <v>258.93</v>
      </c>
      <c r="D1121" s="59" t="n">
        <f aca="false">COUNTIFS($A$2:$A$1931,A1121,$C$2:$C$1931,"&gt;"&amp;C1121)+COUNTIFS($A$2:A1121,A1121,$C$2:C1121,C1121)</f>
        <v>9</v>
      </c>
      <c r="E1121" s="59" t="str">
        <f aca="false">A1121&amp;"|"&amp;D1121</f>
        <v>BLR-Narayanapura|9</v>
      </c>
    </row>
    <row r="1122" customFormat="false" ht="15" hidden="false" customHeight="false" outlineLevel="0" collapsed="false">
      <c r="A1122" s="59" t="s">
        <v>92</v>
      </c>
      <c r="B1122" s="59" t="s">
        <v>424</v>
      </c>
      <c r="C1122" s="60" t="n">
        <v>9770.96</v>
      </c>
      <c r="D1122" s="59" t="n">
        <f aca="false">COUNTIFS($A$2:$A$1931,A1122,$C$2:$C$1931,"&gt;"&amp;C1122)+COUNTIFS($A$2:A1122,A1122,$C$2:C1122,C1122)</f>
        <v>1</v>
      </c>
      <c r="E1122" s="59" t="str">
        <f aca="false">A1122&amp;"|"&amp;D1122</f>
        <v>BLR-Narayanapura Network|1</v>
      </c>
    </row>
    <row r="1123" customFormat="false" ht="15" hidden="false" customHeight="false" outlineLevel="0" collapsed="false">
      <c r="A1123" s="59" t="s">
        <v>92</v>
      </c>
      <c r="B1123" s="59" t="s">
        <v>417</v>
      </c>
      <c r="C1123" s="60" t="n">
        <v>3861.37</v>
      </c>
      <c r="D1123" s="59" t="n">
        <f aca="false">COUNTIFS($A$2:$A$1931,A1123,$C$2:$C$1931,"&gt;"&amp;C1123)+COUNTIFS($A$2:A1123,A1123,$C$2:C1123,C1123)</f>
        <v>2</v>
      </c>
      <c r="E1123" s="59" t="str">
        <f aca="false">A1123&amp;"|"&amp;D1123</f>
        <v>BLR-Narayanapura Network|2</v>
      </c>
    </row>
    <row r="1124" customFormat="false" ht="15" hidden="false" customHeight="false" outlineLevel="0" collapsed="false">
      <c r="A1124" s="59" t="s">
        <v>92</v>
      </c>
      <c r="B1124" s="59" t="s">
        <v>410</v>
      </c>
      <c r="C1124" s="60" t="n">
        <v>1564.47</v>
      </c>
      <c r="D1124" s="59" t="n">
        <f aca="false">COUNTIFS($A$2:$A$1931,A1124,$C$2:$C$1931,"&gt;"&amp;C1124)+COUNTIFS($A$2:A1124,A1124,$C$2:C1124,C1124)</f>
        <v>3</v>
      </c>
      <c r="E1124" s="59" t="str">
        <f aca="false">A1124&amp;"|"&amp;D1124</f>
        <v>BLR-Narayanapura Network|3</v>
      </c>
    </row>
    <row r="1125" customFormat="false" ht="15" hidden="false" customHeight="false" outlineLevel="0" collapsed="false">
      <c r="A1125" s="59" t="s">
        <v>92</v>
      </c>
      <c r="B1125" s="59" t="s">
        <v>415</v>
      </c>
      <c r="C1125" s="60" t="n">
        <v>1011.07</v>
      </c>
      <c r="D1125" s="59" t="n">
        <f aca="false">COUNTIFS($A$2:$A$1931,A1125,$C$2:$C$1931,"&gt;"&amp;C1125)+COUNTIFS($A$2:A1125,A1125,$C$2:C1125,C1125)</f>
        <v>4</v>
      </c>
      <c r="E1125" s="59" t="str">
        <f aca="false">A1125&amp;"|"&amp;D1125</f>
        <v>BLR-Narayanapura Network|4</v>
      </c>
    </row>
    <row r="1126" customFormat="false" ht="15" hidden="false" customHeight="false" outlineLevel="0" collapsed="false">
      <c r="A1126" s="59" t="s">
        <v>92</v>
      </c>
      <c r="B1126" s="59" t="s">
        <v>413</v>
      </c>
      <c r="C1126" s="60" t="n">
        <v>596.12</v>
      </c>
      <c r="D1126" s="59" t="n">
        <f aca="false">COUNTIFS($A$2:$A$1931,A1126,$C$2:$C$1931,"&gt;"&amp;C1126)+COUNTIFS($A$2:A1126,A1126,$C$2:C1126,C1126)</f>
        <v>5</v>
      </c>
      <c r="E1126" s="59" t="str">
        <f aca="false">A1126&amp;"|"&amp;D1126</f>
        <v>BLR-Narayanapura Network|5</v>
      </c>
    </row>
    <row r="1127" customFormat="false" ht="15" hidden="false" customHeight="false" outlineLevel="0" collapsed="false">
      <c r="A1127" s="59" t="s">
        <v>92</v>
      </c>
      <c r="B1127" s="59" t="s">
        <v>408</v>
      </c>
      <c r="C1127" s="60" t="n">
        <v>357.48</v>
      </c>
      <c r="D1127" s="59" t="n">
        <f aca="false">COUNTIFS($A$2:$A$1931,A1127,$C$2:$C$1931,"&gt;"&amp;C1127)+COUNTIFS($A$2:A1127,A1127,$C$2:C1127,C1127)</f>
        <v>6</v>
      </c>
      <c r="E1127" s="59" t="str">
        <f aca="false">A1127&amp;"|"&amp;D1127</f>
        <v>BLR-Narayanapura Network|6</v>
      </c>
    </row>
    <row r="1128" customFormat="false" ht="15" hidden="false" customHeight="false" outlineLevel="0" collapsed="false">
      <c r="A1128" s="59" t="s">
        <v>92</v>
      </c>
      <c r="B1128" s="59" t="s">
        <v>418</v>
      </c>
      <c r="C1128" s="60" t="n">
        <v>232.79</v>
      </c>
      <c r="D1128" s="59" t="n">
        <f aca="false">COUNTIFS($A$2:$A$1931,A1128,$C$2:$C$1931,"&gt;"&amp;C1128)+COUNTIFS($A$2:A1128,A1128,$C$2:C1128,C1128)</f>
        <v>7</v>
      </c>
      <c r="E1128" s="59" t="str">
        <f aca="false">A1128&amp;"|"&amp;D1128</f>
        <v>BLR-Narayanapura Network|7</v>
      </c>
    </row>
    <row r="1129" customFormat="false" ht="15" hidden="false" customHeight="false" outlineLevel="0" collapsed="false">
      <c r="A1129" s="59" t="s">
        <v>72</v>
      </c>
      <c r="B1129" s="59" t="s">
        <v>418</v>
      </c>
      <c r="C1129" s="60" t="n">
        <v>7359.81</v>
      </c>
      <c r="D1129" s="59" t="n">
        <f aca="false">COUNTIFS($A$2:$A$1931,A1129,$C$2:$C$1931,"&gt;"&amp;C1129)+COUNTIFS($A$2:A1129,A1129,$C$2:C1129,C1129)</f>
        <v>1</v>
      </c>
      <c r="E1129" s="59" t="str">
        <f aca="false">A1129&amp;"|"&amp;D1129</f>
        <v>BLR-Nehru Nagar|1</v>
      </c>
    </row>
    <row r="1130" customFormat="false" ht="15" hidden="false" customHeight="false" outlineLevel="0" collapsed="false">
      <c r="A1130" s="59" t="s">
        <v>72</v>
      </c>
      <c r="B1130" s="59" t="s">
        <v>412</v>
      </c>
      <c r="C1130" s="60" t="n">
        <v>2726.35</v>
      </c>
      <c r="D1130" s="59" t="n">
        <f aca="false">COUNTIFS($A$2:$A$1931,A1130,$C$2:$C$1931,"&gt;"&amp;C1130)+COUNTIFS($A$2:A1130,A1130,$C$2:C1130,C1130)</f>
        <v>2</v>
      </c>
      <c r="E1130" s="59" t="str">
        <f aca="false">A1130&amp;"|"&amp;D1130</f>
        <v>BLR-Nehru Nagar|2</v>
      </c>
    </row>
    <row r="1131" customFormat="false" ht="15" hidden="false" customHeight="false" outlineLevel="0" collapsed="false">
      <c r="A1131" s="59" t="s">
        <v>72</v>
      </c>
      <c r="B1131" s="59" t="s">
        <v>420</v>
      </c>
      <c r="C1131" s="60" t="n">
        <v>1969.12</v>
      </c>
      <c r="D1131" s="59" t="n">
        <f aca="false">COUNTIFS($A$2:$A$1931,A1131,$C$2:$C$1931,"&gt;"&amp;C1131)+COUNTIFS($A$2:A1131,A1131,$C$2:C1131,C1131)</f>
        <v>3</v>
      </c>
      <c r="E1131" s="59" t="str">
        <f aca="false">A1131&amp;"|"&amp;D1131</f>
        <v>BLR-Nehru Nagar|3</v>
      </c>
    </row>
    <row r="1132" customFormat="false" ht="15" hidden="false" customHeight="false" outlineLevel="0" collapsed="false">
      <c r="A1132" s="59" t="s">
        <v>72</v>
      </c>
      <c r="B1132" s="59" t="s">
        <v>417</v>
      </c>
      <c r="C1132" s="60" t="n">
        <v>1493.07</v>
      </c>
      <c r="D1132" s="59" t="n">
        <f aca="false">COUNTIFS($A$2:$A$1931,A1132,$C$2:$C$1931,"&gt;"&amp;C1132)+COUNTIFS($A$2:A1132,A1132,$C$2:C1132,C1132)</f>
        <v>4</v>
      </c>
      <c r="E1132" s="59" t="str">
        <f aca="false">A1132&amp;"|"&amp;D1132</f>
        <v>BLR-Nehru Nagar|4</v>
      </c>
    </row>
    <row r="1133" customFormat="false" ht="15" hidden="false" customHeight="false" outlineLevel="0" collapsed="false">
      <c r="A1133" s="59" t="s">
        <v>72</v>
      </c>
      <c r="B1133" s="59" t="s">
        <v>413</v>
      </c>
      <c r="C1133" s="60" t="n">
        <v>1290.16</v>
      </c>
      <c r="D1133" s="59" t="n">
        <f aca="false">COUNTIFS($A$2:$A$1931,A1133,$C$2:$C$1931,"&gt;"&amp;C1133)+COUNTIFS($A$2:A1133,A1133,$C$2:C1133,C1133)</f>
        <v>5</v>
      </c>
      <c r="E1133" s="59" t="str">
        <f aca="false">A1133&amp;"|"&amp;D1133</f>
        <v>BLR-Nehru Nagar|5</v>
      </c>
    </row>
    <row r="1134" customFormat="false" ht="15" hidden="false" customHeight="false" outlineLevel="0" collapsed="false">
      <c r="A1134" s="59" t="s">
        <v>72</v>
      </c>
      <c r="B1134" s="59" t="s">
        <v>424</v>
      </c>
      <c r="C1134" s="60" t="n">
        <v>1172.11</v>
      </c>
      <c r="D1134" s="59" t="n">
        <f aca="false">COUNTIFS($A$2:$A$1931,A1134,$C$2:$C$1931,"&gt;"&amp;C1134)+COUNTIFS($A$2:A1134,A1134,$C$2:C1134,C1134)</f>
        <v>6</v>
      </c>
      <c r="E1134" s="59" t="str">
        <f aca="false">A1134&amp;"|"&amp;D1134</f>
        <v>BLR-Nehru Nagar|6</v>
      </c>
    </row>
    <row r="1135" customFormat="false" ht="15" hidden="false" customHeight="false" outlineLevel="0" collapsed="false">
      <c r="A1135" s="59" t="s">
        <v>72</v>
      </c>
      <c r="B1135" s="59" t="s">
        <v>409</v>
      </c>
      <c r="C1135" s="60" t="n">
        <v>951.31</v>
      </c>
      <c r="D1135" s="59" t="n">
        <f aca="false">COUNTIFS($A$2:$A$1931,A1135,$C$2:$C$1931,"&gt;"&amp;C1135)+COUNTIFS($A$2:A1135,A1135,$C$2:C1135,C1135)</f>
        <v>7</v>
      </c>
      <c r="E1135" s="59" t="str">
        <f aca="false">A1135&amp;"|"&amp;D1135</f>
        <v>BLR-Nehru Nagar|7</v>
      </c>
    </row>
    <row r="1136" customFormat="false" ht="15" hidden="false" customHeight="false" outlineLevel="0" collapsed="false">
      <c r="A1136" s="59" t="s">
        <v>72</v>
      </c>
      <c r="B1136" s="59" t="s">
        <v>410</v>
      </c>
      <c r="C1136" s="60" t="n">
        <v>51.94</v>
      </c>
      <c r="D1136" s="59" t="n">
        <f aca="false">COUNTIFS($A$2:$A$1931,A1136,$C$2:$C$1931,"&gt;"&amp;C1136)+COUNTIFS($A$2:A1136,A1136,$C$2:C1136,C1136)</f>
        <v>8</v>
      </c>
      <c r="E1136" s="59" t="str">
        <f aca="false">A1136&amp;"|"&amp;D1136</f>
        <v>BLR-Nehru Nagar|8</v>
      </c>
    </row>
    <row r="1137" customFormat="false" ht="15" hidden="false" customHeight="false" outlineLevel="0" collapsed="false">
      <c r="A1137" s="59" t="s">
        <v>72</v>
      </c>
      <c r="B1137" s="59" t="s">
        <v>427</v>
      </c>
      <c r="C1137" s="60" t="n">
        <v>18.32</v>
      </c>
      <c r="D1137" s="59" t="n">
        <f aca="false">COUNTIFS($A$2:$A$1931,A1137,$C$2:$C$1931,"&gt;"&amp;C1137)+COUNTIFS($A$2:A1137,A1137,$C$2:C1137,C1137)</f>
        <v>9</v>
      </c>
      <c r="E1137" s="59" t="str">
        <f aca="false">A1137&amp;"|"&amp;D1137</f>
        <v>BLR-Nehru Nagar|9</v>
      </c>
    </row>
    <row r="1138" customFormat="false" ht="15" hidden="false" customHeight="false" outlineLevel="0" collapsed="false">
      <c r="A1138" s="59" t="s">
        <v>109</v>
      </c>
      <c r="B1138" s="59" t="s">
        <v>408</v>
      </c>
      <c r="C1138" s="60" t="n">
        <v>2897.79</v>
      </c>
      <c r="D1138" s="59" t="n">
        <f aca="false">COUNTIFS($A$2:$A$1931,A1138,$C$2:$C$1931,"&gt;"&amp;C1138)+COUNTIFS($A$2:A1138,A1138,$C$2:C1138,C1138)</f>
        <v>1</v>
      </c>
      <c r="E1138" s="59" t="str">
        <f aca="false">A1138&amp;"|"&amp;D1138</f>
        <v>BLR-Nehru Nagar SS|1</v>
      </c>
    </row>
    <row r="1139" customFormat="false" ht="15" hidden="false" customHeight="false" outlineLevel="0" collapsed="false">
      <c r="A1139" s="59" t="s">
        <v>109</v>
      </c>
      <c r="B1139" s="59" t="s">
        <v>434</v>
      </c>
      <c r="C1139" s="60" t="n">
        <v>1704.79</v>
      </c>
      <c r="D1139" s="59" t="n">
        <f aca="false">COUNTIFS($A$2:$A$1931,A1139,$C$2:$C$1931,"&gt;"&amp;C1139)+COUNTIFS($A$2:A1139,A1139,$C$2:C1139,C1139)</f>
        <v>2</v>
      </c>
      <c r="E1139" s="59" t="str">
        <f aca="false">A1139&amp;"|"&amp;D1139</f>
        <v>BLR-Nehru Nagar SS|2</v>
      </c>
    </row>
    <row r="1140" customFormat="false" ht="15" hidden="false" customHeight="false" outlineLevel="0" collapsed="false">
      <c r="A1140" s="59" t="s">
        <v>109</v>
      </c>
      <c r="B1140" s="59" t="s">
        <v>424</v>
      </c>
      <c r="C1140" s="60" t="n">
        <v>1478.38</v>
      </c>
      <c r="D1140" s="59" t="n">
        <f aca="false">COUNTIFS($A$2:$A$1931,A1140,$C$2:$C$1931,"&gt;"&amp;C1140)+COUNTIFS($A$2:A1140,A1140,$C$2:C1140,C1140)</f>
        <v>3</v>
      </c>
      <c r="E1140" s="59" t="str">
        <f aca="false">A1140&amp;"|"&amp;D1140</f>
        <v>BLR-Nehru Nagar SS|3</v>
      </c>
    </row>
    <row r="1141" customFormat="false" ht="15" hidden="false" customHeight="false" outlineLevel="0" collapsed="false">
      <c r="A1141" s="59" t="s">
        <v>109</v>
      </c>
      <c r="B1141" s="59" t="s">
        <v>415</v>
      </c>
      <c r="C1141" s="60" t="n">
        <v>66.17</v>
      </c>
      <c r="D1141" s="59" t="n">
        <f aca="false">COUNTIFS($A$2:$A$1931,A1141,$C$2:$C$1931,"&gt;"&amp;C1141)+COUNTIFS($A$2:A1141,A1141,$C$2:C1141,C1141)</f>
        <v>4</v>
      </c>
      <c r="E1141" s="59" t="str">
        <f aca="false">A1141&amp;"|"&amp;D1141</f>
        <v>BLR-Nehru Nagar SS|4</v>
      </c>
    </row>
    <row r="1142" customFormat="false" ht="15" hidden="false" customHeight="false" outlineLevel="0" collapsed="false">
      <c r="A1142" s="59" t="s">
        <v>187</v>
      </c>
      <c r="B1142" s="59" t="s">
        <v>417</v>
      </c>
      <c r="C1142" s="60" t="n">
        <v>2068.76</v>
      </c>
      <c r="D1142" s="59" t="n">
        <f aca="false">COUNTIFS($A$2:$A$1931,A1142,$C$2:$C$1931,"&gt;"&amp;C1142)+COUNTIFS($A$2:A1142,A1142,$C$2:C1142,C1142)</f>
        <v>1</v>
      </c>
      <c r="E1142" s="59" t="str">
        <f aca="false">A1142&amp;"|"&amp;D1142</f>
        <v>BLR-Nelmagala Town|1</v>
      </c>
    </row>
    <row r="1143" customFormat="false" ht="15" hidden="false" customHeight="false" outlineLevel="0" collapsed="false">
      <c r="A1143" s="59" t="s">
        <v>187</v>
      </c>
      <c r="B1143" s="59" t="s">
        <v>420</v>
      </c>
      <c r="C1143" s="60" t="n">
        <v>1534.34</v>
      </c>
      <c r="D1143" s="59" t="n">
        <f aca="false">COUNTIFS($A$2:$A$1931,A1143,$C$2:$C$1931,"&gt;"&amp;C1143)+COUNTIFS($A$2:A1143,A1143,$C$2:C1143,C1143)</f>
        <v>2</v>
      </c>
      <c r="E1143" s="59" t="str">
        <f aca="false">A1143&amp;"|"&amp;D1143</f>
        <v>BLR-Nelmagala Town|2</v>
      </c>
    </row>
    <row r="1144" customFormat="false" ht="15" hidden="false" customHeight="false" outlineLevel="0" collapsed="false">
      <c r="A1144" s="59" t="s">
        <v>187</v>
      </c>
      <c r="B1144" s="59" t="s">
        <v>424</v>
      </c>
      <c r="C1144" s="60" t="n">
        <v>1499.15</v>
      </c>
      <c r="D1144" s="59" t="n">
        <f aca="false">COUNTIFS($A$2:$A$1931,A1144,$C$2:$C$1931,"&gt;"&amp;C1144)+COUNTIFS($A$2:A1144,A1144,$C$2:C1144,C1144)</f>
        <v>3</v>
      </c>
      <c r="E1144" s="59" t="str">
        <f aca="false">A1144&amp;"|"&amp;D1144</f>
        <v>BLR-Nelmagala Town|3</v>
      </c>
    </row>
    <row r="1145" customFormat="false" ht="15" hidden="false" customHeight="false" outlineLevel="0" collapsed="false">
      <c r="A1145" s="59" t="s">
        <v>187</v>
      </c>
      <c r="B1145" s="59" t="s">
        <v>412</v>
      </c>
      <c r="C1145" s="60" t="n">
        <v>697.75</v>
      </c>
      <c r="D1145" s="59" t="n">
        <f aca="false">COUNTIFS($A$2:$A$1931,A1145,$C$2:$C$1931,"&gt;"&amp;C1145)+COUNTIFS($A$2:A1145,A1145,$C$2:C1145,C1145)</f>
        <v>4</v>
      </c>
      <c r="E1145" s="59" t="str">
        <f aca="false">A1145&amp;"|"&amp;D1145</f>
        <v>BLR-Nelmagala Town|4</v>
      </c>
    </row>
    <row r="1146" customFormat="false" ht="15" hidden="false" customHeight="false" outlineLevel="0" collapsed="false">
      <c r="A1146" s="59" t="s">
        <v>187</v>
      </c>
      <c r="B1146" s="59" t="s">
        <v>408</v>
      </c>
      <c r="C1146" s="60" t="n">
        <v>642.24</v>
      </c>
      <c r="D1146" s="59" t="n">
        <f aca="false">COUNTIFS($A$2:$A$1931,A1146,$C$2:$C$1931,"&gt;"&amp;C1146)+COUNTIFS($A$2:A1146,A1146,$C$2:C1146,C1146)</f>
        <v>5</v>
      </c>
      <c r="E1146" s="59" t="str">
        <f aca="false">A1146&amp;"|"&amp;D1146</f>
        <v>BLR-Nelmagala Town|5</v>
      </c>
    </row>
    <row r="1147" customFormat="false" ht="15" hidden="false" customHeight="false" outlineLevel="0" collapsed="false">
      <c r="A1147" s="59" t="s">
        <v>187</v>
      </c>
      <c r="B1147" s="59" t="s">
        <v>431</v>
      </c>
      <c r="C1147" s="60" t="n">
        <v>581.11</v>
      </c>
      <c r="D1147" s="59" t="n">
        <f aca="false">COUNTIFS($A$2:$A$1931,A1147,$C$2:$C$1931,"&gt;"&amp;C1147)+COUNTIFS($A$2:A1147,A1147,$C$2:C1147,C1147)</f>
        <v>6</v>
      </c>
      <c r="E1147" s="59" t="str">
        <f aca="false">A1147&amp;"|"&amp;D1147</f>
        <v>BLR-Nelmagala Town|6</v>
      </c>
    </row>
    <row r="1148" customFormat="false" ht="15" hidden="false" customHeight="false" outlineLevel="0" collapsed="false">
      <c r="A1148" s="59" t="s">
        <v>187</v>
      </c>
      <c r="B1148" s="59" t="s">
        <v>426</v>
      </c>
      <c r="C1148" s="60" t="n">
        <v>262.71</v>
      </c>
      <c r="D1148" s="59" t="n">
        <f aca="false">COUNTIFS($A$2:$A$1931,A1148,$C$2:$C$1931,"&gt;"&amp;C1148)+COUNTIFS($A$2:A1148,A1148,$C$2:C1148,C1148)</f>
        <v>7</v>
      </c>
      <c r="E1148" s="59" t="str">
        <f aca="false">A1148&amp;"|"&amp;D1148</f>
        <v>BLR-Nelmagala Town|7</v>
      </c>
    </row>
    <row r="1149" customFormat="false" ht="15" hidden="false" customHeight="false" outlineLevel="0" collapsed="false">
      <c r="A1149" s="59" t="s">
        <v>187</v>
      </c>
      <c r="B1149" s="59" t="s">
        <v>413</v>
      </c>
      <c r="C1149" s="60" t="n">
        <v>215.56</v>
      </c>
      <c r="D1149" s="59" t="n">
        <f aca="false">COUNTIFS($A$2:$A$1931,A1149,$C$2:$C$1931,"&gt;"&amp;C1149)+COUNTIFS($A$2:A1149,A1149,$C$2:C1149,C1149)</f>
        <v>8</v>
      </c>
      <c r="E1149" s="59" t="str">
        <f aca="false">A1149&amp;"|"&amp;D1149</f>
        <v>BLR-Nelmagala Town|8</v>
      </c>
    </row>
    <row r="1150" customFormat="false" ht="15" hidden="false" customHeight="false" outlineLevel="0" collapsed="false">
      <c r="A1150" s="59" t="s">
        <v>187</v>
      </c>
      <c r="B1150" s="59" t="s">
        <v>436</v>
      </c>
      <c r="C1150" s="60" t="n">
        <v>194.93</v>
      </c>
      <c r="D1150" s="59" t="n">
        <f aca="false">COUNTIFS($A$2:$A$1931,A1150,$C$2:$C$1931,"&gt;"&amp;C1150)+COUNTIFS($A$2:A1150,A1150,$C$2:C1150,C1150)</f>
        <v>9</v>
      </c>
      <c r="E1150" s="59" t="str">
        <f aca="false">A1150&amp;"|"&amp;D1150</f>
        <v>BLR-Nelmagala Town|9</v>
      </c>
    </row>
    <row r="1151" customFormat="false" ht="15" hidden="false" customHeight="false" outlineLevel="0" collapsed="false">
      <c r="A1151" s="59" t="s">
        <v>187</v>
      </c>
      <c r="B1151" s="59" t="s">
        <v>418</v>
      </c>
      <c r="C1151" s="60" t="n">
        <v>152.52</v>
      </c>
      <c r="D1151" s="59" t="n">
        <f aca="false">COUNTIFS($A$2:$A$1931,A1151,$C$2:$C$1931,"&gt;"&amp;C1151)+COUNTIFS($A$2:A1151,A1151,$C$2:C1151,C1151)</f>
        <v>10</v>
      </c>
      <c r="E1151" s="59" t="str">
        <f aca="false">A1151&amp;"|"&amp;D1151</f>
        <v>BLR-Nelmagala Town|10</v>
      </c>
    </row>
    <row r="1152" customFormat="false" ht="15" hidden="false" customHeight="false" outlineLevel="0" collapsed="false">
      <c r="A1152" s="59" t="s">
        <v>187</v>
      </c>
      <c r="B1152" s="59" t="s">
        <v>416</v>
      </c>
      <c r="C1152" s="60" t="n">
        <v>71.62</v>
      </c>
      <c r="D1152" s="59" t="n">
        <f aca="false">COUNTIFS($A$2:$A$1931,A1152,$C$2:$C$1931,"&gt;"&amp;C1152)+COUNTIFS($A$2:A1152,A1152,$C$2:C1152,C1152)</f>
        <v>11</v>
      </c>
      <c r="E1152" s="59" t="str">
        <f aca="false">A1152&amp;"|"&amp;D1152</f>
        <v>BLR-Nelmagala Town|11</v>
      </c>
    </row>
    <row r="1153" customFormat="false" ht="15" hidden="false" customHeight="false" outlineLevel="0" collapsed="false">
      <c r="A1153" s="59" t="s">
        <v>201</v>
      </c>
      <c r="B1153" s="59" t="s">
        <v>436</v>
      </c>
      <c r="C1153" s="60" t="n">
        <v>460.04</v>
      </c>
      <c r="D1153" s="59" t="n">
        <f aca="false">COUNTIFS($A$2:$A$1931,A1153,$C$2:$C$1931,"&gt;"&amp;C1153)+COUNTIFS($A$2:A1153,A1153,$C$2:C1153,C1153)</f>
        <v>1</v>
      </c>
      <c r="E1153" s="59" t="str">
        <f aca="false">A1153&amp;"|"&amp;D1153</f>
        <v>BLR-Neo Town|1</v>
      </c>
    </row>
    <row r="1154" customFormat="false" ht="15" hidden="false" customHeight="false" outlineLevel="0" collapsed="false">
      <c r="A1154" s="59" t="s">
        <v>201</v>
      </c>
      <c r="B1154" s="59" t="s">
        <v>423</v>
      </c>
      <c r="C1154" s="60" t="n">
        <v>294.48</v>
      </c>
      <c r="D1154" s="59" t="n">
        <f aca="false">COUNTIFS($A$2:$A$1931,A1154,$C$2:$C$1931,"&gt;"&amp;C1154)+COUNTIFS($A$2:A1154,A1154,$C$2:C1154,C1154)</f>
        <v>2</v>
      </c>
      <c r="E1154" s="59" t="str">
        <f aca="false">A1154&amp;"|"&amp;D1154</f>
        <v>BLR-Neo Town|2</v>
      </c>
    </row>
    <row r="1155" customFormat="false" ht="15" hidden="false" customHeight="false" outlineLevel="0" collapsed="false">
      <c r="A1155" s="59" t="s">
        <v>201</v>
      </c>
      <c r="B1155" s="59" t="s">
        <v>424</v>
      </c>
      <c r="C1155" s="60" t="n">
        <v>230.85</v>
      </c>
      <c r="D1155" s="59" t="n">
        <f aca="false">COUNTIFS($A$2:$A$1931,A1155,$C$2:$C$1931,"&gt;"&amp;C1155)+COUNTIFS($A$2:A1155,A1155,$C$2:C1155,C1155)</f>
        <v>3</v>
      </c>
      <c r="E1155" s="59" t="str">
        <f aca="false">A1155&amp;"|"&amp;D1155</f>
        <v>BLR-Neo Town|3</v>
      </c>
    </row>
    <row r="1156" customFormat="false" ht="15" hidden="false" customHeight="false" outlineLevel="0" collapsed="false">
      <c r="A1156" s="59" t="s">
        <v>201</v>
      </c>
      <c r="B1156" s="59" t="s">
        <v>413</v>
      </c>
      <c r="C1156" s="60" t="n">
        <v>172.54</v>
      </c>
      <c r="D1156" s="59" t="n">
        <f aca="false">COUNTIFS($A$2:$A$1931,A1156,$C$2:$C$1931,"&gt;"&amp;C1156)+COUNTIFS($A$2:A1156,A1156,$C$2:C1156,C1156)</f>
        <v>4</v>
      </c>
      <c r="E1156" s="59" t="str">
        <f aca="false">A1156&amp;"|"&amp;D1156</f>
        <v>BLR-Neo Town|4</v>
      </c>
    </row>
    <row r="1157" customFormat="false" ht="15" hidden="false" customHeight="false" outlineLevel="0" collapsed="false">
      <c r="A1157" s="59" t="s">
        <v>201</v>
      </c>
      <c r="B1157" s="59" t="s">
        <v>407</v>
      </c>
      <c r="C1157" s="60" t="n">
        <v>164.19</v>
      </c>
      <c r="D1157" s="59" t="n">
        <f aca="false">COUNTIFS($A$2:$A$1931,A1157,$C$2:$C$1931,"&gt;"&amp;C1157)+COUNTIFS($A$2:A1157,A1157,$C$2:C1157,C1157)</f>
        <v>5</v>
      </c>
      <c r="E1157" s="59" t="str">
        <f aca="false">A1157&amp;"|"&amp;D1157</f>
        <v>BLR-Neo Town|5</v>
      </c>
    </row>
    <row r="1158" customFormat="false" ht="15" hidden="false" customHeight="false" outlineLevel="0" collapsed="false">
      <c r="A1158" s="59" t="s">
        <v>201</v>
      </c>
      <c r="B1158" s="59" t="s">
        <v>420</v>
      </c>
      <c r="C1158" s="60" t="n">
        <v>62.51</v>
      </c>
      <c r="D1158" s="59" t="n">
        <f aca="false">COUNTIFS($A$2:$A$1931,A1158,$C$2:$C$1931,"&gt;"&amp;C1158)+COUNTIFS($A$2:A1158,A1158,$C$2:C1158,C1158)</f>
        <v>6</v>
      </c>
      <c r="E1158" s="59" t="str">
        <f aca="false">A1158&amp;"|"&amp;D1158</f>
        <v>BLR-Neo Town|6</v>
      </c>
    </row>
    <row r="1159" customFormat="false" ht="15" hidden="false" customHeight="false" outlineLevel="0" collapsed="false">
      <c r="A1159" s="59" t="s">
        <v>201</v>
      </c>
      <c r="B1159" s="59" t="s">
        <v>426</v>
      </c>
      <c r="C1159" s="60" t="n">
        <v>47.52</v>
      </c>
      <c r="D1159" s="59" t="n">
        <f aca="false">COUNTIFS($A$2:$A$1931,A1159,$C$2:$C$1931,"&gt;"&amp;C1159)+COUNTIFS($A$2:A1159,A1159,$C$2:C1159,C1159)</f>
        <v>7</v>
      </c>
      <c r="E1159" s="59" t="str">
        <f aca="false">A1159&amp;"|"&amp;D1159</f>
        <v>BLR-Neo Town|7</v>
      </c>
    </row>
    <row r="1160" customFormat="false" ht="15" hidden="false" customHeight="false" outlineLevel="0" collapsed="false">
      <c r="A1160" s="59" t="s">
        <v>201</v>
      </c>
      <c r="B1160" s="59" t="s">
        <v>431</v>
      </c>
      <c r="C1160" s="60" t="n">
        <v>47.01</v>
      </c>
      <c r="D1160" s="59" t="n">
        <f aca="false">COUNTIFS($A$2:$A$1931,A1160,$C$2:$C$1931,"&gt;"&amp;C1160)+COUNTIFS($A$2:A1160,A1160,$C$2:C1160,C1160)</f>
        <v>8</v>
      </c>
      <c r="E1160" s="59" t="str">
        <f aca="false">A1160&amp;"|"&amp;D1160</f>
        <v>BLR-Neo Town|8</v>
      </c>
    </row>
    <row r="1161" customFormat="false" ht="15" hidden="false" customHeight="false" outlineLevel="0" collapsed="false">
      <c r="A1161" s="59" t="s">
        <v>201</v>
      </c>
      <c r="B1161" s="59" t="s">
        <v>408</v>
      </c>
      <c r="C1161" s="60" t="n">
        <v>38.49</v>
      </c>
      <c r="D1161" s="59" t="n">
        <f aca="false">COUNTIFS($A$2:$A$1931,A1161,$C$2:$C$1931,"&gt;"&amp;C1161)+COUNTIFS($A$2:A1161,A1161,$C$2:C1161,C1161)</f>
        <v>9</v>
      </c>
      <c r="E1161" s="59" t="str">
        <f aca="false">A1161&amp;"|"&amp;D1161</f>
        <v>BLR-Neo Town|9</v>
      </c>
    </row>
    <row r="1162" customFormat="false" ht="15" hidden="false" customHeight="false" outlineLevel="0" collapsed="false">
      <c r="A1162" s="59" t="s">
        <v>267</v>
      </c>
      <c r="B1162" s="59" t="s">
        <v>412</v>
      </c>
      <c r="C1162" s="60" t="n">
        <v>3719.36</v>
      </c>
      <c r="D1162" s="59" t="n">
        <f aca="false">COUNTIFS($A$2:$A$1931,A1162,$C$2:$C$1931,"&gt;"&amp;C1162)+COUNTIFS($A$2:A1162,A1162,$C$2:C1162,C1162)</f>
        <v>1</v>
      </c>
      <c r="E1162" s="59" t="str">
        <f aca="false">A1162&amp;"|"&amp;D1162</f>
        <v>BLR-New Gurappanya Palya|1</v>
      </c>
    </row>
    <row r="1163" customFormat="false" ht="15" hidden="false" customHeight="false" outlineLevel="0" collapsed="false">
      <c r="A1163" s="59" t="s">
        <v>267</v>
      </c>
      <c r="B1163" s="59" t="s">
        <v>431</v>
      </c>
      <c r="C1163" s="60" t="n">
        <v>3204.94</v>
      </c>
      <c r="D1163" s="59" t="n">
        <f aca="false">COUNTIFS($A$2:$A$1931,A1163,$C$2:$C$1931,"&gt;"&amp;C1163)+COUNTIFS($A$2:A1163,A1163,$C$2:C1163,C1163)</f>
        <v>2</v>
      </c>
      <c r="E1163" s="59" t="str">
        <f aca="false">A1163&amp;"|"&amp;D1163</f>
        <v>BLR-New Gurappanya Palya|2</v>
      </c>
    </row>
    <row r="1164" customFormat="false" ht="15" hidden="false" customHeight="false" outlineLevel="0" collapsed="false">
      <c r="A1164" s="59" t="s">
        <v>267</v>
      </c>
      <c r="B1164" s="59" t="s">
        <v>417</v>
      </c>
      <c r="C1164" s="60" t="n">
        <v>1024.6</v>
      </c>
      <c r="D1164" s="59" t="n">
        <f aca="false">COUNTIFS($A$2:$A$1931,A1164,$C$2:$C$1931,"&gt;"&amp;C1164)+COUNTIFS($A$2:A1164,A1164,$C$2:C1164,C1164)</f>
        <v>3</v>
      </c>
      <c r="E1164" s="59" t="str">
        <f aca="false">A1164&amp;"|"&amp;D1164</f>
        <v>BLR-New Gurappanya Palya|3</v>
      </c>
    </row>
    <row r="1165" customFormat="false" ht="15" hidden="false" customHeight="false" outlineLevel="0" collapsed="false">
      <c r="A1165" s="59" t="s">
        <v>59</v>
      </c>
      <c r="B1165" s="59" t="s">
        <v>424</v>
      </c>
      <c r="C1165" s="60" t="n">
        <v>9696.91</v>
      </c>
      <c r="D1165" s="59" t="n">
        <f aca="false">COUNTIFS($A$2:$A$1931,A1165,$C$2:$C$1931,"&gt;"&amp;C1165)+COUNTIFS($A$2:A1165,A1165,$C$2:C1165,C1165)</f>
        <v>1</v>
      </c>
      <c r="E1165" s="59" t="str">
        <f aca="false">A1165&amp;"|"&amp;D1165</f>
        <v>BLR-Nikoo Home New|1</v>
      </c>
    </row>
    <row r="1166" customFormat="false" ht="15" hidden="false" customHeight="false" outlineLevel="0" collapsed="false">
      <c r="A1166" s="59" t="s">
        <v>59</v>
      </c>
      <c r="B1166" s="59" t="s">
        <v>412</v>
      </c>
      <c r="C1166" s="60" t="n">
        <v>6482.16</v>
      </c>
      <c r="D1166" s="59" t="n">
        <f aca="false">COUNTIFS($A$2:$A$1931,A1166,$C$2:$C$1931,"&gt;"&amp;C1166)+COUNTIFS($A$2:A1166,A1166,$C$2:C1166,C1166)</f>
        <v>2</v>
      </c>
      <c r="E1166" s="59" t="str">
        <f aca="false">A1166&amp;"|"&amp;D1166</f>
        <v>BLR-Nikoo Home New|2</v>
      </c>
    </row>
    <row r="1167" customFormat="false" ht="15" hidden="false" customHeight="false" outlineLevel="0" collapsed="false">
      <c r="A1167" s="59" t="s">
        <v>59</v>
      </c>
      <c r="B1167" s="59" t="s">
        <v>415</v>
      </c>
      <c r="C1167" s="60" t="n">
        <v>4888.65</v>
      </c>
      <c r="D1167" s="59" t="n">
        <f aca="false">COUNTIFS($A$2:$A$1931,A1167,$C$2:$C$1931,"&gt;"&amp;C1167)+COUNTIFS($A$2:A1167,A1167,$C$2:C1167,C1167)</f>
        <v>3</v>
      </c>
      <c r="E1167" s="59" t="str">
        <f aca="false">A1167&amp;"|"&amp;D1167</f>
        <v>BLR-Nikoo Home New|3</v>
      </c>
    </row>
    <row r="1168" customFormat="false" ht="15" hidden="false" customHeight="false" outlineLevel="0" collapsed="false">
      <c r="A1168" s="59" t="s">
        <v>59</v>
      </c>
      <c r="B1168" s="59" t="s">
        <v>409</v>
      </c>
      <c r="C1168" s="60" t="n">
        <v>4524.83</v>
      </c>
      <c r="D1168" s="59" t="n">
        <f aca="false">COUNTIFS($A$2:$A$1931,A1168,$C$2:$C$1931,"&gt;"&amp;C1168)+COUNTIFS($A$2:A1168,A1168,$C$2:C1168,C1168)</f>
        <v>4</v>
      </c>
      <c r="E1168" s="59" t="str">
        <f aca="false">A1168&amp;"|"&amp;D1168</f>
        <v>BLR-Nikoo Home New|4</v>
      </c>
    </row>
    <row r="1169" customFormat="false" ht="15" hidden="false" customHeight="false" outlineLevel="0" collapsed="false">
      <c r="A1169" s="59" t="s">
        <v>59</v>
      </c>
      <c r="B1169" s="59" t="s">
        <v>413</v>
      </c>
      <c r="C1169" s="60" t="n">
        <v>2458.58</v>
      </c>
      <c r="D1169" s="59" t="n">
        <f aca="false">COUNTIFS($A$2:$A$1931,A1169,$C$2:$C$1931,"&gt;"&amp;C1169)+COUNTIFS($A$2:A1169,A1169,$C$2:C1169,C1169)</f>
        <v>5</v>
      </c>
      <c r="E1169" s="59" t="str">
        <f aca="false">A1169&amp;"|"&amp;D1169</f>
        <v>BLR-Nikoo Home New|5</v>
      </c>
    </row>
    <row r="1170" customFormat="false" ht="15" hidden="false" customHeight="false" outlineLevel="0" collapsed="false">
      <c r="A1170" s="59" t="s">
        <v>59</v>
      </c>
      <c r="B1170" s="59" t="s">
        <v>417</v>
      </c>
      <c r="C1170" s="60" t="n">
        <v>2137.7</v>
      </c>
      <c r="D1170" s="59" t="n">
        <f aca="false">COUNTIFS($A$2:$A$1931,A1170,$C$2:$C$1931,"&gt;"&amp;C1170)+COUNTIFS($A$2:A1170,A1170,$C$2:C1170,C1170)</f>
        <v>6</v>
      </c>
      <c r="E1170" s="59" t="str">
        <f aca="false">A1170&amp;"|"&amp;D1170</f>
        <v>BLR-Nikoo Home New|6</v>
      </c>
    </row>
    <row r="1171" customFormat="false" ht="15" hidden="false" customHeight="false" outlineLevel="0" collapsed="false">
      <c r="A1171" s="59" t="s">
        <v>59</v>
      </c>
      <c r="B1171" s="59" t="s">
        <v>407</v>
      </c>
      <c r="C1171" s="60" t="n">
        <v>854.67</v>
      </c>
      <c r="D1171" s="59" t="n">
        <f aca="false">COUNTIFS($A$2:$A$1931,A1171,$C$2:$C$1931,"&gt;"&amp;C1171)+COUNTIFS($A$2:A1171,A1171,$C$2:C1171,C1171)</f>
        <v>7</v>
      </c>
      <c r="E1171" s="59" t="str">
        <f aca="false">A1171&amp;"|"&amp;D1171</f>
        <v>BLR-Nikoo Home New|7</v>
      </c>
    </row>
    <row r="1172" customFormat="false" ht="15" hidden="false" customHeight="false" outlineLevel="0" collapsed="false">
      <c r="A1172" s="59" t="s">
        <v>110</v>
      </c>
      <c r="B1172" s="59" t="s">
        <v>407</v>
      </c>
      <c r="C1172" s="60" t="n">
        <v>3772.41</v>
      </c>
      <c r="D1172" s="59" t="n">
        <f aca="false">COUNTIFS($A$2:$A$1931,A1172,$C$2:$C$1931,"&gt;"&amp;C1172)+COUNTIFS($A$2:A1172,A1172,$C$2:C1172,C1172)</f>
        <v>1</v>
      </c>
      <c r="E1172" s="59" t="str">
        <f aca="false">A1172&amp;"|"&amp;D1172</f>
        <v>BLR-Nikoo home SS|1</v>
      </c>
    </row>
    <row r="1173" customFormat="false" ht="15" hidden="false" customHeight="false" outlineLevel="0" collapsed="false">
      <c r="A1173" s="59" t="s">
        <v>110</v>
      </c>
      <c r="B1173" s="59" t="s">
        <v>424</v>
      </c>
      <c r="C1173" s="60" t="n">
        <v>3047.95</v>
      </c>
      <c r="D1173" s="59" t="n">
        <f aca="false">COUNTIFS($A$2:$A$1931,A1173,$C$2:$C$1931,"&gt;"&amp;C1173)+COUNTIFS($A$2:A1173,A1173,$C$2:C1173,C1173)</f>
        <v>2</v>
      </c>
      <c r="E1173" s="59" t="str">
        <f aca="false">A1173&amp;"|"&amp;D1173</f>
        <v>BLR-Nikoo home SS|2</v>
      </c>
    </row>
    <row r="1174" customFormat="false" ht="15" hidden="false" customHeight="false" outlineLevel="0" collapsed="false">
      <c r="A1174" s="59" t="s">
        <v>110</v>
      </c>
      <c r="B1174" s="59" t="s">
        <v>415</v>
      </c>
      <c r="C1174" s="60" t="n">
        <v>2149.69</v>
      </c>
      <c r="D1174" s="59" t="n">
        <f aca="false">COUNTIFS($A$2:$A$1931,A1174,$C$2:$C$1931,"&gt;"&amp;C1174)+COUNTIFS($A$2:A1174,A1174,$C$2:C1174,C1174)</f>
        <v>3</v>
      </c>
      <c r="E1174" s="59" t="str">
        <f aca="false">A1174&amp;"|"&amp;D1174</f>
        <v>BLR-Nikoo home SS|3</v>
      </c>
    </row>
    <row r="1175" customFormat="false" ht="15" hidden="false" customHeight="false" outlineLevel="0" collapsed="false">
      <c r="A1175" s="59" t="s">
        <v>110</v>
      </c>
      <c r="B1175" s="59" t="s">
        <v>417</v>
      </c>
      <c r="C1175" s="60" t="n">
        <v>2068.25</v>
      </c>
      <c r="D1175" s="59" t="n">
        <f aca="false">COUNTIFS($A$2:$A$1931,A1175,$C$2:$C$1931,"&gt;"&amp;C1175)+COUNTIFS($A$2:A1175,A1175,$C$2:C1175,C1175)</f>
        <v>4</v>
      </c>
      <c r="E1175" s="59" t="str">
        <f aca="false">A1175&amp;"|"&amp;D1175</f>
        <v>BLR-Nikoo home SS|4</v>
      </c>
    </row>
    <row r="1176" customFormat="false" ht="15" hidden="false" customHeight="false" outlineLevel="0" collapsed="false">
      <c r="A1176" s="59" t="s">
        <v>110</v>
      </c>
      <c r="B1176" s="59" t="s">
        <v>414</v>
      </c>
      <c r="C1176" s="60" t="n">
        <v>1851.98</v>
      </c>
      <c r="D1176" s="59" t="n">
        <f aca="false">COUNTIFS($A$2:$A$1931,A1176,$C$2:$C$1931,"&gt;"&amp;C1176)+COUNTIFS($A$2:A1176,A1176,$C$2:C1176,C1176)</f>
        <v>5</v>
      </c>
      <c r="E1176" s="59" t="str">
        <f aca="false">A1176&amp;"|"&amp;D1176</f>
        <v>BLR-Nikoo home SS|5</v>
      </c>
    </row>
    <row r="1177" customFormat="false" ht="15" hidden="false" customHeight="false" outlineLevel="0" collapsed="false">
      <c r="A1177" s="59" t="s">
        <v>110</v>
      </c>
      <c r="B1177" s="59" t="s">
        <v>409</v>
      </c>
      <c r="C1177" s="60" t="n">
        <v>1686.23</v>
      </c>
      <c r="D1177" s="59" t="n">
        <f aca="false">COUNTIFS($A$2:$A$1931,A1177,$C$2:$C$1931,"&gt;"&amp;C1177)+COUNTIFS($A$2:A1177,A1177,$C$2:C1177,C1177)</f>
        <v>6</v>
      </c>
      <c r="E1177" s="59" t="str">
        <f aca="false">A1177&amp;"|"&amp;D1177</f>
        <v>BLR-Nikoo home SS|6</v>
      </c>
    </row>
    <row r="1178" customFormat="false" ht="15" hidden="false" customHeight="false" outlineLevel="0" collapsed="false">
      <c r="A1178" s="59" t="s">
        <v>110</v>
      </c>
      <c r="B1178" s="59" t="s">
        <v>434</v>
      </c>
      <c r="C1178" s="60" t="n">
        <v>825.07</v>
      </c>
      <c r="D1178" s="59" t="n">
        <f aca="false">COUNTIFS($A$2:$A$1931,A1178,$C$2:$C$1931,"&gt;"&amp;C1178)+COUNTIFS($A$2:A1178,A1178,$C$2:C1178,C1178)</f>
        <v>7</v>
      </c>
      <c r="E1178" s="59" t="str">
        <f aca="false">A1178&amp;"|"&amp;D1178</f>
        <v>BLR-Nikoo home SS|7</v>
      </c>
    </row>
    <row r="1179" customFormat="false" ht="15" hidden="false" customHeight="false" outlineLevel="0" collapsed="false">
      <c r="A1179" s="59" t="s">
        <v>110</v>
      </c>
      <c r="B1179" s="59" t="s">
        <v>431</v>
      </c>
      <c r="C1179" s="60" t="n">
        <v>586.55</v>
      </c>
      <c r="D1179" s="59" t="n">
        <f aca="false">COUNTIFS($A$2:$A$1931,A1179,$C$2:$C$1931,"&gt;"&amp;C1179)+COUNTIFS($A$2:A1179,A1179,$C$2:C1179,C1179)</f>
        <v>8</v>
      </c>
      <c r="E1179" s="59" t="str">
        <f aca="false">A1179&amp;"|"&amp;D1179</f>
        <v>BLR-Nikoo home SS|8</v>
      </c>
    </row>
    <row r="1180" customFormat="false" ht="15" hidden="false" customHeight="false" outlineLevel="0" collapsed="false">
      <c r="A1180" s="59" t="s">
        <v>110</v>
      </c>
      <c r="B1180" s="59" t="s">
        <v>412</v>
      </c>
      <c r="C1180" s="60" t="n">
        <v>395.77</v>
      </c>
      <c r="D1180" s="59" t="n">
        <f aca="false">COUNTIFS($A$2:$A$1931,A1180,$C$2:$C$1931,"&gt;"&amp;C1180)+COUNTIFS($A$2:A1180,A1180,$C$2:C1180,C1180)</f>
        <v>9</v>
      </c>
      <c r="E1180" s="59" t="str">
        <f aca="false">A1180&amp;"|"&amp;D1180</f>
        <v>BLR-Nikoo home SS|9</v>
      </c>
    </row>
    <row r="1181" customFormat="false" ht="15" hidden="false" customHeight="false" outlineLevel="0" collapsed="false">
      <c r="A1181" s="59" t="s">
        <v>110</v>
      </c>
      <c r="B1181" s="59" t="s">
        <v>447</v>
      </c>
      <c r="C1181" s="60" t="n">
        <v>315.35</v>
      </c>
      <c r="D1181" s="59" t="n">
        <f aca="false">COUNTIFS($A$2:$A$1931,A1181,$C$2:$C$1931,"&gt;"&amp;C1181)+COUNTIFS($A$2:A1181,A1181,$C$2:C1181,C1181)</f>
        <v>10</v>
      </c>
      <c r="E1181" s="59" t="str">
        <f aca="false">A1181&amp;"|"&amp;D1181</f>
        <v>BLR-Nikoo home SS|10</v>
      </c>
    </row>
    <row r="1182" customFormat="false" ht="15" hidden="false" customHeight="false" outlineLevel="0" collapsed="false">
      <c r="A1182" s="59" t="s">
        <v>110</v>
      </c>
      <c r="B1182" s="59" t="s">
        <v>430</v>
      </c>
      <c r="C1182" s="60" t="n">
        <v>245.81</v>
      </c>
      <c r="D1182" s="59" t="n">
        <f aca="false">COUNTIFS($A$2:$A$1931,A1182,$C$2:$C$1931,"&gt;"&amp;C1182)+COUNTIFS($A$2:A1182,A1182,$C$2:C1182,C1182)</f>
        <v>11</v>
      </c>
      <c r="E1182" s="59" t="str">
        <f aca="false">A1182&amp;"|"&amp;D1182</f>
        <v>BLR-Nikoo home SS|11</v>
      </c>
    </row>
    <row r="1183" customFormat="false" ht="15" hidden="false" customHeight="false" outlineLevel="0" collapsed="false">
      <c r="A1183" s="59" t="s">
        <v>110</v>
      </c>
      <c r="B1183" s="59" t="s">
        <v>425</v>
      </c>
      <c r="C1183" s="60" t="n">
        <v>201.02</v>
      </c>
      <c r="D1183" s="59" t="n">
        <f aca="false">COUNTIFS($A$2:$A$1931,A1183,$C$2:$C$1931,"&gt;"&amp;C1183)+COUNTIFS($A$2:A1183,A1183,$C$2:C1183,C1183)</f>
        <v>12</v>
      </c>
      <c r="E1183" s="59" t="str">
        <f aca="false">A1183&amp;"|"&amp;D1183</f>
        <v>BLR-Nikoo home SS|12</v>
      </c>
    </row>
    <row r="1184" customFormat="false" ht="15" hidden="false" customHeight="false" outlineLevel="0" collapsed="false">
      <c r="A1184" s="59" t="s">
        <v>110</v>
      </c>
      <c r="B1184" s="59" t="s">
        <v>428</v>
      </c>
      <c r="C1184" s="60" t="n">
        <v>56.13</v>
      </c>
      <c r="D1184" s="59" t="n">
        <f aca="false">COUNTIFS($A$2:$A$1931,A1184,$C$2:$C$1931,"&gt;"&amp;C1184)+COUNTIFS($A$2:A1184,A1184,$C$2:C1184,C1184)</f>
        <v>13</v>
      </c>
      <c r="E1184" s="59" t="str">
        <f aca="false">A1184&amp;"|"&amp;D1184</f>
        <v>BLR-Nikoo home SS|13</v>
      </c>
    </row>
    <row r="1185" customFormat="false" ht="15" hidden="false" customHeight="false" outlineLevel="0" collapsed="false">
      <c r="A1185" s="59" t="s">
        <v>164</v>
      </c>
      <c r="B1185" s="59" t="s">
        <v>417</v>
      </c>
      <c r="C1185" s="60" t="n">
        <v>2520.5</v>
      </c>
      <c r="D1185" s="59" t="n">
        <f aca="false">COUNTIFS($A$2:$A$1931,A1185,$C$2:$C$1931,"&gt;"&amp;C1185)+COUNTIFS($A$2:A1185,A1185,$C$2:C1185,C1185)</f>
        <v>1</v>
      </c>
      <c r="E1185" s="59" t="str">
        <f aca="false">A1185&amp;"|"&amp;D1185</f>
        <v>BLR-Peenya Network|1</v>
      </c>
    </row>
    <row r="1186" customFormat="false" ht="15" hidden="false" customHeight="false" outlineLevel="0" collapsed="false">
      <c r="A1186" s="59" t="s">
        <v>164</v>
      </c>
      <c r="B1186" s="59" t="s">
        <v>412</v>
      </c>
      <c r="C1186" s="60" t="n">
        <v>1311.34</v>
      </c>
      <c r="D1186" s="59" t="n">
        <f aca="false">COUNTIFS($A$2:$A$1931,A1186,$C$2:$C$1931,"&gt;"&amp;C1186)+COUNTIFS($A$2:A1186,A1186,$C$2:C1186,C1186)</f>
        <v>2</v>
      </c>
      <c r="E1186" s="59" t="str">
        <f aca="false">A1186&amp;"|"&amp;D1186</f>
        <v>BLR-Peenya Network|2</v>
      </c>
    </row>
    <row r="1187" customFormat="false" ht="15" hidden="false" customHeight="false" outlineLevel="0" collapsed="false">
      <c r="A1187" s="59" t="s">
        <v>164</v>
      </c>
      <c r="B1187" s="59" t="s">
        <v>410</v>
      </c>
      <c r="C1187" s="60" t="n">
        <v>1127.2</v>
      </c>
      <c r="D1187" s="59" t="n">
        <f aca="false">COUNTIFS($A$2:$A$1931,A1187,$C$2:$C$1931,"&gt;"&amp;C1187)+COUNTIFS($A$2:A1187,A1187,$C$2:C1187,C1187)</f>
        <v>3</v>
      </c>
      <c r="E1187" s="59" t="str">
        <f aca="false">A1187&amp;"|"&amp;D1187</f>
        <v>BLR-Peenya Network|3</v>
      </c>
    </row>
    <row r="1188" customFormat="false" ht="15" hidden="false" customHeight="false" outlineLevel="0" collapsed="false">
      <c r="A1188" s="59" t="s">
        <v>164</v>
      </c>
      <c r="B1188" s="59" t="s">
        <v>418</v>
      </c>
      <c r="C1188" s="60" t="n">
        <v>899.09</v>
      </c>
      <c r="D1188" s="59" t="n">
        <f aca="false">COUNTIFS($A$2:$A$1931,A1188,$C$2:$C$1931,"&gt;"&amp;C1188)+COUNTIFS($A$2:A1188,A1188,$C$2:C1188,C1188)</f>
        <v>4</v>
      </c>
      <c r="E1188" s="59" t="str">
        <f aca="false">A1188&amp;"|"&amp;D1188</f>
        <v>BLR-Peenya Network|4</v>
      </c>
    </row>
    <row r="1189" customFormat="false" ht="15" hidden="false" customHeight="false" outlineLevel="0" collapsed="false">
      <c r="A1189" s="59" t="s">
        <v>112</v>
      </c>
      <c r="B1189" s="59" t="s">
        <v>420</v>
      </c>
      <c r="C1189" s="60" t="n">
        <v>9072.06</v>
      </c>
      <c r="D1189" s="59" t="n">
        <f aca="false">COUNTIFS($A$2:$A$1931,A1189,$C$2:$C$1931,"&gt;"&amp;C1189)+COUNTIFS($A$2:A1189,A1189,$C$2:C1189,C1189)</f>
        <v>1</v>
      </c>
      <c r="E1189" s="59" t="str">
        <f aca="false">A1189&amp;"|"&amp;D1189</f>
        <v>BLR-Peenya New|1</v>
      </c>
    </row>
    <row r="1190" customFormat="false" ht="15" hidden="false" customHeight="false" outlineLevel="0" collapsed="false">
      <c r="A1190" s="59" t="s">
        <v>112</v>
      </c>
      <c r="B1190" s="59" t="s">
        <v>409</v>
      </c>
      <c r="C1190" s="60" t="n">
        <v>5248.08</v>
      </c>
      <c r="D1190" s="59" t="n">
        <f aca="false">COUNTIFS($A$2:$A$1931,A1190,$C$2:$C$1931,"&gt;"&amp;C1190)+COUNTIFS($A$2:A1190,A1190,$C$2:C1190,C1190)</f>
        <v>2</v>
      </c>
      <c r="E1190" s="59" t="str">
        <f aca="false">A1190&amp;"|"&amp;D1190</f>
        <v>BLR-Peenya New|2</v>
      </c>
    </row>
    <row r="1191" customFormat="false" ht="15" hidden="false" customHeight="false" outlineLevel="0" collapsed="false">
      <c r="A1191" s="59" t="s">
        <v>112</v>
      </c>
      <c r="B1191" s="59" t="s">
        <v>418</v>
      </c>
      <c r="C1191" s="60" t="n">
        <v>3858.82</v>
      </c>
      <c r="D1191" s="59" t="n">
        <f aca="false">COUNTIFS($A$2:$A$1931,A1191,$C$2:$C$1931,"&gt;"&amp;C1191)+COUNTIFS($A$2:A1191,A1191,$C$2:C1191,C1191)</f>
        <v>3</v>
      </c>
      <c r="E1191" s="59" t="str">
        <f aca="false">A1191&amp;"|"&amp;D1191</f>
        <v>BLR-Peenya New|3</v>
      </c>
    </row>
    <row r="1192" customFormat="false" ht="15" hidden="false" customHeight="false" outlineLevel="0" collapsed="false">
      <c r="A1192" s="59" t="s">
        <v>112</v>
      </c>
      <c r="B1192" s="59" t="s">
        <v>408</v>
      </c>
      <c r="C1192" s="60" t="n">
        <v>2826.35</v>
      </c>
      <c r="D1192" s="59" t="n">
        <f aca="false">COUNTIFS($A$2:$A$1931,A1192,$C$2:$C$1931,"&gt;"&amp;C1192)+COUNTIFS($A$2:A1192,A1192,$C$2:C1192,C1192)</f>
        <v>4</v>
      </c>
      <c r="E1192" s="59" t="str">
        <f aca="false">A1192&amp;"|"&amp;D1192</f>
        <v>BLR-Peenya New|4</v>
      </c>
    </row>
    <row r="1193" customFormat="false" ht="15" hidden="false" customHeight="false" outlineLevel="0" collapsed="false">
      <c r="A1193" s="59" t="s">
        <v>112</v>
      </c>
      <c r="B1193" s="59" t="s">
        <v>417</v>
      </c>
      <c r="C1193" s="60" t="n">
        <v>1316.12</v>
      </c>
      <c r="D1193" s="59" t="n">
        <f aca="false">COUNTIFS($A$2:$A$1931,A1193,$C$2:$C$1931,"&gt;"&amp;C1193)+COUNTIFS($A$2:A1193,A1193,$C$2:C1193,C1193)</f>
        <v>5</v>
      </c>
      <c r="E1193" s="59" t="str">
        <f aca="false">A1193&amp;"|"&amp;D1193</f>
        <v>BLR-Peenya New|5</v>
      </c>
    </row>
    <row r="1194" customFormat="false" ht="15" hidden="false" customHeight="false" outlineLevel="0" collapsed="false">
      <c r="A1194" s="59" t="s">
        <v>112</v>
      </c>
      <c r="B1194" s="59" t="s">
        <v>412</v>
      </c>
      <c r="C1194" s="60" t="n">
        <v>533.29</v>
      </c>
      <c r="D1194" s="59" t="n">
        <f aca="false">COUNTIFS($A$2:$A$1931,A1194,$C$2:$C$1931,"&gt;"&amp;C1194)+COUNTIFS($A$2:A1194,A1194,$C$2:C1194,C1194)</f>
        <v>6</v>
      </c>
      <c r="E1194" s="59" t="str">
        <f aca="false">A1194&amp;"|"&amp;D1194</f>
        <v>BLR-Peenya New|6</v>
      </c>
    </row>
    <row r="1195" customFormat="false" ht="15" hidden="false" customHeight="false" outlineLevel="0" collapsed="false">
      <c r="A1195" s="59" t="s">
        <v>112</v>
      </c>
      <c r="B1195" s="59" t="s">
        <v>446</v>
      </c>
      <c r="C1195" s="60" t="n">
        <v>485</v>
      </c>
      <c r="D1195" s="59" t="n">
        <f aca="false">COUNTIFS($A$2:$A$1931,A1195,$C$2:$C$1931,"&gt;"&amp;C1195)+COUNTIFS($A$2:A1195,A1195,$C$2:C1195,C1195)</f>
        <v>7</v>
      </c>
      <c r="E1195" s="59" t="str">
        <f aca="false">A1195&amp;"|"&amp;D1195</f>
        <v>BLR-Peenya New|7</v>
      </c>
    </row>
    <row r="1196" customFormat="false" ht="15" hidden="false" customHeight="false" outlineLevel="0" collapsed="false">
      <c r="A1196" s="59" t="s">
        <v>112</v>
      </c>
      <c r="B1196" s="59" t="s">
        <v>423</v>
      </c>
      <c r="C1196" s="60" t="n">
        <v>0.41</v>
      </c>
      <c r="D1196" s="59" t="n">
        <f aca="false">COUNTIFS($A$2:$A$1931,A1196,$C$2:$C$1931,"&gt;"&amp;C1196)+COUNTIFS($A$2:A1196,A1196,$C$2:C1196,C1196)</f>
        <v>8</v>
      </c>
      <c r="E1196" s="59" t="str">
        <f aca="false">A1196&amp;"|"&amp;D1196</f>
        <v>BLR-Peenya New|8</v>
      </c>
    </row>
    <row r="1197" customFormat="false" ht="15" hidden="false" customHeight="false" outlineLevel="0" collapsed="false">
      <c r="A1197" s="59" t="s">
        <v>270</v>
      </c>
      <c r="B1197" s="59" t="s">
        <v>424</v>
      </c>
      <c r="C1197" s="60" t="n">
        <v>3152.89</v>
      </c>
      <c r="D1197" s="59" t="n">
        <f aca="false">COUNTIFS($A$2:$A$1931,A1197,$C$2:$C$1931,"&gt;"&amp;C1197)+COUNTIFS($A$2:A1197,A1197,$C$2:C1197,C1197)</f>
        <v>1</v>
      </c>
      <c r="E1197" s="59" t="str">
        <f aca="false">A1197&amp;"|"&amp;D1197</f>
        <v>BLR-Peenya SS|1</v>
      </c>
    </row>
    <row r="1198" customFormat="false" ht="15" hidden="false" customHeight="false" outlineLevel="0" collapsed="false">
      <c r="A1198" s="59" t="s">
        <v>270</v>
      </c>
      <c r="B1198" s="59" t="s">
        <v>407</v>
      </c>
      <c r="C1198" s="60" t="n">
        <v>3118.07</v>
      </c>
      <c r="D1198" s="59" t="n">
        <f aca="false">COUNTIFS($A$2:$A$1931,A1198,$C$2:$C$1931,"&gt;"&amp;C1198)+COUNTIFS($A$2:A1198,A1198,$C$2:C1198,C1198)</f>
        <v>2</v>
      </c>
      <c r="E1198" s="59" t="str">
        <f aca="false">A1198&amp;"|"&amp;D1198</f>
        <v>BLR-Peenya SS|2</v>
      </c>
    </row>
    <row r="1199" customFormat="false" ht="15" hidden="false" customHeight="false" outlineLevel="0" collapsed="false">
      <c r="A1199" s="59" t="s">
        <v>270</v>
      </c>
      <c r="B1199" s="59" t="s">
        <v>414</v>
      </c>
      <c r="C1199" s="60" t="n">
        <v>2723.78</v>
      </c>
      <c r="D1199" s="59" t="n">
        <f aca="false">COUNTIFS($A$2:$A$1931,A1199,$C$2:$C$1931,"&gt;"&amp;C1199)+COUNTIFS($A$2:A1199,A1199,$C$2:C1199,C1199)</f>
        <v>3</v>
      </c>
      <c r="E1199" s="59" t="str">
        <f aca="false">A1199&amp;"|"&amp;D1199</f>
        <v>BLR-Peenya SS|3</v>
      </c>
    </row>
    <row r="1200" customFormat="false" ht="15" hidden="false" customHeight="false" outlineLevel="0" collapsed="false">
      <c r="A1200" s="59" t="s">
        <v>270</v>
      </c>
      <c r="B1200" s="59" t="s">
        <v>428</v>
      </c>
      <c r="C1200" s="60" t="n">
        <v>1499.05</v>
      </c>
      <c r="D1200" s="59" t="n">
        <f aca="false">COUNTIFS($A$2:$A$1931,A1200,$C$2:$C$1931,"&gt;"&amp;C1200)+COUNTIFS($A$2:A1200,A1200,$C$2:C1200,C1200)</f>
        <v>4</v>
      </c>
      <c r="E1200" s="59" t="str">
        <f aca="false">A1200&amp;"|"&amp;D1200</f>
        <v>BLR-Peenya SS|4</v>
      </c>
    </row>
    <row r="1201" customFormat="false" ht="15" hidden="false" customHeight="false" outlineLevel="0" collapsed="false">
      <c r="A1201" s="59" t="s">
        <v>270</v>
      </c>
      <c r="B1201" s="59" t="s">
        <v>434</v>
      </c>
      <c r="C1201" s="60" t="n">
        <v>600.68</v>
      </c>
      <c r="D1201" s="59" t="n">
        <f aca="false">COUNTIFS($A$2:$A$1931,A1201,$C$2:$C$1931,"&gt;"&amp;C1201)+COUNTIFS($A$2:A1201,A1201,$C$2:C1201,C1201)</f>
        <v>5</v>
      </c>
      <c r="E1201" s="59" t="str">
        <f aca="false">A1201&amp;"|"&amp;D1201</f>
        <v>BLR-Peenya SS|5</v>
      </c>
    </row>
    <row r="1202" customFormat="false" ht="15" hidden="false" customHeight="false" outlineLevel="0" collapsed="false">
      <c r="A1202" s="59" t="s">
        <v>270</v>
      </c>
      <c r="B1202" s="59" t="s">
        <v>430</v>
      </c>
      <c r="C1202" s="60" t="n">
        <v>162.73</v>
      </c>
      <c r="D1202" s="59" t="n">
        <f aca="false">COUNTIFS($A$2:$A$1931,A1202,$C$2:$C$1931,"&gt;"&amp;C1202)+COUNTIFS($A$2:A1202,A1202,$C$2:C1202,C1202)</f>
        <v>6</v>
      </c>
      <c r="E1202" s="59" t="str">
        <f aca="false">A1202&amp;"|"&amp;D1202</f>
        <v>BLR-Peenya SS|6</v>
      </c>
    </row>
    <row r="1203" customFormat="false" ht="15" hidden="false" customHeight="false" outlineLevel="0" collapsed="false">
      <c r="A1203" s="59" t="s">
        <v>151</v>
      </c>
      <c r="B1203" s="59" t="s">
        <v>418</v>
      </c>
      <c r="C1203" s="60" t="n">
        <v>6236.07</v>
      </c>
      <c r="D1203" s="59" t="n">
        <f aca="false">COUNTIFS($A$2:$A$1931,A1203,$C$2:$C$1931,"&gt;"&amp;C1203)+COUNTIFS($A$2:A1203,A1203,$C$2:C1203,C1203)</f>
        <v>1</v>
      </c>
      <c r="E1203" s="59" t="str">
        <f aca="false">A1203&amp;"|"&amp;D1203</f>
        <v>BLR-Pipeline road new|1</v>
      </c>
    </row>
    <row r="1204" customFormat="false" ht="15" hidden="false" customHeight="false" outlineLevel="0" collapsed="false">
      <c r="A1204" s="59" t="s">
        <v>151</v>
      </c>
      <c r="B1204" s="59" t="s">
        <v>426</v>
      </c>
      <c r="C1204" s="60" t="n">
        <v>3808.71</v>
      </c>
      <c r="D1204" s="59" t="n">
        <f aca="false">COUNTIFS($A$2:$A$1931,A1204,$C$2:$C$1931,"&gt;"&amp;C1204)+COUNTIFS($A$2:A1204,A1204,$C$2:C1204,C1204)</f>
        <v>2</v>
      </c>
      <c r="E1204" s="59" t="str">
        <f aca="false">A1204&amp;"|"&amp;D1204</f>
        <v>BLR-Pipeline road new|2</v>
      </c>
    </row>
    <row r="1205" customFormat="false" ht="15" hidden="false" customHeight="false" outlineLevel="0" collapsed="false">
      <c r="A1205" s="59" t="s">
        <v>151</v>
      </c>
      <c r="B1205" s="59" t="s">
        <v>408</v>
      </c>
      <c r="C1205" s="60" t="n">
        <v>2009.88</v>
      </c>
      <c r="D1205" s="59" t="n">
        <f aca="false">COUNTIFS($A$2:$A$1931,A1205,$C$2:$C$1931,"&gt;"&amp;C1205)+COUNTIFS($A$2:A1205,A1205,$C$2:C1205,C1205)</f>
        <v>3</v>
      </c>
      <c r="E1205" s="59" t="str">
        <f aca="false">A1205&amp;"|"&amp;D1205</f>
        <v>BLR-Pipeline road new|3</v>
      </c>
    </row>
    <row r="1206" customFormat="false" ht="15" hidden="false" customHeight="false" outlineLevel="0" collapsed="false">
      <c r="A1206" s="59" t="s">
        <v>151</v>
      </c>
      <c r="B1206" s="59" t="s">
        <v>417</v>
      </c>
      <c r="C1206" s="60" t="n">
        <v>1837.15</v>
      </c>
      <c r="D1206" s="59" t="n">
        <f aca="false">COUNTIFS($A$2:$A$1931,A1206,$C$2:$C$1931,"&gt;"&amp;C1206)+COUNTIFS($A$2:A1206,A1206,$C$2:C1206,C1206)</f>
        <v>4</v>
      </c>
      <c r="E1206" s="59" t="str">
        <f aca="false">A1206&amp;"|"&amp;D1206</f>
        <v>BLR-Pipeline road new|4</v>
      </c>
    </row>
    <row r="1207" customFormat="false" ht="15" hidden="false" customHeight="false" outlineLevel="0" collapsed="false">
      <c r="A1207" s="59" t="s">
        <v>151</v>
      </c>
      <c r="B1207" s="59" t="s">
        <v>424</v>
      </c>
      <c r="C1207" s="60" t="n">
        <v>1327.9</v>
      </c>
      <c r="D1207" s="59" t="n">
        <f aca="false">COUNTIFS($A$2:$A$1931,A1207,$C$2:$C$1931,"&gt;"&amp;C1207)+COUNTIFS($A$2:A1207,A1207,$C$2:C1207,C1207)</f>
        <v>5</v>
      </c>
      <c r="E1207" s="59" t="str">
        <f aca="false">A1207&amp;"|"&amp;D1207</f>
        <v>BLR-Pipeline road new|5</v>
      </c>
    </row>
    <row r="1208" customFormat="false" ht="15" hidden="false" customHeight="false" outlineLevel="0" collapsed="false">
      <c r="A1208" s="59" t="s">
        <v>151</v>
      </c>
      <c r="B1208" s="59" t="s">
        <v>412</v>
      </c>
      <c r="C1208" s="60" t="n">
        <v>1062.01</v>
      </c>
      <c r="D1208" s="59" t="n">
        <f aca="false">COUNTIFS($A$2:$A$1931,A1208,$C$2:$C$1931,"&gt;"&amp;C1208)+COUNTIFS($A$2:A1208,A1208,$C$2:C1208,C1208)</f>
        <v>6</v>
      </c>
      <c r="E1208" s="59" t="str">
        <f aca="false">A1208&amp;"|"&amp;D1208</f>
        <v>BLR-Pipeline road new|6</v>
      </c>
    </row>
    <row r="1209" customFormat="false" ht="15" hidden="false" customHeight="false" outlineLevel="0" collapsed="false">
      <c r="A1209" s="59" t="s">
        <v>151</v>
      </c>
      <c r="B1209" s="59" t="s">
        <v>413</v>
      </c>
      <c r="C1209" s="60" t="n">
        <v>498.99</v>
      </c>
      <c r="D1209" s="59" t="n">
        <f aca="false">COUNTIFS($A$2:$A$1931,A1209,$C$2:$C$1931,"&gt;"&amp;C1209)+COUNTIFS($A$2:A1209,A1209,$C$2:C1209,C1209)</f>
        <v>7</v>
      </c>
      <c r="E1209" s="59" t="str">
        <f aca="false">A1209&amp;"|"&amp;D1209</f>
        <v>BLR-Pipeline road new|7</v>
      </c>
    </row>
    <row r="1210" customFormat="false" ht="15" hidden="false" customHeight="false" outlineLevel="0" collapsed="false">
      <c r="A1210" s="59" t="s">
        <v>151</v>
      </c>
      <c r="B1210" s="59" t="s">
        <v>410</v>
      </c>
      <c r="C1210" s="60" t="n">
        <v>442.1</v>
      </c>
      <c r="D1210" s="59" t="n">
        <f aca="false">COUNTIFS($A$2:$A$1931,A1210,$C$2:$C$1931,"&gt;"&amp;C1210)+COUNTIFS($A$2:A1210,A1210,$C$2:C1210,C1210)</f>
        <v>8</v>
      </c>
      <c r="E1210" s="59" t="str">
        <f aca="false">A1210&amp;"|"&amp;D1210</f>
        <v>BLR-Pipeline road new|8</v>
      </c>
    </row>
    <row r="1211" customFormat="false" ht="15" hidden="false" customHeight="false" outlineLevel="0" collapsed="false">
      <c r="A1211" s="59" t="s">
        <v>151</v>
      </c>
      <c r="B1211" s="59" t="s">
        <v>431</v>
      </c>
      <c r="C1211" s="60" t="n">
        <v>385.98</v>
      </c>
      <c r="D1211" s="59" t="n">
        <f aca="false">COUNTIFS($A$2:$A$1931,A1211,$C$2:$C$1931,"&gt;"&amp;C1211)+COUNTIFS($A$2:A1211,A1211,$C$2:C1211,C1211)</f>
        <v>9</v>
      </c>
      <c r="E1211" s="59" t="str">
        <f aca="false">A1211&amp;"|"&amp;D1211</f>
        <v>BLR-Pipeline road new|9</v>
      </c>
    </row>
    <row r="1212" customFormat="false" ht="15" hidden="false" customHeight="false" outlineLevel="0" collapsed="false">
      <c r="A1212" s="59" t="s">
        <v>151</v>
      </c>
      <c r="B1212" s="59" t="s">
        <v>407</v>
      </c>
      <c r="C1212" s="60" t="n">
        <v>266.05</v>
      </c>
      <c r="D1212" s="59" t="n">
        <f aca="false">COUNTIFS($A$2:$A$1931,A1212,$C$2:$C$1931,"&gt;"&amp;C1212)+COUNTIFS($A$2:A1212,A1212,$C$2:C1212,C1212)</f>
        <v>10</v>
      </c>
      <c r="E1212" s="59" t="str">
        <f aca="false">A1212&amp;"|"&amp;D1212</f>
        <v>BLR-Pipeline road new|10</v>
      </c>
    </row>
    <row r="1213" customFormat="false" ht="15" hidden="false" customHeight="false" outlineLevel="0" collapsed="false">
      <c r="A1213" s="59" t="s">
        <v>140</v>
      </c>
      <c r="B1213" s="59" t="s">
        <v>417</v>
      </c>
      <c r="C1213" s="60" t="n">
        <v>4775.93</v>
      </c>
      <c r="D1213" s="59" t="n">
        <f aca="false">COUNTIFS($A$2:$A$1931,A1213,$C$2:$C$1931,"&gt;"&amp;C1213)+COUNTIFS($A$2:A1213,A1213,$C$2:C1213,C1213)</f>
        <v>1</v>
      </c>
      <c r="E1213" s="59" t="str">
        <f aca="false">A1213&amp;"|"&amp;D1213</f>
        <v>BLR-RAGHAVENDRA LAYOUT|1</v>
      </c>
    </row>
    <row r="1214" customFormat="false" ht="15" hidden="false" customHeight="false" outlineLevel="0" collapsed="false">
      <c r="A1214" s="59" t="s">
        <v>140</v>
      </c>
      <c r="B1214" s="59" t="s">
        <v>408</v>
      </c>
      <c r="C1214" s="60" t="n">
        <v>3162.24</v>
      </c>
      <c r="D1214" s="59" t="n">
        <f aca="false">COUNTIFS($A$2:$A$1931,A1214,$C$2:$C$1931,"&gt;"&amp;C1214)+COUNTIFS($A$2:A1214,A1214,$C$2:C1214,C1214)</f>
        <v>2</v>
      </c>
      <c r="E1214" s="59" t="str">
        <f aca="false">A1214&amp;"|"&amp;D1214</f>
        <v>BLR-RAGHAVENDRA LAYOUT|2</v>
      </c>
    </row>
    <row r="1215" customFormat="false" ht="15" hidden="false" customHeight="false" outlineLevel="0" collapsed="false">
      <c r="A1215" s="59" t="s">
        <v>140</v>
      </c>
      <c r="B1215" s="59" t="s">
        <v>412</v>
      </c>
      <c r="C1215" s="60" t="n">
        <v>1785.61</v>
      </c>
      <c r="D1215" s="59" t="n">
        <f aca="false">COUNTIFS($A$2:$A$1931,A1215,$C$2:$C$1931,"&gt;"&amp;C1215)+COUNTIFS($A$2:A1215,A1215,$C$2:C1215,C1215)</f>
        <v>3</v>
      </c>
      <c r="E1215" s="59" t="str">
        <f aca="false">A1215&amp;"|"&amp;D1215</f>
        <v>BLR-RAGHAVENDRA LAYOUT|3</v>
      </c>
    </row>
    <row r="1216" customFormat="false" ht="15" hidden="false" customHeight="false" outlineLevel="0" collapsed="false">
      <c r="A1216" s="59" t="s">
        <v>140</v>
      </c>
      <c r="B1216" s="59" t="s">
        <v>410</v>
      </c>
      <c r="C1216" s="60" t="n">
        <v>304.79</v>
      </c>
      <c r="D1216" s="59" t="n">
        <f aca="false">COUNTIFS($A$2:$A$1931,A1216,$C$2:$C$1931,"&gt;"&amp;C1216)+COUNTIFS($A$2:A1216,A1216,$C$2:C1216,C1216)</f>
        <v>4</v>
      </c>
      <c r="E1216" s="59" t="str">
        <f aca="false">A1216&amp;"|"&amp;D1216</f>
        <v>BLR-RAGHAVENDRA LAYOUT|4</v>
      </c>
    </row>
    <row r="1217" customFormat="false" ht="15" hidden="false" customHeight="false" outlineLevel="0" collapsed="false">
      <c r="A1217" s="59" t="s">
        <v>140</v>
      </c>
      <c r="B1217" s="59" t="s">
        <v>415</v>
      </c>
      <c r="C1217" s="60" t="n">
        <v>205.03</v>
      </c>
      <c r="D1217" s="59" t="n">
        <f aca="false">COUNTIFS($A$2:$A$1931,A1217,$C$2:$C$1931,"&gt;"&amp;C1217)+COUNTIFS($A$2:A1217,A1217,$C$2:C1217,C1217)</f>
        <v>5</v>
      </c>
      <c r="E1217" s="59" t="str">
        <f aca="false">A1217&amp;"|"&amp;D1217</f>
        <v>BLR-RAGHAVENDRA LAYOUT|5</v>
      </c>
    </row>
    <row r="1218" customFormat="false" ht="15" hidden="false" customHeight="false" outlineLevel="0" collapsed="false">
      <c r="A1218" s="59" t="s">
        <v>140</v>
      </c>
      <c r="B1218" s="59" t="s">
        <v>431</v>
      </c>
      <c r="C1218" s="60" t="n">
        <v>11.3</v>
      </c>
      <c r="D1218" s="59" t="n">
        <f aca="false">COUNTIFS($A$2:$A$1931,A1218,$C$2:$C$1931,"&gt;"&amp;C1218)+COUNTIFS($A$2:A1218,A1218,$C$2:C1218,C1218)</f>
        <v>6</v>
      </c>
      <c r="E1218" s="59" t="str">
        <f aca="false">A1218&amp;"|"&amp;D1218</f>
        <v>BLR-RAGHAVENDRA LAYOUT|6</v>
      </c>
    </row>
    <row r="1219" customFormat="false" ht="15" hidden="false" customHeight="false" outlineLevel="0" collapsed="false">
      <c r="A1219" s="59" t="s">
        <v>297</v>
      </c>
      <c r="B1219" s="59" t="s">
        <v>418</v>
      </c>
      <c r="C1219" s="60" t="n">
        <v>6725.33</v>
      </c>
      <c r="D1219" s="59" t="n">
        <f aca="false">COUNTIFS($A$2:$A$1931,A1219,$C$2:$C$1931,"&gt;"&amp;C1219)+COUNTIFS($A$2:A1219,A1219,$C$2:C1219,C1219)</f>
        <v>1</v>
      </c>
      <c r="E1219" s="59" t="str">
        <f aca="false">A1219&amp;"|"&amp;D1219</f>
        <v>BLR-RAGHAVENDRA LAYOUT NETWORK|1</v>
      </c>
    </row>
    <row r="1220" customFormat="false" ht="15" hidden="false" customHeight="false" outlineLevel="0" collapsed="false">
      <c r="A1220" s="59" t="s">
        <v>297</v>
      </c>
      <c r="B1220" s="59" t="s">
        <v>431</v>
      </c>
      <c r="C1220" s="60" t="n">
        <v>4304.45</v>
      </c>
      <c r="D1220" s="59" t="n">
        <f aca="false">COUNTIFS($A$2:$A$1931,A1220,$C$2:$C$1931,"&gt;"&amp;C1220)+COUNTIFS($A$2:A1220,A1220,$C$2:C1220,C1220)</f>
        <v>2</v>
      </c>
      <c r="E1220" s="59" t="str">
        <f aca="false">A1220&amp;"|"&amp;D1220</f>
        <v>BLR-RAGHAVENDRA LAYOUT NETWORK|2</v>
      </c>
    </row>
    <row r="1221" customFormat="false" ht="15" hidden="false" customHeight="false" outlineLevel="0" collapsed="false">
      <c r="A1221" s="59" t="s">
        <v>297</v>
      </c>
      <c r="B1221" s="59" t="s">
        <v>412</v>
      </c>
      <c r="C1221" s="60" t="n">
        <v>714.13</v>
      </c>
      <c r="D1221" s="59" t="n">
        <f aca="false">COUNTIFS($A$2:$A$1931,A1221,$C$2:$C$1931,"&gt;"&amp;C1221)+COUNTIFS($A$2:A1221,A1221,$C$2:C1221,C1221)</f>
        <v>3</v>
      </c>
      <c r="E1221" s="59" t="str">
        <f aca="false">A1221&amp;"|"&amp;D1221</f>
        <v>BLR-RAGHAVENDRA LAYOUT NETWORK|3</v>
      </c>
    </row>
    <row r="1222" customFormat="false" ht="15" hidden="false" customHeight="false" outlineLevel="0" collapsed="false">
      <c r="A1222" s="59" t="s">
        <v>254</v>
      </c>
      <c r="B1222" s="59" t="s">
        <v>413</v>
      </c>
      <c r="C1222" s="60" t="n">
        <v>1568.5</v>
      </c>
      <c r="D1222" s="59" t="n">
        <f aca="false">COUNTIFS($A$2:$A$1931,A1222,$C$2:$C$1931,"&gt;"&amp;C1222)+COUNTIFS($A$2:A1222,A1222,$C$2:C1222,C1222)</f>
        <v>1</v>
      </c>
      <c r="E1222" s="59" t="str">
        <f aca="false">A1222&amp;"|"&amp;D1222</f>
        <v>BLR-RAGHAVENDRA LAYOUT NETWORK 2|1</v>
      </c>
    </row>
    <row r="1223" customFormat="false" ht="15" hidden="false" customHeight="false" outlineLevel="0" collapsed="false">
      <c r="A1223" s="59" t="s">
        <v>254</v>
      </c>
      <c r="B1223" s="59" t="s">
        <v>431</v>
      </c>
      <c r="C1223" s="60" t="n">
        <v>1522.81</v>
      </c>
      <c r="D1223" s="59" t="n">
        <f aca="false">COUNTIFS($A$2:$A$1931,A1223,$C$2:$C$1931,"&gt;"&amp;C1223)+COUNTIFS($A$2:A1223,A1223,$C$2:C1223,C1223)</f>
        <v>2</v>
      </c>
      <c r="E1223" s="59" t="str">
        <f aca="false">A1223&amp;"|"&amp;D1223</f>
        <v>BLR-RAGHAVENDRA LAYOUT NETWORK 2|2</v>
      </c>
    </row>
    <row r="1224" customFormat="false" ht="15" hidden="false" customHeight="false" outlineLevel="0" collapsed="false">
      <c r="A1224" s="59" t="s">
        <v>254</v>
      </c>
      <c r="B1224" s="59" t="s">
        <v>417</v>
      </c>
      <c r="C1224" s="60" t="n">
        <v>1433.3</v>
      </c>
      <c r="D1224" s="59" t="n">
        <f aca="false">COUNTIFS($A$2:$A$1931,A1224,$C$2:$C$1931,"&gt;"&amp;C1224)+COUNTIFS($A$2:A1224,A1224,$C$2:C1224,C1224)</f>
        <v>3</v>
      </c>
      <c r="E1224" s="59" t="str">
        <f aca="false">A1224&amp;"|"&amp;D1224</f>
        <v>BLR-RAGHAVENDRA LAYOUT NETWORK 2|3</v>
      </c>
    </row>
    <row r="1225" customFormat="false" ht="15" hidden="false" customHeight="false" outlineLevel="0" collapsed="false">
      <c r="A1225" s="59" t="s">
        <v>254</v>
      </c>
      <c r="B1225" s="59" t="s">
        <v>412</v>
      </c>
      <c r="C1225" s="60" t="n">
        <v>967.7</v>
      </c>
      <c r="D1225" s="59" t="n">
        <f aca="false">COUNTIFS($A$2:$A$1931,A1225,$C$2:$C$1931,"&gt;"&amp;C1225)+COUNTIFS($A$2:A1225,A1225,$C$2:C1225,C1225)</f>
        <v>4</v>
      </c>
      <c r="E1225" s="59" t="str">
        <f aca="false">A1225&amp;"|"&amp;D1225</f>
        <v>BLR-RAGHAVENDRA LAYOUT NETWORK 2|4</v>
      </c>
    </row>
    <row r="1226" customFormat="false" ht="15" hidden="false" customHeight="false" outlineLevel="0" collapsed="false">
      <c r="A1226" s="59" t="s">
        <v>254</v>
      </c>
      <c r="B1226" s="59" t="s">
        <v>424</v>
      </c>
      <c r="C1226" s="60" t="n">
        <v>146.41</v>
      </c>
      <c r="D1226" s="59" t="n">
        <f aca="false">COUNTIFS($A$2:$A$1931,A1226,$C$2:$C$1931,"&gt;"&amp;C1226)+COUNTIFS($A$2:A1226,A1226,$C$2:C1226,C1226)</f>
        <v>5</v>
      </c>
      <c r="E1226" s="59" t="str">
        <f aca="false">A1226&amp;"|"&amp;D1226</f>
        <v>BLR-RAGHAVENDRA LAYOUT NETWORK 2|5</v>
      </c>
    </row>
    <row r="1227" customFormat="false" ht="15" hidden="false" customHeight="false" outlineLevel="0" collapsed="false">
      <c r="A1227" s="59" t="s">
        <v>254</v>
      </c>
      <c r="B1227" s="59" t="s">
        <v>422</v>
      </c>
      <c r="C1227" s="60" t="n">
        <v>102.92</v>
      </c>
      <c r="D1227" s="59" t="n">
        <f aca="false">COUNTIFS($A$2:$A$1931,A1227,$C$2:$C$1931,"&gt;"&amp;C1227)+COUNTIFS($A$2:A1227,A1227,$C$2:C1227,C1227)</f>
        <v>6</v>
      </c>
      <c r="E1227" s="59" t="str">
        <f aca="false">A1227&amp;"|"&amp;D1227</f>
        <v>BLR-RAGHAVENDRA LAYOUT NETWORK 2|6</v>
      </c>
    </row>
    <row r="1228" customFormat="false" ht="15" hidden="false" customHeight="false" outlineLevel="0" collapsed="false">
      <c r="A1228" s="59" t="s">
        <v>254</v>
      </c>
      <c r="B1228" s="59" t="s">
        <v>423</v>
      </c>
      <c r="C1228" s="60" t="n">
        <v>0.63</v>
      </c>
      <c r="D1228" s="59" t="n">
        <f aca="false">COUNTIFS($A$2:$A$1931,A1228,$C$2:$C$1931,"&gt;"&amp;C1228)+COUNTIFS($A$2:A1228,A1228,$C$2:C1228,C1228)</f>
        <v>7</v>
      </c>
      <c r="E1228" s="59" t="str">
        <f aca="false">A1228&amp;"|"&amp;D1228</f>
        <v>BLR-RAGHAVENDRA LAYOUT NETWORK 2|7</v>
      </c>
    </row>
    <row r="1229" customFormat="false" ht="15" hidden="false" customHeight="false" outlineLevel="0" collapsed="false">
      <c r="A1229" s="59" t="s">
        <v>75</v>
      </c>
      <c r="B1229" s="59" t="s">
        <v>418</v>
      </c>
      <c r="C1229" s="60" t="n">
        <v>13090.25</v>
      </c>
      <c r="D1229" s="59" t="n">
        <f aca="false">COUNTIFS($A$2:$A$1931,A1229,$C$2:$C$1931,"&gt;"&amp;C1229)+COUNTIFS($A$2:A1229,A1229,$C$2:C1229,C1229)</f>
        <v>1</v>
      </c>
      <c r="E1229" s="59" t="str">
        <f aca="false">A1229&amp;"|"&amp;D1229</f>
        <v>BLR-RAMAMURTHY NAGAR NEW|1</v>
      </c>
    </row>
    <row r="1230" customFormat="false" ht="15" hidden="false" customHeight="false" outlineLevel="0" collapsed="false">
      <c r="A1230" s="59" t="s">
        <v>75</v>
      </c>
      <c r="B1230" s="59" t="s">
        <v>424</v>
      </c>
      <c r="C1230" s="60" t="n">
        <v>10916.98</v>
      </c>
      <c r="D1230" s="59" t="n">
        <f aca="false">COUNTIFS($A$2:$A$1931,A1230,$C$2:$C$1931,"&gt;"&amp;C1230)+COUNTIFS($A$2:A1230,A1230,$C$2:C1230,C1230)</f>
        <v>2</v>
      </c>
      <c r="E1230" s="59" t="str">
        <f aca="false">A1230&amp;"|"&amp;D1230</f>
        <v>BLR-RAMAMURTHY NAGAR NEW|2</v>
      </c>
    </row>
    <row r="1231" customFormat="false" ht="15" hidden="false" customHeight="false" outlineLevel="0" collapsed="false">
      <c r="A1231" s="59" t="s">
        <v>75</v>
      </c>
      <c r="B1231" s="59" t="s">
        <v>415</v>
      </c>
      <c r="C1231" s="60" t="n">
        <v>1880.67</v>
      </c>
      <c r="D1231" s="59" t="n">
        <f aca="false">COUNTIFS($A$2:$A$1931,A1231,$C$2:$C$1931,"&gt;"&amp;C1231)+COUNTIFS($A$2:A1231,A1231,$C$2:C1231,C1231)</f>
        <v>3</v>
      </c>
      <c r="E1231" s="59" t="str">
        <f aca="false">A1231&amp;"|"&amp;D1231</f>
        <v>BLR-RAMAMURTHY NAGAR NEW|3</v>
      </c>
    </row>
    <row r="1232" customFormat="false" ht="15" hidden="false" customHeight="false" outlineLevel="0" collapsed="false">
      <c r="A1232" s="59" t="s">
        <v>75</v>
      </c>
      <c r="B1232" s="59" t="s">
        <v>417</v>
      </c>
      <c r="C1232" s="60" t="n">
        <v>753.65</v>
      </c>
      <c r="D1232" s="59" t="n">
        <f aca="false">COUNTIFS($A$2:$A$1931,A1232,$C$2:$C$1931,"&gt;"&amp;C1232)+COUNTIFS($A$2:A1232,A1232,$C$2:C1232,C1232)</f>
        <v>4</v>
      </c>
      <c r="E1232" s="59" t="str">
        <f aca="false">A1232&amp;"|"&amp;D1232</f>
        <v>BLR-RAMAMURTHY NAGAR NEW|4</v>
      </c>
    </row>
    <row r="1233" customFormat="false" ht="15" hidden="false" customHeight="false" outlineLevel="0" collapsed="false">
      <c r="A1233" s="59" t="s">
        <v>75</v>
      </c>
      <c r="B1233" s="59" t="s">
        <v>410</v>
      </c>
      <c r="C1233" s="60" t="n">
        <v>475.7</v>
      </c>
      <c r="D1233" s="59" t="n">
        <f aca="false">COUNTIFS($A$2:$A$1931,A1233,$C$2:$C$1931,"&gt;"&amp;C1233)+COUNTIFS($A$2:A1233,A1233,$C$2:C1233,C1233)</f>
        <v>5</v>
      </c>
      <c r="E1233" s="59" t="str">
        <f aca="false">A1233&amp;"|"&amp;D1233</f>
        <v>BLR-RAMAMURTHY NAGAR NEW|5</v>
      </c>
    </row>
    <row r="1234" customFormat="false" ht="15" hidden="false" customHeight="false" outlineLevel="0" collapsed="false">
      <c r="A1234" s="59" t="s">
        <v>162</v>
      </c>
      <c r="B1234" s="59" t="s">
        <v>431</v>
      </c>
      <c r="C1234" s="60" t="n">
        <v>8439.52</v>
      </c>
      <c r="D1234" s="59" t="n">
        <f aca="false">COUNTIFS($A$2:$A$1931,A1234,$C$2:$C$1931,"&gt;"&amp;C1234)+COUNTIFS($A$2:A1234,A1234,$C$2:C1234,C1234)</f>
        <v>1</v>
      </c>
      <c r="E1234" s="59" t="str">
        <f aca="false">A1234&amp;"|"&amp;D1234</f>
        <v>BLR-RICHMOND TOWN|1</v>
      </c>
    </row>
    <row r="1235" customFormat="false" ht="15" hidden="false" customHeight="false" outlineLevel="0" collapsed="false">
      <c r="A1235" s="59" t="s">
        <v>162</v>
      </c>
      <c r="B1235" s="59" t="s">
        <v>426</v>
      </c>
      <c r="C1235" s="60" t="n">
        <v>6232.52</v>
      </c>
      <c r="D1235" s="59" t="n">
        <f aca="false">COUNTIFS($A$2:$A$1931,A1235,$C$2:$C$1931,"&gt;"&amp;C1235)+COUNTIFS($A$2:A1235,A1235,$C$2:C1235,C1235)</f>
        <v>2</v>
      </c>
      <c r="E1235" s="59" t="str">
        <f aca="false">A1235&amp;"|"&amp;D1235</f>
        <v>BLR-RICHMOND TOWN|2</v>
      </c>
    </row>
    <row r="1236" customFormat="false" ht="15" hidden="false" customHeight="false" outlineLevel="0" collapsed="false">
      <c r="A1236" s="59" t="s">
        <v>162</v>
      </c>
      <c r="B1236" s="59" t="s">
        <v>415</v>
      </c>
      <c r="C1236" s="60" t="n">
        <v>5629.39</v>
      </c>
      <c r="D1236" s="59" t="n">
        <f aca="false">COUNTIFS($A$2:$A$1931,A1236,$C$2:$C$1931,"&gt;"&amp;C1236)+COUNTIFS($A$2:A1236,A1236,$C$2:C1236,C1236)</f>
        <v>3</v>
      </c>
      <c r="E1236" s="59" t="str">
        <f aca="false">A1236&amp;"|"&amp;D1236</f>
        <v>BLR-RICHMOND TOWN|3</v>
      </c>
    </row>
    <row r="1237" customFormat="false" ht="15" hidden="false" customHeight="false" outlineLevel="0" collapsed="false">
      <c r="A1237" s="59" t="s">
        <v>162</v>
      </c>
      <c r="B1237" s="59" t="s">
        <v>412</v>
      </c>
      <c r="C1237" s="60" t="n">
        <v>4614.38</v>
      </c>
      <c r="D1237" s="59" t="n">
        <f aca="false">COUNTIFS($A$2:$A$1931,A1237,$C$2:$C$1931,"&gt;"&amp;C1237)+COUNTIFS($A$2:A1237,A1237,$C$2:C1237,C1237)</f>
        <v>4</v>
      </c>
      <c r="E1237" s="59" t="str">
        <f aca="false">A1237&amp;"|"&amp;D1237</f>
        <v>BLR-RICHMOND TOWN|4</v>
      </c>
    </row>
    <row r="1238" customFormat="false" ht="15" hidden="false" customHeight="false" outlineLevel="0" collapsed="false">
      <c r="A1238" s="59" t="s">
        <v>162</v>
      </c>
      <c r="B1238" s="59" t="s">
        <v>421</v>
      </c>
      <c r="C1238" s="60" t="n">
        <v>807.36</v>
      </c>
      <c r="D1238" s="59" t="n">
        <f aca="false">COUNTIFS($A$2:$A$1931,A1238,$C$2:$C$1931,"&gt;"&amp;C1238)+COUNTIFS($A$2:A1238,A1238,$C$2:C1238,C1238)</f>
        <v>5</v>
      </c>
      <c r="E1238" s="59" t="str">
        <f aca="false">A1238&amp;"|"&amp;D1238</f>
        <v>BLR-RICHMOND TOWN|5</v>
      </c>
    </row>
    <row r="1239" customFormat="false" ht="15" hidden="false" customHeight="false" outlineLevel="0" collapsed="false">
      <c r="A1239" s="59" t="s">
        <v>162</v>
      </c>
      <c r="B1239" s="59" t="s">
        <v>418</v>
      </c>
      <c r="C1239" s="60" t="n">
        <v>272.75</v>
      </c>
      <c r="D1239" s="59" t="n">
        <f aca="false">COUNTIFS($A$2:$A$1931,A1239,$C$2:$C$1931,"&gt;"&amp;C1239)+COUNTIFS($A$2:A1239,A1239,$C$2:C1239,C1239)</f>
        <v>6</v>
      </c>
      <c r="E1239" s="59" t="str">
        <f aca="false">A1239&amp;"|"&amp;D1239</f>
        <v>BLR-RICHMOND TOWN|6</v>
      </c>
    </row>
    <row r="1240" customFormat="false" ht="15" hidden="false" customHeight="false" outlineLevel="0" collapsed="false">
      <c r="A1240" s="59" t="s">
        <v>162</v>
      </c>
      <c r="B1240" s="59" t="s">
        <v>435</v>
      </c>
      <c r="C1240" s="60" t="n">
        <v>148.96</v>
      </c>
      <c r="D1240" s="59" t="n">
        <f aca="false">COUNTIFS($A$2:$A$1931,A1240,$C$2:$C$1931,"&gt;"&amp;C1240)+COUNTIFS($A$2:A1240,A1240,$C$2:C1240,C1240)</f>
        <v>7</v>
      </c>
      <c r="E1240" s="59" t="str">
        <f aca="false">A1240&amp;"|"&amp;D1240</f>
        <v>BLR-RICHMOND TOWN|7</v>
      </c>
    </row>
    <row r="1241" customFormat="false" ht="15" hidden="false" customHeight="false" outlineLevel="0" collapsed="false">
      <c r="A1241" s="59" t="s">
        <v>162</v>
      </c>
      <c r="B1241" s="59" t="s">
        <v>440</v>
      </c>
      <c r="C1241" s="60" t="n">
        <v>119.42</v>
      </c>
      <c r="D1241" s="59" t="n">
        <f aca="false">COUNTIFS($A$2:$A$1931,A1241,$C$2:$C$1931,"&gt;"&amp;C1241)+COUNTIFS($A$2:A1241,A1241,$C$2:C1241,C1241)</f>
        <v>8</v>
      </c>
      <c r="E1241" s="59" t="str">
        <f aca="false">A1241&amp;"|"&amp;D1241</f>
        <v>BLR-RICHMOND TOWN|8</v>
      </c>
    </row>
    <row r="1242" customFormat="false" ht="15" hidden="false" customHeight="false" outlineLevel="0" collapsed="false">
      <c r="A1242" s="59" t="s">
        <v>162</v>
      </c>
      <c r="B1242" s="59" t="s">
        <v>413</v>
      </c>
      <c r="C1242" s="60" t="n">
        <v>104.08</v>
      </c>
      <c r="D1242" s="59" t="n">
        <f aca="false">COUNTIFS($A$2:$A$1931,A1242,$C$2:$C$1931,"&gt;"&amp;C1242)+COUNTIFS($A$2:A1242,A1242,$C$2:C1242,C1242)</f>
        <v>9</v>
      </c>
      <c r="E1242" s="59" t="str">
        <f aca="false">A1242&amp;"|"&amp;D1242</f>
        <v>BLR-RICHMOND TOWN|9</v>
      </c>
    </row>
    <row r="1243" customFormat="false" ht="15" hidden="false" customHeight="false" outlineLevel="0" collapsed="false">
      <c r="A1243" s="59" t="s">
        <v>25</v>
      </c>
      <c r="B1243" s="59" t="s">
        <v>418</v>
      </c>
      <c r="C1243" s="60" t="n">
        <v>24181.79</v>
      </c>
      <c r="D1243" s="59" t="n">
        <f aca="false">COUNTIFS($A$2:$A$1931,A1243,$C$2:$C$1931,"&gt;"&amp;C1243)+COUNTIFS($A$2:A1243,A1243,$C$2:C1243,C1243)</f>
        <v>1</v>
      </c>
      <c r="E1243" s="59" t="str">
        <f aca="false">A1243&amp;"|"&amp;D1243</f>
        <v>BLR-RICHMOND TOWN SS|1</v>
      </c>
    </row>
    <row r="1244" customFormat="false" ht="15" hidden="false" customHeight="false" outlineLevel="0" collapsed="false">
      <c r="A1244" s="59" t="s">
        <v>25</v>
      </c>
      <c r="B1244" s="59" t="s">
        <v>408</v>
      </c>
      <c r="C1244" s="60" t="n">
        <v>24085.73</v>
      </c>
      <c r="D1244" s="59" t="n">
        <f aca="false">COUNTIFS($A$2:$A$1931,A1244,$C$2:$C$1931,"&gt;"&amp;C1244)+COUNTIFS($A$2:A1244,A1244,$C$2:C1244,C1244)</f>
        <v>2</v>
      </c>
      <c r="E1244" s="59" t="str">
        <f aca="false">A1244&amp;"|"&amp;D1244</f>
        <v>BLR-RICHMOND TOWN SS|2</v>
      </c>
    </row>
    <row r="1245" customFormat="false" ht="15" hidden="false" customHeight="false" outlineLevel="0" collapsed="false">
      <c r="A1245" s="59" t="s">
        <v>25</v>
      </c>
      <c r="B1245" s="59" t="s">
        <v>413</v>
      </c>
      <c r="C1245" s="60" t="n">
        <v>21517.38</v>
      </c>
      <c r="D1245" s="59" t="n">
        <f aca="false">COUNTIFS($A$2:$A$1931,A1245,$C$2:$C$1931,"&gt;"&amp;C1245)+COUNTIFS($A$2:A1245,A1245,$C$2:C1245,C1245)</f>
        <v>3</v>
      </c>
      <c r="E1245" s="59" t="str">
        <f aca="false">A1245&amp;"|"&amp;D1245</f>
        <v>BLR-RICHMOND TOWN SS|3</v>
      </c>
    </row>
    <row r="1246" customFormat="false" ht="15" hidden="false" customHeight="false" outlineLevel="0" collapsed="false">
      <c r="A1246" s="59" t="s">
        <v>25</v>
      </c>
      <c r="B1246" s="59" t="s">
        <v>409</v>
      </c>
      <c r="C1246" s="60" t="n">
        <v>14499.73</v>
      </c>
      <c r="D1246" s="59" t="n">
        <f aca="false">COUNTIFS($A$2:$A$1931,A1246,$C$2:$C$1931,"&gt;"&amp;C1246)+COUNTIFS($A$2:A1246,A1246,$C$2:C1246,C1246)</f>
        <v>4</v>
      </c>
      <c r="E1246" s="59" t="str">
        <f aca="false">A1246&amp;"|"&amp;D1246</f>
        <v>BLR-RICHMOND TOWN SS|4</v>
      </c>
    </row>
    <row r="1247" customFormat="false" ht="15" hidden="false" customHeight="false" outlineLevel="0" collapsed="false">
      <c r="A1247" s="59" t="s">
        <v>25</v>
      </c>
      <c r="B1247" s="59" t="s">
        <v>412</v>
      </c>
      <c r="C1247" s="60" t="n">
        <v>13047.24</v>
      </c>
      <c r="D1247" s="59" t="n">
        <f aca="false">COUNTIFS($A$2:$A$1931,A1247,$C$2:$C$1931,"&gt;"&amp;C1247)+COUNTIFS($A$2:A1247,A1247,$C$2:C1247,C1247)</f>
        <v>5</v>
      </c>
      <c r="E1247" s="59" t="str">
        <f aca="false">A1247&amp;"|"&amp;D1247</f>
        <v>BLR-RICHMOND TOWN SS|5</v>
      </c>
    </row>
    <row r="1248" customFormat="false" ht="15" hidden="false" customHeight="false" outlineLevel="0" collapsed="false">
      <c r="A1248" s="59" t="s">
        <v>25</v>
      </c>
      <c r="B1248" s="59" t="s">
        <v>417</v>
      </c>
      <c r="C1248" s="60" t="n">
        <v>11215.12</v>
      </c>
      <c r="D1248" s="59" t="n">
        <f aca="false">COUNTIFS($A$2:$A$1931,A1248,$C$2:$C$1931,"&gt;"&amp;C1248)+COUNTIFS($A$2:A1248,A1248,$C$2:C1248,C1248)</f>
        <v>6</v>
      </c>
      <c r="E1248" s="59" t="str">
        <f aca="false">A1248&amp;"|"&amp;D1248</f>
        <v>BLR-RICHMOND TOWN SS|6</v>
      </c>
    </row>
    <row r="1249" customFormat="false" ht="15" hidden="false" customHeight="false" outlineLevel="0" collapsed="false">
      <c r="A1249" s="59" t="s">
        <v>25</v>
      </c>
      <c r="B1249" s="59" t="s">
        <v>431</v>
      </c>
      <c r="C1249" s="60" t="n">
        <v>4756.17</v>
      </c>
      <c r="D1249" s="59" t="n">
        <f aca="false">COUNTIFS($A$2:$A$1931,A1249,$C$2:$C$1931,"&gt;"&amp;C1249)+COUNTIFS($A$2:A1249,A1249,$C$2:C1249,C1249)</f>
        <v>7</v>
      </c>
      <c r="E1249" s="59" t="str">
        <f aca="false">A1249&amp;"|"&amp;D1249</f>
        <v>BLR-RICHMOND TOWN SS|7</v>
      </c>
    </row>
    <row r="1250" customFormat="false" ht="15" hidden="false" customHeight="false" outlineLevel="0" collapsed="false">
      <c r="A1250" s="59" t="s">
        <v>25</v>
      </c>
      <c r="B1250" s="59" t="s">
        <v>407</v>
      </c>
      <c r="C1250" s="60" t="n">
        <v>4581.04</v>
      </c>
      <c r="D1250" s="59" t="n">
        <f aca="false">COUNTIFS($A$2:$A$1931,A1250,$C$2:$C$1931,"&gt;"&amp;C1250)+COUNTIFS($A$2:A1250,A1250,$C$2:C1250,C1250)</f>
        <v>8</v>
      </c>
      <c r="E1250" s="59" t="str">
        <f aca="false">A1250&amp;"|"&amp;D1250</f>
        <v>BLR-RICHMOND TOWN SS|8</v>
      </c>
    </row>
    <row r="1251" customFormat="false" ht="15" hidden="false" customHeight="false" outlineLevel="0" collapsed="false">
      <c r="A1251" s="59" t="s">
        <v>25</v>
      </c>
      <c r="B1251" s="59" t="s">
        <v>416</v>
      </c>
      <c r="C1251" s="60" t="n">
        <v>2051.12</v>
      </c>
      <c r="D1251" s="59" t="n">
        <f aca="false">COUNTIFS($A$2:$A$1931,A1251,$C$2:$C$1931,"&gt;"&amp;C1251)+COUNTIFS($A$2:A1251,A1251,$C$2:C1251,C1251)</f>
        <v>9</v>
      </c>
      <c r="E1251" s="59" t="str">
        <f aca="false">A1251&amp;"|"&amp;D1251</f>
        <v>BLR-RICHMOND TOWN SS|9</v>
      </c>
    </row>
    <row r="1252" customFormat="false" ht="15" hidden="false" customHeight="false" outlineLevel="0" collapsed="false">
      <c r="A1252" s="59" t="s">
        <v>25</v>
      </c>
      <c r="B1252" s="59" t="s">
        <v>436</v>
      </c>
      <c r="C1252" s="60" t="n">
        <v>1000.78</v>
      </c>
      <c r="D1252" s="59" t="n">
        <f aca="false">COUNTIFS($A$2:$A$1931,A1252,$C$2:$C$1931,"&gt;"&amp;C1252)+COUNTIFS($A$2:A1252,A1252,$C$2:C1252,C1252)</f>
        <v>10</v>
      </c>
      <c r="E1252" s="59" t="str">
        <f aca="false">A1252&amp;"|"&amp;D1252</f>
        <v>BLR-RICHMOND TOWN SS|10</v>
      </c>
    </row>
    <row r="1253" customFormat="false" ht="15" hidden="false" customHeight="false" outlineLevel="0" collapsed="false">
      <c r="A1253" s="59" t="s">
        <v>25</v>
      </c>
      <c r="B1253" s="59" t="s">
        <v>414</v>
      </c>
      <c r="C1253" s="60" t="n">
        <v>516.51</v>
      </c>
      <c r="D1253" s="59" t="n">
        <f aca="false">COUNTIFS($A$2:$A$1931,A1253,$C$2:$C$1931,"&gt;"&amp;C1253)+COUNTIFS($A$2:A1253,A1253,$C$2:C1253,C1253)</f>
        <v>11</v>
      </c>
      <c r="E1253" s="59" t="str">
        <f aca="false">A1253&amp;"|"&amp;D1253</f>
        <v>BLR-RICHMOND TOWN SS|11</v>
      </c>
    </row>
    <row r="1254" customFormat="false" ht="15" hidden="false" customHeight="false" outlineLevel="0" collapsed="false">
      <c r="A1254" s="59" t="s">
        <v>25</v>
      </c>
      <c r="B1254" s="59" t="s">
        <v>444</v>
      </c>
      <c r="C1254" s="60" t="n">
        <v>512.37</v>
      </c>
      <c r="D1254" s="59" t="n">
        <f aca="false">COUNTIFS($A$2:$A$1931,A1254,$C$2:$C$1931,"&gt;"&amp;C1254)+COUNTIFS($A$2:A1254,A1254,$C$2:C1254,C1254)</f>
        <v>12</v>
      </c>
      <c r="E1254" s="59" t="str">
        <f aca="false">A1254&amp;"|"&amp;D1254</f>
        <v>BLR-RICHMOND TOWN SS|12</v>
      </c>
    </row>
    <row r="1255" customFormat="false" ht="15" hidden="false" customHeight="false" outlineLevel="0" collapsed="false">
      <c r="A1255" s="59" t="s">
        <v>25</v>
      </c>
      <c r="B1255" s="59" t="s">
        <v>419</v>
      </c>
      <c r="C1255" s="60" t="n">
        <v>417.48</v>
      </c>
      <c r="D1255" s="59" t="n">
        <f aca="false">COUNTIFS($A$2:$A$1931,A1255,$C$2:$C$1931,"&gt;"&amp;C1255)+COUNTIFS($A$2:A1255,A1255,$C$2:C1255,C1255)</f>
        <v>13</v>
      </c>
      <c r="E1255" s="59" t="str">
        <f aca="false">A1255&amp;"|"&amp;D1255</f>
        <v>BLR-RICHMOND TOWN SS|13</v>
      </c>
    </row>
    <row r="1256" customFormat="false" ht="15" hidden="false" customHeight="false" outlineLevel="0" collapsed="false">
      <c r="A1256" s="59" t="s">
        <v>25</v>
      </c>
      <c r="B1256" s="59" t="s">
        <v>447</v>
      </c>
      <c r="C1256" s="60" t="n">
        <v>142.43</v>
      </c>
      <c r="D1256" s="59" t="n">
        <f aca="false">COUNTIFS($A$2:$A$1931,A1256,$C$2:$C$1931,"&gt;"&amp;C1256)+COUNTIFS($A$2:A1256,A1256,$C$2:C1256,C1256)</f>
        <v>14</v>
      </c>
      <c r="E1256" s="59" t="str">
        <f aca="false">A1256&amp;"|"&amp;D1256</f>
        <v>BLR-RICHMOND TOWN SS|14</v>
      </c>
    </row>
    <row r="1257" customFormat="false" ht="15" hidden="false" customHeight="false" outlineLevel="0" collapsed="false">
      <c r="A1257" s="59" t="s">
        <v>25</v>
      </c>
      <c r="B1257" s="59" t="s">
        <v>434</v>
      </c>
      <c r="C1257" s="60" t="n">
        <v>15.61</v>
      </c>
      <c r="D1257" s="59" t="n">
        <f aca="false">COUNTIFS($A$2:$A$1931,A1257,$C$2:$C$1931,"&gt;"&amp;C1257)+COUNTIFS($A$2:A1257,A1257,$C$2:C1257,C1257)</f>
        <v>15</v>
      </c>
      <c r="E1257" s="59" t="str">
        <f aca="false">A1257&amp;"|"&amp;D1257</f>
        <v>BLR-RICHMOND TOWN SS|15</v>
      </c>
    </row>
    <row r="1258" customFormat="false" ht="15" hidden="false" customHeight="false" outlineLevel="0" collapsed="false">
      <c r="A1258" s="59" t="s">
        <v>139</v>
      </c>
      <c r="B1258" s="59" t="s">
        <v>418</v>
      </c>
      <c r="C1258" s="60" t="n">
        <v>4577.44</v>
      </c>
      <c r="D1258" s="59" t="n">
        <f aca="false">COUNTIFS($A$2:$A$1931,A1258,$C$2:$C$1931,"&gt;"&amp;C1258)+COUNTIFS($A$2:A1258,A1258,$C$2:C1258,C1258)</f>
        <v>1</v>
      </c>
      <c r="E1258" s="59" t="str">
        <f aca="false">A1258&amp;"|"&amp;D1258</f>
        <v>BLR-RK Hegde Nagar|1</v>
      </c>
    </row>
    <row r="1259" customFormat="false" ht="15" hidden="false" customHeight="false" outlineLevel="0" collapsed="false">
      <c r="A1259" s="59" t="s">
        <v>139</v>
      </c>
      <c r="B1259" s="59" t="s">
        <v>415</v>
      </c>
      <c r="C1259" s="60" t="n">
        <v>2750.88</v>
      </c>
      <c r="D1259" s="59" t="n">
        <f aca="false">COUNTIFS($A$2:$A$1931,A1259,$C$2:$C$1931,"&gt;"&amp;C1259)+COUNTIFS($A$2:A1259,A1259,$C$2:C1259,C1259)</f>
        <v>2</v>
      </c>
      <c r="E1259" s="59" t="str">
        <f aca="false">A1259&amp;"|"&amp;D1259</f>
        <v>BLR-RK Hegde Nagar|2</v>
      </c>
    </row>
    <row r="1260" customFormat="false" ht="15" hidden="false" customHeight="false" outlineLevel="0" collapsed="false">
      <c r="A1260" s="59" t="s">
        <v>139</v>
      </c>
      <c r="B1260" s="59" t="s">
        <v>409</v>
      </c>
      <c r="C1260" s="60" t="n">
        <v>2088.15</v>
      </c>
      <c r="D1260" s="59" t="n">
        <f aca="false">COUNTIFS($A$2:$A$1931,A1260,$C$2:$C$1931,"&gt;"&amp;C1260)+COUNTIFS($A$2:A1260,A1260,$C$2:C1260,C1260)</f>
        <v>3</v>
      </c>
      <c r="E1260" s="59" t="str">
        <f aca="false">A1260&amp;"|"&amp;D1260</f>
        <v>BLR-RK Hegde Nagar|3</v>
      </c>
    </row>
    <row r="1261" customFormat="false" ht="15" hidden="false" customHeight="false" outlineLevel="0" collapsed="false">
      <c r="A1261" s="59" t="s">
        <v>139</v>
      </c>
      <c r="B1261" s="59" t="s">
        <v>412</v>
      </c>
      <c r="C1261" s="60" t="n">
        <v>520.91</v>
      </c>
      <c r="D1261" s="59" t="n">
        <f aca="false">COUNTIFS($A$2:$A$1931,A1261,$C$2:$C$1931,"&gt;"&amp;C1261)+COUNTIFS($A$2:A1261,A1261,$C$2:C1261,C1261)</f>
        <v>4</v>
      </c>
      <c r="E1261" s="59" t="str">
        <f aca="false">A1261&amp;"|"&amp;D1261</f>
        <v>BLR-RK Hegde Nagar|4</v>
      </c>
    </row>
    <row r="1262" customFormat="false" ht="15" hidden="false" customHeight="false" outlineLevel="0" collapsed="false">
      <c r="A1262" s="59" t="s">
        <v>139</v>
      </c>
      <c r="B1262" s="59" t="s">
        <v>410</v>
      </c>
      <c r="C1262" s="60" t="n">
        <v>55.47</v>
      </c>
      <c r="D1262" s="59" t="n">
        <f aca="false">COUNTIFS($A$2:$A$1931,A1262,$C$2:$C$1931,"&gt;"&amp;C1262)+COUNTIFS($A$2:A1262,A1262,$C$2:C1262,C1262)</f>
        <v>5</v>
      </c>
      <c r="E1262" s="59" t="str">
        <f aca="false">A1262&amp;"|"&amp;D1262</f>
        <v>BLR-RK Hegde Nagar|5</v>
      </c>
    </row>
    <row r="1263" customFormat="false" ht="15" hidden="false" customHeight="false" outlineLevel="0" collapsed="false">
      <c r="A1263" s="59" t="s">
        <v>204</v>
      </c>
      <c r="B1263" s="59" t="s">
        <v>417</v>
      </c>
      <c r="C1263" s="60" t="n">
        <v>4264.12</v>
      </c>
      <c r="D1263" s="59" t="n">
        <f aca="false">COUNTIFS($A$2:$A$1931,A1263,$C$2:$C$1931,"&gt;"&amp;C1263)+COUNTIFS($A$2:A1263,A1263,$C$2:C1263,C1263)</f>
        <v>1</v>
      </c>
      <c r="E1263" s="59" t="str">
        <f aca="false">A1263&amp;"|"&amp;D1263</f>
        <v>BLR-RR Nagar Network|1</v>
      </c>
    </row>
    <row r="1264" customFormat="false" ht="15" hidden="false" customHeight="false" outlineLevel="0" collapsed="false">
      <c r="A1264" s="59" t="s">
        <v>204</v>
      </c>
      <c r="B1264" s="59" t="s">
        <v>412</v>
      </c>
      <c r="C1264" s="60" t="n">
        <v>3904.85</v>
      </c>
      <c r="D1264" s="59" t="n">
        <f aca="false">COUNTIFS($A$2:$A$1931,A1264,$C$2:$C$1931,"&gt;"&amp;C1264)+COUNTIFS($A$2:A1264,A1264,$C$2:C1264,C1264)</f>
        <v>2</v>
      </c>
      <c r="E1264" s="59" t="str">
        <f aca="false">A1264&amp;"|"&amp;D1264</f>
        <v>BLR-RR Nagar Network|2</v>
      </c>
    </row>
    <row r="1265" customFormat="false" ht="15" hidden="false" customHeight="false" outlineLevel="0" collapsed="false">
      <c r="A1265" s="59" t="s">
        <v>204</v>
      </c>
      <c r="B1265" s="59" t="s">
        <v>413</v>
      </c>
      <c r="C1265" s="60" t="n">
        <v>956.06</v>
      </c>
      <c r="D1265" s="59" t="n">
        <f aca="false">COUNTIFS($A$2:$A$1931,A1265,$C$2:$C$1931,"&gt;"&amp;C1265)+COUNTIFS($A$2:A1265,A1265,$C$2:C1265,C1265)</f>
        <v>3</v>
      </c>
      <c r="E1265" s="59" t="str">
        <f aca="false">A1265&amp;"|"&amp;D1265</f>
        <v>BLR-RR Nagar Network|3</v>
      </c>
    </row>
    <row r="1266" customFormat="false" ht="15" hidden="false" customHeight="false" outlineLevel="0" collapsed="false">
      <c r="A1266" s="59" t="s">
        <v>204</v>
      </c>
      <c r="B1266" s="59" t="s">
        <v>418</v>
      </c>
      <c r="C1266" s="60" t="n">
        <v>837.19</v>
      </c>
      <c r="D1266" s="59" t="n">
        <f aca="false">COUNTIFS($A$2:$A$1931,A1266,$C$2:$C$1931,"&gt;"&amp;C1266)+COUNTIFS($A$2:A1266,A1266,$C$2:C1266,C1266)</f>
        <v>4</v>
      </c>
      <c r="E1266" s="59" t="str">
        <f aca="false">A1266&amp;"|"&amp;D1266</f>
        <v>BLR-RR Nagar Network|4</v>
      </c>
    </row>
    <row r="1267" customFormat="false" ht="15" hidden="false" customHeight="false" outlineLevel="0" collapsed="false">
      <c r="A1267" s="59" t="s">
        <v>204</v>
      </c>
      <c r="B1267" s="59" t="s">
        <v>414</v>
      </c>
      <c r="C1267" s="60" t="n">
        <v>545.37</v>
      </c>
      <c r="D1267" s="59" t="n">
        <f aca="false">COUNTIFS($A$2:$A$1931,A1267,$C$2:$C$1931,"&gt;"&amp;C1267)+COUNTIFS($A$2:A1267,A1267,$C$2:C1267,C1267)</f>
        <v>5</v>
      </c>
      <c r="E1267" s="59" t="str">
        <f aca="false">A1267&amp;"|"&amp;D1267</f>
        <v>BLR-RR Nagar Network|5</v>
      </c>
    </row>
    <row r="1268" customFormat="false" ht="15" hidden="false" customHeight="false" outlineLevel="0" collapsed="false">
      <c r="A1268" s="59" t="s">
        <v>204</v>
      </c>
      <c r="B1268" s="59" t="s">
        <v>426</v>
      </c>
      <c r="C1268" s="60" t="n">
        <v>336</v>
      </c>
      <c r="D1268" s="59" t="n">
        <f aca="false">COUNTIFS($A$2:$A$1931,A1268,$C$2:$C$1931,"&gt;"&amp;C1268)+COUNTIFS($A$2:A1268,A1268,$C$2:C1268,C1268)</f>
        <v>6</v>
      </c>
      <c r="E1268" s="59" t="str">
        <f aca="false">A1268&amp;"|"&amp;D1268</f>
        <v>BLR-RR Nagar Network|6</v>
      </c>
    </row>
    <row r="1269" customFormat="false" ht="15" hidden="false" customHeight="false" outlineLevel="0" collapsed="false">
      <c r="A1269" s="59" t="s">
        <v>195</v>
      </c>
      <c r="B1269" s="59" t="s">
        <v>415</v>
      </c>
      <c r="C1269" s="60" t="n">
        <v>1282.06</v>
      </c>
      <c r="D1269" s="59" t="n">
        <f aca="false">COUNTIFS($A$2:$A$1931,A1269,$C$2:$C$1931,"&gt;"&amp;C1269)+COUNTIFS($A$2:A1269,A1269,$C$2:C1269,C1269)</f>
        <v>1</v>
      </c>
      <c r="E1269" s="59" t="str">
        <f aca="false">A1269&amp;"|"&amp;D1269</f>
        <v>BLR-RR Nagar SS|1</v>
      </c>
    </row>
    <row r="1270" customFormat="false" ht="15" hidden="false" customHeight="false" outlineLevel="0" collapsed="false">
      <c r="A1270" s="59" t="s">
        <v>195</v>
      </c>
      <c r="B1270" s="59" t="s">
        <v>410</v>
      </c>
      <c r="C1270" s="60" t="n">
        <v>1167.68</v>
      </c>
      <c r="D1270" s="59" t="n">
        <f aca="false">COUNTIFS($A$2:$A$1931,A1270,$C$2:$C$1931,"&gt;"&amp;C1270)+COUNTIFS($A$2:A1270,A1270,$C$2:C1270,C1270)</f>
        <v>2</v>
      </c>
      <c r="E1270" s="59" t="str">
        <f aca="false">A1270&amp;"|"&amp;D1270</f>
        <v>BLR-RR Nagar SS|2</v>
      </c>
    </row>
    <row r="1271" customFormat="false" ht="15" hidden="false" customHeight="false" outlineLevel="0" collapsed="false">
      <c r="A1271" s="59" t="s">
        <v>195</v>
      </c>
      <c r="B1271" s="59" t="s">
        <v>428</v>
      </c>
      <c r="C1271" s="60" t="n">
        <v>1026.38</v>
      </c>
      <c r="D1271" s="59" t="n">
        <f aca="false">COUNTIFS($A$2:$A$1931,A1271,$C$2:$C$1931,"&gt;"&amp;C1271)+COUNTIFS($A$2:A1271,A1271,$C$2:C1271,C1271)</f>
        <v>3</v>
      </c>
      <c r="E1271" s="59" t="str">
        <f aca="false">A1271&amp;"|"&amp;D1271</f>
        <v>BLR-RR Nagar SS|3</v>
      </c>
    </row>
    <row r="1272" customFormat="false" ht="15" hidden="false" customHeight="false" outlineLevel="0" collapsed="false">
      <c r="A1272" s="59" t="s">
        <v>195</v>
      </c>
      <c r="B1272" s="59" t="s">
        <v>444</v>
      </c>
      <c r="C1272" s="60" t="n">
        <v>1015.99</v>
      </c>
      <c r="D1272" s="59" t="n">
        <f aca="false">COUNTIFS($A$2:$A$1931,A1272,$C$2:$C$1931,"&gt;"&amp;C1272)+COUNTIFS($A$2:A1272,A1272,$C$2:C1272,C1272)</f>
        <v>4</v>
      </c>
      <c r="E1272" s="59" t="str">
        <f aca="false">A1272&amp;"|"&amp;D1272</f>
        <v>BLR-RR Nagar SS|4</v>
      </c>
    </row>
    <row r="1273" customFormat="false" ht="15" hidden="false" customHeight="false" outlineLevel="0" collapsed="false">
      <c r="A1273" s="59" t="s">
        <v>195</v>
      </c>
      <c r="B1273" s="59" t="s">
        <v>435</v>
      </c>
      <c r="C1273" s="60" t="n">
        <v>825.9</v>
      </c>
      <c r="D1273" s="59" t="n">
        <f aca="false">COUNTIFS($A$2:$A$1931,A1273,$C$2:$C$1931,"&gt;"&amp;C1273)+COUNTIFS($A$2:A1273,A1273,$C$2:C1273,C1273)</f>
        <v>5</v>
      </c>
      <c r="E1273" s="59" t="str">
        <f aca="false">A1273&amp;"|"&amp;D1273</f>
        <v>BLR-RR Nagar SS|5</v>
      </c>
    </row>
    <row r="1274" customFormat="false" ht="15" hidden="false" customHeight="false" outlineLevel="0" collapsed="false">
      <c r="A1274" s="59" t="s">
        <v>195</v>
      </c>
      <c r="B1274" s="59" t="s">
        <v>408</v>
      </c>
      <c r="C1274" s="60" t="n">
        <v>666.56</v>
      </c>
      <c r="D1274" s="59" t="n">
        <f aca="false">COUNTIFS($A$2:$A$1931,A1274,$C$2:$C$1931,"&gt;"&amp;C1274)+COUNTIFS($A$2:A1274,A1274,$C$2:C1274,C1274)</f>
        <v>6</v>
      </c>
      <c r="E1274" s="59" t="str">
        <f aca="false">A1274&amp;"|"&amp;D1274</f>
        <v>BLR-RR Nagar SS|6</v>
      </c>
    </row>
    <row r="1275" customFormat="false" ht="15" hidden="false" customHeight="false" outlineLevel="0" collapsed="false">
      <c r="A1275" s="59" t="s">
        <v>195</v>
      </c>
      <c r="B1275" s="59" t="s">
        <v>434</v>
      </c>
      <c r="C1275" s="60" t="n">
        <v>615.21</v>
      </c>
      <c r="D1275" s="59" t="n">
        <f aca="false">COUNTIFS($A$2:$A$1931,A1275,$C$2:$C$1931,"&gt;"&amp;C1275)+COUNTIFS($A$2:A1275,A1275,$C$2:C1275,C1275)</f>
        <v>7</v>
      </c>
      <c r="E1275" s="59" t="str">
        <f aca="false">A1275&amp;"|"&amp;D1275</f>
        <v>BLR-RR Nagar SS|7</v>
      </c>
    </row>
    <row r="1276" customFormat="false" ht="15" hidden="false" customHeight="false" outlineLevel="0" collapsed="false">
      <c r="A1276" s="59" t="s">
        <v>195</v>
      </c>
      <c r="B1276" s="59" t="s">
        <v>411</v>
      </c>
      <c r="C1276" s="60" t="n">
        <v>580.14</v>
      </c>
      <c r="D1276" s="59" t="n">
        <f aca="false">COUNTIFS($A$2:$A$1931,A1276,$C$2:$C$1931,"&gt;"&amp;C1276)+COUNTIFS($A$2:A1276,A1276,$C$2:C1276,C1276)</f>
        <v>8</v>
      </c>
      <c r="E1276" s="59" t="str">
        <f aca="false">A1276&amp;"|"&amp;D1276</f>
        <v>BLR-RR Nagar SS|8</v>
      </c>
    </row>
    <row r="1277" customFormat="false" ht="15" hidden="false" customHeight="false" outlineLevel="0" collapsed="false">
      <c r="A1277" s="59" t="s">
        <v>195</v>
      </c>
      <c r="B1277" s="59" t="s">
        <v>412</v>
      </c>
      <c r="C1277" s="60" t="n">
        <v>444.33</v>
      </c>
      <c r="D1277" s="59" t="n">
        <f aca="false">COUNTIFS($A$2:$A$1931,A1277,$C$2:$C$1931,"&gt;"&amp;C1277)+COUNTIFS($A$2:A1277,A1277,$C$2:C1277,C1277)</f>
        <v>9</v>
      </c>
      <c r="E1277" s="59" t="str">
        <f aca="false">A1277&amp;"|"&amp;D1277</f>
        <v>BLR-RR Nagar SS|9</v>
      </c>
    </row>
    <row r="1278" customFormat="false" ht="15" hidden="false" customHeight="false" outlineLevel="0" collapsed="false">
      <c r="A1278" s="59" t="s">
        <v>195</v>
      </c>
      <c r="B1278" s="59" t="s">
        <v>409</v>
      </c>
      <c r="C1278" s="60" t="n">
        <v>352.02</v>
      </c>
      <c r="D1278" s="59" t="n">
        <f aca="false">COUNTIFS($A$2:$A$1931,A1278,$C$2:$C$1931,"&gt;"&amp;C1278)+COUNTIFS($A$2:A1278,A1278,$C$2:C1278,C1278)</f>
        <v>10</v>
      </c>
      <c r="E1278" s="59" t="str">
        <f aca="false">A1278&amp;"|"&amp;D1278</f>
        <v>BLR-RR Nagar SS|10</v>
      </c>
    </row>
    <row r="1279" customFormat="false" ht="15" hidden="false" customHeight="false" outlineLevel="0" collapsed="false">
      <c r="A1279" s="59" t="s">
        <v>195</v>
      </c>
      <c r="B1279" s="59" t="s">
        <v>430</v>
      </c>
      <c r="C1279" s="60" t="n">
        <v>272.45</v>
      </c>
      <c r="D1279" s="59" t="n">
        <f aca="false">COUNTIFS($A$2:$A$1931,A1279,$C$2:$C$1931,"&gt;"&amp;C1279)+COUNTIFS($A$2:A1279,A1279,$C$2:C1279,C1279)</f>
        <v>11</v>
      </c>
      <c r="E1279" s="59" t="str">
        <f aca="false">A1279&amp;"|"&amp;D1279</f>
        <v>BLR-RR Nagar SS|11</v>
      </c>
    </row>
    <row r="1280" customFormat="false" ht="15" hidden="false" customHeight="false" outlineLevel="0" collapsed="false">
      <c r="A1280" s="59" t="s">
        <v>195</v>
      </c>
      <c r="B1280" s="59" t="s">
        <v>429</v>
      </c>
      <c r="C1280" s="60" t="n">
        <v>247.95</v>
      </c>
      <c r="D1280" s="59" t="n">
        <f aca="false">COUNTIFS($A$2:$A$1931,A1280,$C$2:$C$1931,"&gt;"&amp;C1280)+COUNTIFS($A$2:A1280,A1280,$C$2:C1280,C1280)</f>
        <v>12</v>
      </c>
      <c r="E1280" s="59" t="str">
        <f aca="false">A1280&amp;"|"&amp;D1280</f>
        <v>BLR-RR Nagar SS|12</v>
      </c>
    </row>
    <row r="1281" customFormat="false" ht="15" hidden="false" customHeight="false" outlineLevel="0" collapsed="false">
      <c r="A1281" s="59" t="s">
        <v>195</v>
      </c>
      <c r="B1281" s="59" t="s">
        <v>418</v>
      </c>
      <c r="C1281" s="60" t="n">
        <v>108.9</v>
      </c>
      <c r="D1281" s="59" t="n">
        <f aca="false">COUNTIFS($A$2:$A$1931,A1281,$C$2:$C$1931,"&gt;"&amp;C1281)+COUNTIFS($A$2:A1281,A1281,$C$2:C1281,C1281)</f>
        <v>13</v>
      </c>
      <c r="E1281" s="59" t="str">
        <f aca="false">A1281&amp;"|"&amp;D1281</f>
        <v>BLR-RR Nagar SS|13</v>
      </c>
    </row>
    <row r="1282" customFormat="false" ht="15" hidden="false" customHeight="false" outlineLevel="0" collapsed="false">
      <c r="A1282" s="59" t="s">
        <v>195</v>
      </c>
      <c r="B1282" s="59" t="s">
        <v>407</v>
      </c>
      <c r="C1282" s="60" t="n">
        <v>100</v>
      </c>
      <c r="D1282" s="59" t="n">
        <f aca="false">COUNTIFS($A$2:$A$1931,A1282,$C$2:$C$1931,"&gt;"&amp;C1282)+COUNTIFS($A$2:A1282,A1282,$C$2:C1282,C1282)</f>
        <v>14</v>
      </c>
      <c r="E1282" s="59" t="str">
        <f aca="false">A1282&amp;"|"&amp;D1282</f>
        <v>BLR-RR Nagar SS|14</v>
      </c>
    </row>
    <row r="1283" customFormat="false" ht="15" hidden="false" customHeight="false" outlineLevel="0" collapsed="false">
      <c r="A1283" s="59" t="s">
        <v>97</v>
      </c>
      <c r="B1283" s="59" t="s">
        <v>409</v>
      </c>
      <c r="C1283" s="60" t="n">
        <v>7182.6</v>
      </c>
      <c r="D1283" s="59" t="n">
        <f aca="false">COUNTIFS($A$2:$A$1931,A1283,$C$2:$C$1931,"&gt;"&amp;C1283)+COUNTIFS($A$2:A1283,A1283,$C$2:C1283,C1283)</f>
        <v>1</v>
      </c>
      <c r="E1283" s="59" t="str">
        <f aca="false">A1283&amp;"|"&amp;D1283</f>
        <v>BLR-RWF Yelahanka|1</v>
      </c>
    </row>
    <row r="1284" customFormat="false" ht="15" hidden="false" customHeight="false" outlineLevel="0" collapsed="false">
      <c r="A1284" s="59" t="s">
        <v>97</v>
      </c>
      <c r="B1284" s="59" t="s">
        <v>416</v>
      </c>
      <c r="C1284" s="60" t="n">
        <v>5247.26</v>
      </c>
      <c r="D1284" s="59" t="n">
        <f aca="false">COUNTIFS($A$2:$A$1931,A1284,$C$2:$C$1931,"&gt;"&amp;C1284)+COUNTIFS($A$2:A1284,A1284,$C$2:C1284,C1284)</f>
        <v>2</v>
      </c>
      <c r="E1284" s="59" t="str">
        <f aca="false">A1284&amp;"|"&amp;D1284</f>
        <v>BLR-RWF Yelahanka|2</v>
      </c>
    </row>
    <row r="1285" customFormat="false" ht="15" hidden="false" customHeight="false" outlineLevel="0" collapsed="false">
      <c r="A1285" s="59" t="s">
        <v>97</v>
      </c>
      <c r="B1285" s="59" t="s">
        <v>426</v>
      </c>
      <c r="C1285" s="60" t="n">
        <v>4306.52</v>
      </c>
      <c r="D1285" s="59" t="n">
        <f aca="false">COUNTIFS($A$2:$A$1931,A1285,$C$2:$C$1931,"&gt;"&amp;C1285)+COUNTIFS($A$2:A1285,A1285,$C$2:C1285,C1285)</f>
        <v>3</v>
      </c>
      <c r="E1285" s="59" t="str">
        <f aca="false">A1285&amp;"|"&amp;D1285</f>
        <v>BLR-RWF Yelahanka|3</v>
      </c>
    </row>
    <row r="1286" customFormat="false" ht="15" hidden="false" customHeight="false" outlineLevel="0" collapsed="false">
      <c r="A1286" s="59" t="s">
        <v>97</v>
      </c>
      <c r="B1286" s="59" t="s">
        <v>420</v>
      </c>
      <c r="C1286" s="60" t="n">
        <v>2170.81</v>
      </c>
      <c r="D1286" s="59" t="n">
        <f aca="false">COUNTIFS($A$2:$A$1931,A1286,$C$2:$C$1931,"&gt;"&amp;C1286)+COUNTIFS($A$2:A1286,A1286,$C$2:C1286,C1286)</f>
        <v>4</v>
      </c>
      <c r="E1286" s="59" t="str">
        <f aca="false">A1286&amp;"|"&amp;D1286</f>
        <v>BLR-RWF Yelahanka|4</v>
      </c>
    </row>
    <row r="1287" customFormat="false" ht="15" hidden="false" customHeight="false" outlineLevel="0" collapsed="false">
      <c r="A1287" s="59" t="s">
        <v>97</v>
      </c>
      <c r="B1287" s="59" t="s">
        <v>408</v>
      </c>
      <c r="C1287" s="60" t="n">
        <v>1069.07</v>
      </c>
      <c r="D1287" s="59" t="n">
        <f aca="false">COUNTIFS($A$2:$A$1931,A1287,$C$2:$C$1931,"&gt;"&amp;C1287)+COUNTIFS($A$2:A1287,A1287,$C$2:C1287,C1287)</f>
        <v>5</v>
      </c>
      <c r="E1287" s="59" t="str">
        <f aca="false">A1287&amp;"|"&amp;D1287</f>
        <v>BLR-RWF Yelahanka|5</v>
      </c>
    </row>
    <row r="1288" customFormat="false" ht="15" hidden="false" customHeight="false" outlineLevel="0" collapsed="false">
      <c r="A1288" s="59" t="s">
        <v>97</v>
      </c>
      <c r="B1288" s="59" t="s">
        <v>424</v>
      </c>
      <c r="C1288" s="60" t="n">
        <v>923.62</v>
      </c>
      <c r="D1288" s="59" t="n">
        <f aca="false">COUNTIFS($A$2:$A$1931,A1288,$C$2:$C$1931,"&gt;"&amp;C1288)+COUNTIFS($A$2:A1288,A1288,$C$2:C1288,C1288)</f>
        <v>6</v>
      </c>
      <c r="E1288" s="59" t="str">
        <f aca="false">A1288&amp;"|"&amp;D1288</f>
        <v>BLR-RWF Yelahanka|6</v>
      </c>
    </row>
    <row r="1289" customFormat="false" ht="15" hidden="false" customHeight="false" outlineLevel="0" collapsed="false">
      <c r="A1289" s="59" t="s">
        <v>97</v>
      </c>
      <c r="B1289" s="59" t="s">
        <v>419</v>
      </c>
      <c r="C1289" s="60" t="n">
        <v>291.43</v>
      </c>
      <c r="D1289" s="59" t="n">
        <f aca="false">COUNTIFS($A$2:$A$1931,A1289,$C$2:$C$1931,"&gt;"&amp;C1289)+COUNTIFS($A$2:A1289,A1289,$C$2:C1289,C1289)</f>
        <v>7</v>
      </c>
      <c r="E1289" s="59" t="str">
        <f aca="false">A1289&amp;"|"&amp;D1289</f>
        <v>BLR-RWF Yelahanka|7</v>
      </c>
    </row>
    <row r="1290" customFormat="false" ht="15" hidden="false" customHeight="false" outlineLevel="0" collapsed="false">
      <c r="A1290" s="59" t="s">
        <v>97</v>
      </c>
      <c r="B1290" s="59" t="s">
        <v>431</v>
      </c>
      <c r="C1290" s="60" t="n">
        <v>285.43</v>
      </c>
      <c r="D1290" s="59" t="n">
        <f aca="false">COUNTIFS($A$2:$A$1931,A1290,$C$2:$C$1931,"&gt;"&amp;C1290)+COUNTIFS($A$2:A1290,A1290,$C$2:C1290,C1290)</f>
        <v>8</v>
      </c>
      <c r="E1290" s="59" t="str">
        <f aca="false">A1290&amp;"|"&amp;D1290</f>
        <v>BLR-RWF Yelahanka|8</v>
      </c>
    </row>
    <row r="1291" customFormat="false" ht="15" hidden="false" customHeight="false" outlineLevel="0" collapsed="false">
      <c r="A1291" s="59" t="s">
        <v>97</v>
      </c>
      <c r="B1291" s="59" t="s">
        <v>410</v>
      </c>
      <c r="C1291" s="60" t="n">
        <v>82.68</v>
      </c>
      <c r="D1291" s="59" t="n">
        <f aca="false">COUNTIFS($A$2:$A$1931,A1291,$C$2:$C$1931,"&gt;"&amp;C1291)+COUNTIFS($A$2:A1291,A1291,$C$2:C1291,C1291)</f>
        <v>9</v>
      </c>
      <c r="E1291" s="59" t="str">
        <f aca="false">A1291&amp;"|"&amp;D1291</f>
        <v>BLR-RWF Yelahanka|9</v>
      </c>
    </row>
    <row r="1292" customFormat="false" ht="15" hidden="false" customHeight="false" outlineLevel="0" collapsed="false">
      <c r="A1292" s="59" t="s">
        <v>97</v>
      </c>
      <c r="B1292" s="59" t="s">
        <v>415</v>
      </c>
      <c r="C1292" s="60" t="n">
        <v>58.38</v>
      </c>
      <c r="D1292" s="59" t="n">
        <f aca="false">COUNTIFS($A$2:$A$1931,A1292,$C$2:$C$1931,"&gt;"&amp;C1292)+COUNTIFS($A$2:A1292,A1292,$C$2:C1292,C1292)</f>
        <v>10</v>
      </c>
      <c r="E1292" s="59" t="str">
        <f aca="false">A1292&amp;"|"&amp;D1292</f>
        <v>BLR-RWF Yelahanka|10</v>
      </c>
    </row>
    <row r="1293" customFormat="false" ht="15" hidden="false" customHeight="false" outlineLevel="0" collapsed="false">
      <c r="A1293" s="59" t="s">
        <v>223</v>
      </c>
      <c r="B1293" s="59" t="s">
        <v>420</v>
      </c>
      <c r="C1293" s="60" t="n">
        <v>2386.63</v>
      </c>
      <c r="D1293" s="59" t="n">
        <f aca="false">COUNTIFS($A$2:$A$1931,A1293,$C$2:$C$1931,"&gt;"&amp;C1293)+COUNTIFS($A$2:A1293,A1293,$C$2:C1293,C1293)</f>
        <v>1</v>
      </c>
      <c r="E1293" s="59" t="str">
        <f aca="false">A1293&amp;"|"&amp;D1293</f>
        <v>BLR-Rajarajeshwari Nagar|1</v>
      </c>
    </row>
    <row r="1294" customFormat="false" ht="15" hidden="false" customHeight="false" outlineLevel="0" collapsed="false">
      <c r="A1294" s="59" t="s">
        <v>223</v>
      </c>
      <c r="B1294" s="59" t="s">
        <v>409</v>
      </c>
      <c r="C1294" s="60" t="n">
        <v>1187.45</v>
      </c>
      <c r="D1294" s="59" t="n">
        <f aca="false">COUNTIFS($A$2:$A$1931,A1294,$C$2:$C$1931,"&gt;"&amp;C1294)+COUNTIFS($A$2:A1294,A1294,$C$2:C1294,C1294)</f>
        <v>2</v>
      </c>
      <c r="E1294" s="59" t="str">
        <f aca="false">A1294&amp;"|"&amp;D1294</f>
        <v>BLR-Rajarajeshwari Nagar|2</v>
      </c>
    </row>
    <row r="1295" customFormat="false" ht="15" hidden="false" customHeight="false" outlineLevel="0" collapsed="false">
      <c r="A1295" s="59" t="s">
        <v>223</v>
      </c>
      <c r="B1295" s="59" t="s">
        <v>417</v>
      </c>
      <c r="C1295" s="60" t="n">
        <v>799.79</v>
      </c>
      <c r="D1295" s="59" t="n">
        <f aca="false">COUNTIFS($A$2:$A$1931,A1295,$C$2:$C$1931,"&gt;"&amp;C1295)+COUNTIFS($A$2:A1295,A1295,$C$2:C1295,C1295)</f>
        <v>3</v>
      </c>
      <c r="E1295" s="59" t="str">
        <f aca="false">A1295&amp;"|"&amp;D1295</f>
        <v>BLR-Rajarajeshwari Nagar|3</v>
      </c>
    </row>
    <row r="1296" customFormat="false" ht="15" hidden="false" customHeight="false" outlineLevel="0" collapsed="false">
      <c r="A1296" s="59" t="s">
        <v>223</v>
      </c>
      <c r="B1296" s="59" t="s">
        <v>423</v>
      </c>
      <c r="C1296" s="60" t="n">
        <v>319.52</v>
      </c>
      <c r="D1296" s="59" t="n">
        <f aca="false">COUNTIFS($A$2:$A$1931,A1296,$C$2:$C$1931,"&gt;"&amp;C1296)+COUNTIFS($A$2:A1296,A1296,$C$2:C1296,C1296)</f>
        <v>4</v>
      </c>
      <c r="E1296" s="59" t="str">
        <f aca="false">A1296&amp;"|"&amp;D1296</f>
        <v>BLR-Rajarajeshwari Nagar|4</v>
      </c>
    </row>
    <row r="1297" customFormat="false" ht="15" hidden="false" customHeight="false" outlineLevel="0" collapsed="false">
      <c r="A1297" s="59" t="s">
        <v>223</v>
      </c>
      <c r="B1297" s="59" t="s">
        <v>410</v>
      </c>
      <c r="C1297" s="60" t="n">
        <v>301.19</v>
      </c>
      <c r="D1297" s="59" t="n">
        <f aca="false">COUNTIFS($A$2:$A$1931,A1297,$C$2:$C$1931,"&gt;"&amp;C1297)+COUNTIFS($A$2:A1297,A1297,$C$2:C1297,C1297)</f>
        <v>5</v>
      </c>
      <c r="E1297" s="59" t="str">
        <f aca="false">A1297&amp;"|"&amp;D1297</f>
        <v>BLR-Rajarajeshwari Nagar|5</v>
      </c>
    </row>
    <row r="1298" customFormat="false" ht="15" hidden="false" customHeight="false" outlineLevel="0" collapsed="false">
      <c r="A1298" s="59" t="s">
        <v>223</v>
      </c>
      <c r="B1298" s="59" t="s">
        <v>408</v>
      </c>
      <c r="C1298" s="60" t="n">
        <v>272.49</v>
      </c>
      <c r="D1298" s="59" t="n">
        <f aca="false">COUNTIFS($A$2:$A$1931,A1298,$C$2:$C$1931,"&gt;"&amp;C1298)+COUNTIFS($A$2:A1298,A1298,$C$2:C1298,C1298)</f>
        <v>6</v>
      </c>
      <c r="E1298" s="59" t="str">
        <f aca="false">A1298&amp;"|"&amp;D1298</f>
        <v>BLR-Rajarajeshwari Nagar|6</v>
      </c>
    </row>
    <row r="1299" customFormat="false" ht="15" hidden="false" customHeight="false" outlineLevel="0" collapsed="false">
      <c r="A1299" s="59" t="s">
        <v>223</v>
      </c>
      <c r="B1299" s="59" t="s">
        <v>424</v>
      </c>
      <c r="C1299" s="60" t="n">
        <v>189.56</v>
      </c>
      <c r="D1299" s="59" t="n">
        <f aca="false">COUNTIFS($A$2:$A$1931,A1299,$C$2:$C$1931,"&gt;"&amp;C1299)+COUNTIFS($A$2:A1299,A1299,$C$2:C1299,C1299)</f>
        <v>7</v>
      </c>
      <c r="E1299" s="59" t="str">
        <f aca="false">A1299&amp;"|"&amp;D1299</f>
        <v>BLR-Rajarajeshwari Nagar|7</v>
      </c>
    </row>
    <row r="1300" customFormat="false" ht="15" hidden="false" customHeight="false" outlineLevel="0" collapsed="false">
      <c r="A1300" s="59" t="s">
        <v>223</v>
      </c>
      <c r="B1300" s="59" t="s">
        <v>416</v>
      </c>
      <c r="C1300" s="60" t="n">
        <v>33.14</v>
      </c>
      <c r="D1300" s="59" t="n">
        <f aca="false">COUNTIFS($A$2:$A$1931,A1300,$C$2:$C$1931,"&gt;"&amp;C1300)+COUNTIFS($A$2:A1300,A1300,$C$2:C1300,C1300)</f>
        <v>8</v>
      </c>
      <c r="E1300" s="59" t="str">
        <f aca="false">A1300&amp;"|"&amp;D1300</f>
        <v>BLR-Rajarajeshwari Nagar|8</v>
      </c>
    </row>
    <row r="1301" customFormat="false" ht="15" hidden="false" customHeight="false" outlineLevel="0" collapsed="false">
      <c r="A1301" s="59" t="s">
        <v>223</v>
      </c>
      <c r="B1301" s="59" t="s">
        <v>419</v>
      </c>
      <c r="C1301" s="60" t="n">
        <v>29.05</v>
      </c>
      <c r="D1301" s="59" t="n">
        <f aca="false">COUNTIFS($A$2:$A$1931,A1301,$C$2:$C$1931,"&gt;"&amp;C1301)+COUNTIFS($A$2:A1301,A1301,$C$2:C1301,C1301)</f>
        <v>9</v>
      </c>
      <c r="E1301" s="59" t="str">
        <f aca="false">A1301&amp;"|"&amp;D1301</f>
        <v>BLR-Rajarajeshwari Nagar|9</v>
      </c>
    </row>
    <row r="1302" customFormat="false" ht="15" hidden="false" customHeight="false" outlineLevel="0" collapsed="false">
      <c r="A1302" s="59" t="s">
        <v>213</v>
      </c>
      <c r="B1302" s="59" t="s">
        <v>410</v>
      </c>
      <c r="C1302" s="60" t="n">
        <v>1122.1</v>
      </c>
      <c r="D1302" s="59" t="n">
        <f aca="false">COUNTIFS($A$2:$A$1931,A1302,$C$2:$C$1931,"&gt;"&amp;C1302)+COUNTIFS($A$2:A1302,A1302,$C$2:C1302,C1302)</f>
        <v>1</v>
      </c>
      <c r="E1302" s="59" t="str">
        <f aca="false">A1302&amp;"|"&amp;D1302</f>
        <v>BLR-Ramamurthy Nagar Network|1</v>
      </c>
    </row>
    <row r="1303" customFormat="false" ht="15" hidden="false" customHeight="false" outlineLevel="0" collapsed="false">
      <c r="A1303" s="59" t="s">
        <v>213</v>
      </c>
      <c r="B1303" s="59" t="s">
        <v>415</v>
      </c>
      <c r="C1303" s="60" t="n">
        <v>562.72</v>
      </c>
      <c r="D1303" s="59" t="n">
        <f aca="false">COUNTIFS($A$2:$A$1931,A1303,$C$2:$C$1931,"&gt;"&amp;C1303)+COUNTIFS($A$2:A1303,A1303,$C$2:C1303,C1303)</f>
        <v>2</v>
      </c>
      <c r="E1303" s="59" t="str">
        <f aca="false">A1303&amp;"|"&amp;D1303</f>
        <v>BLR-Ramamurthy Nagar Network|2</v>
      </c>
    </row>
    <row r="1304" customFormat="false" ht="15" hidden="false" customHeight="false" outlineLevel="0" collapsed="false">
      <c r="A1304" s="59" t="s">
        <v>213</v>
      </c>
      <c r="B1304" s="59" t="s">
        <v>431</v>
      </c>
      <c r="C1304" s="60" t="n">
        <v>245.65</v>
      </c>
      <c r="D1304" s="59" t="n">
        <f aca="false">COUNTIFS($A$2:$A$1931,A1304,$C$2:$C$1931,"&gt;"&amp;C1304)+COUNTIFS($A$2:A1304,A1304,$C$2:C1304,C1304)</f>
        <v>3</v>
      </c>
      <c r="E1304" s="59" t="str">
        <f aca="false">A1304&amp;"|"&amp;D1304</f>
        <v>BLR-Ramamurthy Nagar Network|3</v>
      </c>
    </row>
    <row r="1305" customFormat="false" ht="15" hidden="false" customHeight="false" outlineLevel="0" collapsed="false">
      <c r="A1305" s="59" t="s">
        <v>78</v>
      </c>
      <c r="B1305" s="59" t="s">
        <v>410</v>
      </c>
      <c r="C1305" s="60" t="n">
        <v>4109.58</v>
      </c>
      <c r="D1305" s="59" t="n">
        <f aca="false">COUNTIFS($A$2:$A$1931,A1305,$C$2:$C$1931,"&gt;"&amp;C1305)+COUNTIFS($A$2:A1305,A1305,$C$2:C1305,C1305)</f>
        <v>1</v>
      </c>
      <c r="E1305" s="59" t="str">
        <f aca="false">A1305&amp;"|"&amp;D1305</f>
        <v>BLR-Richmond Town Network|1</v>
      </c>
    </row>
    <row r="1306" customFormat="false" ht="15" hidden="false" customHeight="false" outlineLevel="0" collapsed="false">
      <c r="A1306" s="59" t="s">
        <v>78</v>
      </c>
      <c r="B1306" s="59" t="s">
        <v>412</v>
      </c>
      <c r="C1306" s="60" t="n">
        <v>3671.65</v>
      </c>
      <c r="D1306" s="59" t="n">
        <f aca="false">COUNTIFS($A$2:$A$1931,A1306,$C$2:$C$1931,"&gt;"&amp;C1306)+COUNTIFS($A$2:A1306,A1306,$C$2:C1306,C1306)</f>
        <v>2</v>
      </c>
      <c r="E1306" s="59" t="str">
        <f aca="false">A1306&amp;"|"&amp;D1306</f>
        <v>BLR-Richmond Town Network|2</v>
      </c>
    </row>
    <row r="1307" customFormat="false" ht="15" hidden="false" customHeight="false" outlineLevel="0" collapsed="false">
      <c r="A1307" s="59" t="s">
        <v>78</v>
      </c>
      <c r="B1307" s="59" t="s">
        <v>431</v>
      </c>
      <c r="C1307" s="60" t="n">
        <v>3574.97</v>
      </c>
      <c r="D1307" s="59" t="n">
        <f aca="false">COUNTIFS($A$2:$A$1931,A1307,$C$2:$C$1931,"&gt;"&amp;C1307)+COUNTIFS($A$2:A1307,A1307,$C$2:C1307,C1307)</f>
        <v>3</v>
      </c>
      <c r="E1307" s="59" t="str">
        <f aca="false">A1307&amp;"|"&amp;D1307</f>
        <v>BLR-Richmond Town Network|3</v>
      </c>
    </row>
    <row r="1308" customFormat="false" ht="15" hidden="false" customHeight="false" outlineLevel="0" collapsed="false">
      <c r="A1308" s="59" t="s">
        <v>78</v>
      </c>
      <c r="B1308" s="59" t="s">
        <v>422</v>
      </c>
      <c r="C1308" s="60" t="n">
        <v>2611.4</v>
      </c>
      <c r="D1308" s="59" t="n">
        <f aca="false">COUNTIFS($A$2:$A$1931,A1308,$C$2:$C$1931,"&gt;"&amp;C1308)+COUNTIFS($A$2:A1308,A1308,$C$2:C1308,C1308)</f>
        <v>4</v>
      </c>
      <c r="E1308" s="59" t="str">
        <f aca="false">A1308&amp;"|"&amp;D1308</f>
        <v>BLR-Richmond Town Network|4</v>
      </c>
    </row>
    <row r="1309" customFormat="false" ht="15" hidden="false" customHeight="false" outlineLevel="0" collapsed="false">
      <c r="A1309" s="59" t="s">
        <v>78</v>
      </c>
      <c r="B1309" s="59" t="s">
        <v>408</v>
      </c>
      <c r="C1309" s="60" t="n">
        <v>2140.12</v>
      </c>
      <c r="D1309" s="59" t="n">
        <f aca="false">COUNTIFS($A$2:$A$1931,A1309,$C$2:$C$1931,"&gt;"&amp;C1309)+COUNTIFS($A$2:A1309,A1309,$C$2:C1309,C1309)</f>
        <v>5</v>
      </c>
      <c r="E1309" s="59" t="str">
        <f aca="false">A1309&amp;"|"&amp;D1309</f>
        <v>BLR-Richmond Town Network|5</v>
      </c>
    </row>
    <row r="1310" customFormat="false" ht="15" hidden="false" customHeight="false" outlineLevel="0" collapsed="false">
      <c r="A1310" s="59" t="s">
        <v>78</v>
      </c>
      <c r="B1310" s="59" t="s">
        <v>420</v>
      </c>
      <c r="C1310" s="60" t="n">
        <v>2123.04</v>
      </c>
      <c r="D1310" s="59" t="n">
        <f aca="false">COUNTIFS($A$2:$A$1931,A1310,$C$2:$C$1931,"&gt;"&amp;C1310)+COUNTIFS($A$2:A1310,A1310,$C$2:C1310,C1310)</f>
        <v>6</v>
      </c>
      <c r="E1310" s="59" t="str">
        <f aca="false">A1310&amp;"|"&amp;D1310</f>
        <v>BLR-Richmond Town Network|6</v>
      </c>
    </row>
    <row r="1311" customFormat="false" ht="15" hidden="false" customHeight="false" outlineLevel="0" collapsed="false">
      <c r="A1311" s="59" t="s">
        <v>78</v>
      </c>
      <c r="B1311" s="59" t="s">
        <v>418</v>
      </c>
      <c r="C1311" s="60" t="n">
        <v>2121.3</v>
      </c>
      <c r="D1311" s="59" t="n">
        <f aca="false">COUNTIFS($A$2:$A$1931,A1311,$C$2:$C$1931,"&gt;"&amp;C1311)+COUNTIFS($A$2:A1311,A1311,$C$2:C1311,C1311)</f>
        <v>7</v>
      </c>
      <c r="E1311" s="59" t="str">
        <f aca="false">A1311&amp;"|"&amp;D1311</f>
        <v>BLR-Richmond Town Network|7</v>
      </c>
    </row>
    <row r="1312" customFormat="false" ht="15" hidden="false" customHeight="false" outlineLevel="0" collapsed="false">
      <c r="A1312" s="59" t="s">
        <v>78</v>
      </c>
      <c r="B1312" s="59" t="s">
        <v>426</v>
      </c>
      <c r="C1312" s="60" t="n">
        <v>1933.65</v>
      </c>
      <c r="D1312" s="59" t="n">
        <f aca="false">COUNTIFS($A$2:$A$1931,A1312,$C$2:$C$1931,"&gt;"&amp;C1312)+COUNTIFS($A$2:A1312,A1312,$C$2:C1312,C1312)</f>
        <v>8</v>
      </c>
      <c r="E1312" s="59" t="str">
        <f aca="false">A1312&amp;"|"&amp;D1312</f>
        <v>BLR-Richmond Town Network|8</v>
      </c>
    </row>
    <row r="1313" customFormat="false" ht="15" hidden="false" customHeight="false" outlineLevel="0" collapsed="false">
      <c r="A1313" s="59" t="s">
        <v>78</v>
      </c>
      <c r="B1313" s="59" t="s">
        <v>417</v>
      </c>
      <c r="C1313" s="60" t="n">
        <v>1338.44</v>
      </c>
      <c r="D1313" s="59" t="n">
        <f aca="false">COUNTIFS($A$2:$A$1931,A1313,$C$2:$C$1931,"&gt;"&amp;C1313)+COUNTIFS($A$2:A1313,A1313,$C$2:C1313,C1313)</f>
        <v>9</v>
      </c>
      <c r="E1313" s="59" t="str">
        <f aca="false">A1313&amp;"|"&amp;D1313</f>
        <v>BLR-Richmond Town Network|9</v>
      </c>
    </row>
    <row r="1314" customFormat="false" ht="15" hidden="false" customHeight="false" outlineLevel="0" collapsed="false">
      <c r="A1314" s="59" t="s">
        <v>78</v>
      </c>
      <c r="B1314" s="59" t="s">
        <v>413</v>
      </c>
      <c r="C1314" s="60" t="n">
        <v>592.35</v>
      </c>
      <c r="D1314" s="59" t="n">
        <f aca="false">COUNTIFS($A$2:$A$1931,A1314,$C$2:$C$1931,"&gt;"&amp;C1314)+COUNTIFS($A$2:A1314,A1314,$C$2:C1314,C1314)</f>
        <v>10</v>
      </c>
      <c r="E1314" s="59" t="str">
        <f aca="false">A1314&amp;"|"&amp;D1314</f>
        <v>BLR-Richmond Town Network|10</v>
      </c>
    </row>
    <row r="1315" customFormat="false" ht="15" hidden="false" customHeight="false" outlineLevel="0" collapsed="false">
      <c r="A1315" s="59" t="s">
        <v>78</v>
      </c>
      <c r="B1315" s="59" t="s">
        <v>409</v>
      </c>
      <c r="C1315" s="60" t="n">
        <v>474.58</v>
      </c>
      <c r="D1315" s="59" t="n">
        <f aca="false">COUNTIFS($A$2:$A$1931,A1315,$C$2:$C$1931,"&gt;"&amp;C1315)+COUNTIFS($A$2:A1315,A1315,$C$2:C1315,C1315)</f>
        <v>11</v>
      </c>
      <c r="E1315" s="59" t="str">
        <f aca="false">A1315&amp;"|"&amp;D1315</f>
        <v>BLR-Richmond Town Network|11</v>
      </c>
    </row>
    <row r="1316" customFormat="false" ht="15" hidden="false" customHeight="false" outlineLevel="0" collapsed="false">
      <c r="A1316" s="59" t="s">
        <v>28</v>
      </c>
      <c r="B1316" s="59" t="s">
        <v>408</v>
      </c>
      <c r="C1316" s="60" t="n">
        <v>29033.49</v>
      </c>
      <c r="D1316" s="59" t="n">
        <f aca="false">COUNTIFS($A$2:$A$1931,A1316,$C$2:$C$1931,"&gt;"&amp;C1316)+COUNTIFS($A$2:A1316,A1316,$C$2:C1316,C1316)</f>
        <v>1</v>
      </c>
      <c r="E1316" s="59" t="str">
        <f aca="false">A1316&amp;"|"&amp;D1316</f>
        <v>BLR-SHIVAJI NAGAR Network|1</v>
      </c>
    </row>
    <row r="1317" customFormat="false" ht="15" hidden="false" customHeight="false" outlineLevel="0" collapsed="false">
      <c r="A1317" s="59" t="s">
        <v>28</v>
      </c>
      <c r="B1317" s="59" t="s">
        <v>417</v>
      </c>
      <c r="C1317" s="60" t="n">
        <v>16782.21</v>
      </c>
      <c r="D1317" s="59" t="n">
        <f aca="false">COUNTIFS($A$2:$A$1931,A1317,$C$2:$C$1931,"&gt;"&amp;C1317)+COUNTIFS($A$2:A1317,A1317,$C$2:C1317,C1317)</f>
        <v>2</v>
      </c>
      <c r="E1317" s="59" t="str">
        <f aca="false">A1317&amp;"|"&amp;D1317</f>
        <v>BLR-SHIVAJI NAGAR Network|2</v>
      </c>
    </row>
    <row r="1318" customFormat="false" ht="15" hidden="false" customHeight="false" outlineLevel="0" collapsed="false">
      <c r="A1318" s="59" t="s">
        <v>28</v>
      </c>
      <c r="B1318" s="59" t="s">
        <v>420</v>
      </c>
      <c r="C1318" s="60" t="n">
        <v>15763.35</v>
      </c>
      <c r="D1318" s="59" t="n">
        <f aca="false">COUNTIFS($A$2:$A$1931,A1318,$C$2:$C$1931,"&gt;"&amp;C1318)+COUNTIFS($A$2:A1318,A1318,$C$2:C1318,C1318)</f>
        <v>3</v>
      </c>
      <c r="E1318" s="59" t="str">
        <f aca="false">A1318&amp;"|"&amp;D1318</f>
        <v>BLR-SHIVAJI NAGAR Network|3</v>
      </c>
    </row>
    <row r="1319" customFormat="false" ht="15" hidden="false" customHeight="false" outlineLevel="0" collapsed="false">
      <c r="A1319" s="59" t="s">
        <v>28</v>
      </c>
      <c r="B1319" s="59" t="s">
        <v>410</v>
      </c>
      <c r="C1319" s="60" t="n">
        <v>12167</v>
      </c>
      <c r="D1319" s="59" t="n">
        <f aca="false">COUNTIFS($A$2:$A$1931,A1319,$C$2:$C$1931,"&gt;"&amp;C1319)+COUNTIFS($A$2:A1319,A1319,$C$2:C1319,C1319)</f>
        <v>4</v>
      </c>
      <c r="E1319" s="59" t="str">
        <f aca="false">A1319&amp;"|"&amp;D1319</f>
        <v>BLR-SHIVAJI NAGAR Network|4</v>
      </c>
    </row>
    <row r="1320" customFormat="false" ht="15" hidden="false" customHeight="false" outlineLevel="0" collapsed="false">
      <c r="A1320" s="59" t="s">
        <v>28</v>
      </c>
      <c r="B1320" s="59" t="s">
        <v>431</v>
      </c>
      <c r="C1320" s="60" t="n">
        <v>8390.32</v>
      </c>
      <c r="D1320" s="59" t="n">
        <f aca="false">COUNTIFS($A$2:$A$1931,A1320,$C$2:$C$1931,"&gt;"&amp;C1320)+COUNTIFS($A$2:A1320,A1320,$C$2:C1320,C1320)</f>
        <v>5</v>
      </c>
      <c r="E1320" s="59" t="str">
        <f aca="false">A1320&amp;"|"&amp;D1320</f>
        <v>BLR-SHIVAJI NAGAR Network|5</v>
      </c>
    </row>
    <row r="1321" customFormat="false" ht="15" hidden="false" customHeight="false" outlineLevel="0" collapsed="false">
      <c r="A1321" s="59" t="s">
        <v>28</v>
      </c>
      <c r="B1321" s="59" t="s">
        <v>418</v>
      </c>
      <c r="C1321" s="60" t="n">
        <v>5806.77</v>
      </c>
      <c r="D1321" s="59" t="n">
        <f aca="false">COUNTIFS($A$2:$A$1931,A1321,$C$2:$C$1931,"&gt;"&amp;C1321)+COUNTIFS($A$2:A1321,A1321,$C$2:C1321,C1321)</f>
        <v>6</v>
      </c>
      <c r="E1321" s="59" t="str">
        <f aca="false">A1321&amp;"|"&amp;D1321</f>
        <v>BLR-SHIVAJI NAGAR Network|6</v>
      </c>
    </row>
    <row r="1322" customFormat="false" ht="15" hidden="false" customHeight="false" outlineLevel="0" collapsed="false">
      <c r="A1322" s="59" t="s">
        <v>28</v>
      </c>
      <c r="B1322" s="59" t="s">
        <v>413</v>
      </c>
      <c r="C1322" s="60" t="n">
        <v>3866.84</v>
      </c>
      <c r="D1322" s="59" t="n">
        <f aca="false">COUNTIFS($A$2:$A$1931,A1322,$C$2:$C$1931,"&gt;"&amp;C1322)+COUNTIFS($A$2:A1322,A1322,$C$2:C1322,C1322)</f>
        <v>7</v>
      </c>
      <c r="E1322" s="59" t="str">
        <f aca="false">A1322&amp;"|"&amp;D1322</f>
        <v>BLR-SHIVAJI NAGAR Network|7</v>
      </c>
    </row>
    <row r="1323" customFormat="false" ht="15" hidden="false" customHeight="false" outlineLevel="0" collapsed="false">
      <c r="A1323" s="59" t="s">
        <v>28</v>
      </c>
      <c r="B1323" s="59" t="s">
        <v>424</v>
      </c>
      <c r="C1323" s="60" t="n">
        <v>3043.89</v>
      </c>
      <c r="D1323" s="59" t="n">
        <f aca="false">COUNTIFS($A$2:$A$1931,A1323,$C$2:$C$1931,"&gt;"&amp;C1323)+COUNTIFS($A$2:A1323,A1323,$C$2:C1323,C1323)</f>
        <v>8</v>
      </c>
      <c r="E1323" s="59" t="str">
        <f aca="false">A1323&amp;"|"&amp;D1323</f>
        <v>BLR-SHIVAJI NAGAR Network|8</v>
      </c>
    </row>
    <row r="1324" customFormat="false" ht="15" hidden="false" customHeight="false" outlineLevel="0" collapsed="false">
      <c r="A1324" s="59" t="s">
        <v>28</v>
      </c>
      <c r="B1324" s="59" t="s">
        <v>426</v>
      </c>
      <c r="C1324" s="60" t="n">
        <v>2150.77</v>
      </c>
      <c r="D1324" s="59" t="n">
        <f aca="false">COUNTIFS($A$2:$A$1931,A1324,$C$2:$C$1931,"&gt;"&amp;C1324)+COUNTIFS($A$2:A1324,A1324,$C$2:C1324,C1324)</f>
        <v>9</v>
      </c>
      <c r="E1324" s="59" t="str">
        <f aca="false">A1324&amp;"|"&amp;D1324</f>
        <v>BLR-SHIVAJI NAGAR Network|9</v>
      </c>
    </row>
    <row r="1325" customFormat="false" ht="15" hidden="false" customHeight="false" outlineLevel="0" collapsed="false">
      <c r="A1325" s="59" t="s">
        <v>28</v>
      </c>
      <c r="B1325" s="59" t="s">
        <v>412</v>
      </c>
      <c r="C1325" s="60" t="n">
        <v>513.86</v>
      </c>
      <c r="D1325" s="59" t="n">
        <f aca="false">COUNTIFS($A$2:$A$1931,A1325,$C$2:$C$1931,"&gt;"&amp;C1325)+COUNTIFS($A$2:A1325,A1325,$C$2:C1325,C1325)</f>
        <v>10</v>
      </c>
      <c r="E1325" s="59" t="str">
        <f aca="false">A1325&amp;"|"&amp;D1325</f>
        <v>BLR-SHIVAJI NAGAR Network|10</v>
      </c>
    </row>
    <row r="1326" customFormat="false" ht="15" hidden="false" customHeight="false" outlineLevel="0" collapsed="false">
      <c r="A1326" s="59" t="s">
        <v>233</v>
      </c>
      <c r="B1326" s="59" t="s">
        <v>424</v>
      </c>
      <c r="C1326" s="60" t="n">
        <v>3413.66</v>
      </c>
      <c r="D1326" s="59" t="n">
        <f aca="false">COUNTIFS($A$2:$A$1931,A1326,$C$2:$C$1931,"&gt;"&amp;C1326)+COUNTIFS($A$2:A1326,A1326,$C$2:C1326,C1326)</f>
        <v>1</v>
      </c>
      <c r="E1326" s="59" t="str">
        <f aca="false">A1326&amp;"|"&amp;D1326</f>
        <v>BLR-SINGASANDRA NEW|1</v>
      </c>
    </row>
    <row r="1327" customFormat="false" ht="15" hidden="false" customHeight="false" outlineLevel="0" collapsed="false">
      <c r="A1327" s="59" t="s">
        <v>233</v>
      </c>
      <c r="B1327" s="59" t="s">
        <v>415</v>
      </c>
      <c r="C1327" s="60" t="n">
        <v>2880.12</v>
      </c>
      <c r="D1327" s="59" t="n">
        <f aca="false">COUNTIFS($A$2:$A$1931,A1327,$C$2:$C$1931,"&gt;"&amp;C1327)+COUNTIFS($A$2:A1327,A1327,$C$2:C1327,C1327)</f>
        <v>2</v>
      </c>
      <c r="E1327" s="59" t="str">
        <f aca="false">A1327&amp;"|"&amp;D1327</f>
        <v>BLR-SINGASANDRA NEW|2</v>
      </c>
    </row>
    <row r="1328" customFormat="false" ht="15" hidden="false" customHeight="false" outlineLevel="0" collapsed="false">
      <c r="A1328" s="59" t="s">
        <v>233</v>
      </c>
      <c r="B1328" s="59" t="s">
        <v>431</v>
      </c>
      <c r="C1328" s="60" t="n">
        <v>1329.36</v>
      </c>
      <c r="D1328" s="59" t="n">
        <f aca="false">COUNTIFS($A$2:$A$1931,A1328,$C$2:$C$1931,"&gt;"&amp;C1328)+COUNTIFS($A$2:A1328,A1328,$C$2:C1328,C1328)</f>
        <v>3</v>
      </c>
      <c r="E1328" s="59" t="str">
        <f aca="false">A1328&amp;"|"&amp;D1328</f>
        <v>BLR-SINGASANDRA NEW|3</v>
      </c>
    </row>
    <row r="1329" customFormat="false" ht="15" hidden="false" customHeight="false" outlineLevel="0" collapsed="false">
      <c r="A1329" s="59" t="s">
        <v>233</v>
      </c>
      <c r="B1329" s="59" t="s">
        <v>408</v>
      </c>
      <c r="C1329" s="60" t="n">
        <v>366.65</v>
      </c>
      <c r="D1329" s="59" t="n">
        <f aca="false">COUNTIFS($A$2:$A$1931,A1329,$C$2:$C$1931,"&gt;"&amp;C1329)+COUNTIFS($A$2:A1329,A1329,$C$2:C1329,C1329)</f>
        <v>4</v>
      </c>
      <c r="E1329" s="59" t="str">
        <f aca="false">A1329&amp;"|"&amp;D1329</f>
        <v>BLR-SINGASANDRA NEW|4</v>
      </c>
    </row>
    <row r="1330" customFormat="false" ht="15" hidden="false" customHeight="false" outlineLevel="0" collapsed="false">
      <c r="A1330" s="59" t="s">
        <v>233</v>
      </c>
      <c r="B1330" s="59" t="s">
        <v>409</v>
      </c>
      <c r="C1330" s="60" t="n">
        <v>243.67</v>
      </c>
      <c r="D1330" s="59" t="n">
        <f aca="false">COUNTIFS($A$2:$A$1931,A1330,$C$2:$C$1931,"&gt;"&amp;C1330)+COUNTIFS($A$2:A1330,A1330,$C$2:C1330,C1330)</f>
        <v>5</v>
      </c>
      <c r="E1330" s="59" t="str">
        <f aca="false">A1330&amp;"|"&amp;D1330</f>
        <v>BLR-SINGASANDRA NEW|5</v>
      </c>
    </row>
    <row r="1331" customFormat="false" ht="15" hidden="false" customHeight="false" outlineLevel="0" collapsed="false">
      <c r="A1331" s="59" t="s">
        <v>233</v>
      </c>
      <c r="B1331" s="59" t="s">
        <v>426</v>
      </c>
      <c r="C1331" s="60" t="n">
        <v>64.39</v>
      </c>
      <c r="D1331" s="59" t="n">
        <f aca="false">COUNTIFS($A$2:$A$1931,A1331,$C$2:$C$1931,"&gt;"&amp;C1331)+COUNTIFS($A$2:A1331,A1331,$C$2:C1331,C1331)</f>
        <v>6</v>
      </c>
      <c r="E1331" s="59" t="str">
        <f aca="false">A1331&amp;"|"&amp;D1331</f>
        <v>BLR-SINGASANDRA NEW|6</v>
      </c>
    </row>
    <row r="1332" customFormat="false" ht="15" hidden="false" customHeight="false" outlineLevel="0" collapsed="false">
      <c r="A1332" s="59" t="s">
        <v>77</v>
      </c>
      <c r="B1332" s="59" t="s">
        <v>418</v>
      </c>
      <c r="C1332" s="60" t="n">
        <v>16982.36</v>
      </c>
      <c r="D1332" s="59" t="n">
        <f aca="false">COUNTIFS($A$2:$A$1931,A1332,$C$2:$C$1931,"&gt;"&amp;C1332)+COUNTIFS($A$2:A1332,A1332,$C$2:C1332,C1332)</f>
        <v>1</v>
      </c>
      <c r="E1332" s="59" t="str">
        <f aca="false">A1332&amp;"|"&amp;D1332</f>
        <v>BLR-Sanjaynagar|1</v>
      </c>
    </row>
    <row r="1333" customFormat="false" ht="15" hidden="false" customHeight="false" outlineLevel="0" collapsed="false">
      <c r="A1333" s="59" t="s">
        <v>77</v>
      </c>
      <c r="B1333" s="59" t="s">
        <v>415</v>
      </c>
      <c r="C1333" s="60" t="n">
        <v>8730.79</v>
      </c>
      <c r="D1333" s="59" t="n">
        <f aca="false">COUNTIFS($A$2:$A$1931,A1333,$C$2:$C$1931,"&gt;"&amp;C1333)+COUNTIFS($A$2:A1333,A1333,$C$2:C1333,C1333)</f>
        <v>2</v>
      </c>
      <c r="E1333" s="59" t="str">
        <f aca="false">A1333&amp;"|"&amp;D1333</f>
        <v>BLR-Sanjaynagar|2</v>
      </c>
    </row>
    <row r="1334" customFormat="false" ht="15" hidden="false" customHeight="false" outlineLevel="0" collapsed="false">
      <c r="A1334" s="59" t="s">
        <v>77</v>
      </c>
      <c r="B1334" s="59" t="s">
        <v>410</v>
      </c>
      <c r="C1334" s="60" t="n">
        <v>6792.58</v>
      </c>
      <c r="D1334" s="59" t="n">
        <f aca="false">COUNTIFS($A$2:$A$1931,A1334,$C$2:$C$1931,"&gt;"&amp;C1334)+COUNTIFS($A$2:A1334,A1334,$C$2:C1334,C1334)</f>
        <v>3</v>
      </c>
      <c r="E1334" s="59" t="str">
        <f aca="false">A1334&amp;"|"&amp;D1334</f>
        <v>BLR-Sanjaynagar|3</v>
      </c>
    </row>
    <row r="1335" customFormat="false" ht="15" hidden="false" customHeight="false" outlineLevel="0" collapsed="false">
      <c r="A1335" s="59" t="s">
        <v>77</v>
      </c>
      <c r="B1335" s="59" t="s">
        <v>413</v>
      </c>
      <c r="C1335" s="60" t="n">
        <v>4888.13</v>
      </c>
      <c r="D1335" s="59" t="n">
        <f aca="false">COUNTIFS($A$2:$A$1931,A1335,$C$2:$C$1931,"&gt;"&amp;C1335)+COUNTIFS($A$2:A1335,A1335,$C$2:C1335,C1335)</f>
        <v>4</v>
      </c>
      <c r="E1335" s="59" t="str">
        <f aca="false">A1335&amp;"|"&amp;D1335</f>
        <v>BLR-Sanjaynagar|4</v>
      </c>
    </row>
    <row r="1336" customFormat="false" ht="15" hidden="false" customHeight="false" outlineLevel="0" collapsed="false">
      <c r="A1336" s="59" t="s">
        <v>77</v>
      </c>
      <c r="B1336" s="59" t="s">
        <v>431</v>
      </c>
      <c r="C1336" s="60" t="n">
        <v>3419.54</v>
      </c>
      <c r="D1336" s="59" t="n">
        <f aca="false">COUNTIFS($A$2:$A$1931,A1336,$C$2:$C$1931,"&gt;"&amp;C1336)+COUNTIFS($A$2:A1336,A1336,$C$2:C1336,C1336)</f>
        <v>5</v>
      </c>
      <c r="E1336" s="59" t="str">
        <f aca="false">A1336&amp;"|"&amp;D1336</f>
        <v>BLR-Sanjaynagar|5</v>
      </c>
    </row>
    <row r="1337" customFormat="false" ht="15" hidden="false" customHeight="false" outlineLevel="0" collapsed="false">
      <c r="A1337" s="59" t="s">
        <v>85</v>
      </c>
      <c r="B1337" s="59" t="s">
        <v>431</v>
      </c>
      <c r="C1337" s="60" t="n">
        <v>20338.14</v>
      </c>
      <c r="D1337" s="59" t="n">
        <f aca="false">COUNTIFS($A$2:$A$1931,A1337,$C$2:$C$1931,"&gt;"&amp;C1337)+COUNTIFS($A$2:A1337,A1337,$C$2:C1337,C1337)</f>
        <v>1</v>
      </c>
      <c r="E1337" s="59" t="str">
        <f aca="false">A1337&amp;"|"&amp;D1337</f>
        <v>BLR-Sarjapur New|1</v>
      </c>
    </row>
    <row r="1338" customFormat="false" ht="15" hidden="false" customHeight="false" outlineLevel="0" collapsed="false">
      <c r="A1338" s="59" t="s">
        <v>85</v>
      </c>
      <c r="B1338" s="59" t="s">
        <v>412</v>
      </c>
      <c r="C1338" s="60" t="n">
        <v>15512.58</v>
      </c>
      <c r="D1338" s="59" t="n">
        <f aca="false">COUNTIFS($A$2:$A$1931,A1338,$C$2:$C$1931,"&gt;"&amp;C1338)+COUNTIFS($A$2:A1338,A1338,$C$2:C1338,C1338)</f>
        <v>2</v>
      </c>
      <c r="E1338" s="59" t="str">
        <f aca="false">A1338&amp;"|"&amp;D1338</f>
        <v>BLR-Sarjapur New|2</v>
      </c>
    </row>
    <row r="1339" customFormat="false" ht="15" hidden="false" customHeight="false" outlineLevel="0" collapsed="false">
      <c r="A1339" s="59" t="s">
        <v>85</v>
      </c>
      <c r="B1339" s="59" t="s">
        <v>418</v>
      </c>
      <c r="C1339" s="60" t="n">
        <v>11361.74</v>
      </c>
      <c r="D1339" s="59" t="n">
        <f aca="false">COUNTIFS($A$2:$A$1931,A1339,$C$2:$C$1931,"&gt;"&amp;C1339)+COUNTIFS($A$2:A1339,A1339,$C$2:C1339,C1339)</f>
        <v>3</v>
      </c>
      <c r="E1339" s="59" t="str">
        <f aca="false">A1339&amp;"|"&amp;D1339</f>
        <v>BLR-Sarjapur New|3</v>
      </c>
    </row>
    <row r="1340" customFormat="false" ht="15" hidden="false" customHeight="false" outlineLevel="0" collapsed="false">
      <c r="A1340" s="59" t="s">
        <v>85</v>
      </c>
      <c r="B1340" s="59" t="s">
        <v>419</v>
      </c>
      <c r="C1340" s="60" t="n">
        <v>7650.28</v>
      </c>
      <c r="D1340" s="59" t="n">
        <f aca="false">COUNTIFS($A$2:$A$1931,A1340,$C$2:$C$1931,"&gt;"&amp;C1340)+COUNTIFS($A$2:A1340,A1340,$C$2:C1340,C1340)</f>
        <v>4</v>
      </c>
      <c r="E1340" s="59" t="str">
        <f aca="false">A1340&amp;"|"&amp;D1340</f>
        <v>BLR-Sarjapur New|4</v>
      </c>
    </row>
    <row r="1341" customFormat="false" ht="15" hidden="false" customHeight="false" outlineLevel="0" collapsed="false">
      <c r="A1341" s="59" t="s">
        <v>85</v>
      </c>
      <c r="B1341" s="59" t="s">
        <v>426</v>
      </c>
      <c r="C1341" s="60" t="n">
        <v>3762.16</v>
      </c>
      <c r="D1341" s="59" t="n">
        <f aca="false">COUNTIFS($A$2:$A$1931,A1341,$C$2:$C$1931,"&gt;"&amp;C1341)+COUNTIFS($A$2:A1341,A1341,$C$2:C1341,C1341)</f>
        <v>5</v>
      </c>
      <c r="E1341" s="59" t="str">
        <f aca="false">A1341&amp;"|"&amp;D1341</f>
        <v>BLR-Sarjapur New|5</v>
      </c>
    </row>
    <row r="1342" customFormat="false" ht="15" hidden="false" customHeight="false" outlineLevel="0" collapsed="false">
      <c r="A1342" s="59" t="s">
        <v>85</v>
      </c>
      <c r="B1342" s="59" t="s">
        <v>415</v>
      </c>
      <c r="C1342" s="60" t="n">
        <v>3231.86</v>
      </c>
      <c r="D1342" s="59" t="n">
        <f aca="false">COUNTIFS($A$2:$A$1931,A1342,$C$2:$C$1931,"&gt;"&amp;C1342)+COUNTIFS($A$2:A1342,A1342,$C$2:C1342,C1342)</f>
        <v>6</v>
      </c>
      <c r="E1342" s="59" t="str">
        <f aca="false">A1342&amp;"|"&amp;D1342</f>
        <v>BLR-Sarjapur New|6</v>
      </c>
    </row>
    <row r="1343" customFormat="false" ht="15" hidden="false" customHeight="false" outlineLevel="0" collapsed="false">
      <c r="A1343" s="59" t="s">
        <v>85</v>
      </c>
      <c r="B1343" s="59" t="s">
        <v>420</v>
      </c>
      <c r="C1343" s="60" t="n">
        <v>1148.26</v>
      </c>
      <c r="D1343" s="59" t="n">
        <f aca="false">COUNTIFS($A$2:$A$1931,A1343,$C$2:$C$1931,"&gt;"&amp;C1343)+COUNTIFS($A$2:A1343,A1343,$C$2:C1343,C1343)</f>
        <v>7</v>
      </c>
      <c r="E1343" s="59" t="str">
        <f aca="false">A1343&amp;"|"&amp;D1343</f>
        <v>BLR-Sarjapur New|7</v>
      </c>
    </row>
    <row r="1344" customFormat="false" ht="15" hidden="false" customHeight="false" outlineLevel="0" collapsed="false">
      <c r="A1344" s="59" t="s">
        <v>85</v>
      </c>
      <c r="B1344" s="59" t="s">
        <v>417</v>
      </c>
      <c r="C1344" s="60" t="n">
        <v>1041.33</v>
      </c>
      <c r="D1344" s="59" t="n">
        <f aca="false">COUNTIFS($A$2:$A$1931,A1344,$C$2:$C$1931,"&gt;"&amp;C1344)+COUNTIFS($A$2:A1344,A1344,$C$2:C1344,C1344)</f>
        <v>8</v>
      </c>
      <c r="E1344" s="59" t="str">
        <f aca="false">A1344&amp;"|"&amp;D1344</f>
        <v>BLR-Sarjapur New|8</v>
      </c>
    </row>
    <row r="1345" customFormat="false" ht="15" hidden="false" customHeight="false" outlineLevel="0" collapsed="false">
      <c r="A1345" s="59" t="s">
        <v>85</v>
      </c>
      <c r="B1345" s="59" t="s">
        <v>414</v>
      </c>
      <c r="C1345" s="60" t="n">
        <v>1026.98</v>
      </c>
      <c r="D1345" s="59" t="n">
        <f aca="false">COUNTIFS($A$2:$A$1931,A1345,$C$2:$C$1931,"&gt;"&amp;C1345)+COUNTIFS($A$2:A1345,A1345,$C$2:C1345,C1345)</f>
        <v>9</v>
      </c>
      <c r="E1345" s="59" t="str">
        <f aca="false">A1345&amp;"|"&amp;D1345</f>
        <v>BLR-Sarjapur New|9</v>
      </c>
    </row>
    <row r="1346" customFormat="false" ht="15" hidden="false" customHeight="false" outlineLevel="0" collapsed="false">
      <c r="A1346" s="59" t="s">
        <v>85</v>
      </c>
      <c r="B1346" s="59" t="s">
        <v>409</v>
      </c>
      <c r="C1346" s="60" t="n">
        <v>500.22</v>
      </c>
      <c r="D1346" s="59" t="n">
        <f aca="false">COUNTIFS($A$2:$A$1931,A1346,$C$2:$C$1931,"&gt;"&amp;C1346)+COUNTIFS($A$2:A1346,A1346,$C$2:C1346,C1346)</f>
        <v>10</v>
      </c>
      <c r="E1346" s="59" t="str">
        <f aca="false">A1346&amp;"|"&amp;D1346</f>
        <v>BLR-Sarjapur New|10</v>
      </c>
    </row>
    <row r="1347" customFormat="false" ht="15" hidden="false" customHeight="false" outlineLevel="0" collapsed="false">
      <c r="A1347" s="59" t="s">
        <v>85</v>
      </c>
      <c r="B1347" s="59" t="s">
        <v>456</v>
      </c>
      <c r="C1347" s="60" t="n">
        <v>479.98</v>
      </c>
      <c r="D1347" s="59" t="n">
        <f aca="false">COUNTIFS($A$2:$A$1931,A1347,$C$2:$C$1931,"&gt;"&amp;C1347)+COUNTIFS($A$2:A1347,A1347,$C$2:C1347,C1347)</f>
        <v>11</v>
      </c>
      <c r="E1347" s="59" t="str">
        <f aca="false">A1347&amp;"|"&amp;D1347</f>
        <v>BLR-Sarjapur New|11</v>
      </c>
    </row>
    <row r="1348" customFormat="false" ht="15" hidden="false" customHeight="false" outlineLevel="0" collapsed="false">
      <c r="A1348" s="59" t="s">
        <v>85</v>
      </c>
      <c r="B1348" s="59" t="s">
        <v>423</v>
      </c>
      <c r="C1348" s="60" t="n">
        <v>141.37</v>
      </c>
      <c r="D1348" s="59" t="n">
        <f aca="false">COUNTIFS($A$2:$A$1931,A1348,$C$2:$C$1931,"&gt;"&amp;C1348)+COUNTIFS($A$2:A1348,A1348,$C$2:C1348,C1348)</f>
        <v>12</v>
      </c>
      <c r="E1348" s="59" t="str">
        <f aca="false">A1348&amp;"|"&amp;D1348</f>
        <v>BLR-Sarjapur New|12</v>
      </c>
    </row>
    <row r="1349" customFormat="false" ht="15" hidden="false" customHeight="false" outlineLevel="0" collapsed="false">
      <c r="A1349" s="59" t="s">
        <v>168</v>
      </c>
      <c r="B1349" s="59" t="s">
        <v>416</v>
      </c>
      <c r="C1349" s="60" t="n">
        <v>2784.48</v>
      </c>
      <c r="D1349" s="59" t="n">
        <f aca="false">COUNTIFS($A$2:$A$1931,A1349,$C$2:$C$1931,"&gt;"&amp;C1349)+COUNTIFS($A$2:A1349,A1349,$C$2:C1349,C1349)</f>
        <v>1</v>
      </c>
      <c r="E1349" s="59" t="str">
        <f aca="false">A1349&amp;"|"&amp;D1349</f>
        <v>BLR-Sarjapur-2|1</v>
      </c>
    </row>
    <row r="1350" customFormat="false" ht="15" hidden="false" customHeight="false" outlineLevel="0" collapsed="false">
      <c r="A1350" s="59" t="s">
        <v>168</v>
      </c>
      <c r="B1350" s="59" t="s">
        <v>410</v>
      </c>
      <c r="C1350" s="60" t="n">
        <v>1389.15</v>
      </c>
      <c r="D1350" s="59" t="n">
        <f aca="false">COUNTIFS($A$2:$A$1931,A1350,$C$2:$C$1931,"&gt;"&amp;C1350)+COUNTIFS($A$2:A1350,A1350,$C$2:C1350,C1350)</f>
        <v>2</v>
      </c>
      <c r="E1350" s="59" t="str">
        <f aca="false">A1350&amp;"|"&amp;D1350</f>
        <v>BLR-Sarjapur-2|2</v>
      </c>
    </row>
    <row r="1351" customFormat="false" ht="15" hidden="false" customHeight="false" outlineLevel="0" collapsed="false">
      <c r="A1351" s="59" t="s">
        <v>168</v>
      </c>
      <c r="B1351" s="59" t="s">
        <v>418</v>
      </c>
      <c r="C1351" s="60" t="n">
        <v>381.21</v>
      </c>
      <c r="D1351" s="59" t="n">
        <f aca="false">COUNTIFS($A$2:$A$1931,A1351,$C$2:$C$1931,"&gt;"&amp;C1351)+COUNTIFS($A$2:A1351,A1351,$C$2:C1351,C1351)</f>
        <v>3</v>
      </c>
      <c r="E1351" s="59" t="str">
        <f aca="false">A1351&amp;"|"&amp;D1351</f>
        <v>BLR-Sarjapur-2|3</v>
      </c>
    </row>
    <row r="1352" customFormat="false" ht="15" hidden="false" customHeight="false" outlineLevel="0" collapsed="false">
      <c r="A1352" s="59" t="s">
        <v>168</v>
      </c>
      <c r="B1352" s="59" t="s">
        <v>420</v>
      </c>
      <c r="C1352" s="60" t="n">
        <v>377.12</v>
      </c>
      <c r="D1352" s="59" t="n">
        <f aca="false">COUNTIFS($A$2:$A$1931,A1352,$C$2:$C$1931,"&gt;"&amp;C1352)+COUNTIFS($A$2:A1352,A1352,$C$2:C1352,C1352)</f>
        <v>4</v>
      </c>
      <c r="E1352" s="59" t="str">
        <f aca="false">A1352&amp;"|"&amp;D1352</f>
        <v>BLR-Sarjapur-2|4</v>
      </c>
    </row>
    <row r="1353" customFormat="false" ht="15" hidden="false" customHeight="false" outlineLevel="0" collapsed="false">
      <c r="A1353" s="59" t="s">
        <v>168</v>
      </c>
      <c r="B1353" s="59" t="s">
        <v>409</v>
      </c>
      <c r="C1353" s="60" t="n">
        <v>360.3</v>
      </c>
      <c r="D1353" s="59" t="n">
        <f aca="false">COUNTIFS($A$2:$A$1931,A1353,$C$2:$C$1931,"&gt;"&amp;C1353)+COUNTIFS($A$2:A1353,A1353,$C$2:C1353,C1353)</f>
        <v>5</v>
      </c>
      <c r="E1353" s="59" t="str">
        <f aca="false">A1353&amp;"|"&amp;D1353</f>
        <v>BLR-Sarjapur-2|5</v>
      </c>
    </row>
    <row r="1354" customFormat="false" ht="15" hidden="false" customHeight="false" outlineLevel="0" collapsed="false">
      <c r="A1354" s="59" t="s">
        <v>168</v>
      </c>
      <c r="B1354" s="59" t="s">
        <v>424</v>
      </c>
      <c r="C1354" s="60" t="n">
        <v>223.53</v>
      </c>
      <c r="D1354" s="59" t="n">
        <f aca="false">COUNTIFS($A$2:$A$1931,A1354,$C$2:$C$1931,"&gt;"&amp;C1354)+COUNTIFS($A$2:A1354,A1354,$C$2:C1354,C1354)</f>
        <v>6</v>
      </c>
      <c r="E1354" s="59" t="str">
        <f aca="false">A1354&amp;"|"&amp;D1354</f>
        <v>BLR-Sarjapur-2|6</v>
      </c>
    </row>
    <row r="1355" customFormat="false" ht="15" hidden="false" customHeight="false" outlineLevel="0" collapsed="false">
      <c r="A1355" s="59" t="s">
        <v>168</v>
      </c>
      <c r="B1355" s="59" t="s">
        <v>412</v>
      </c>
      <c r="C1355" s="60" t="n">
        <v>106.23</v>
      </c>
      <c r="D1355" s="59" t="n">
        <f aca="false">COUNTIFS($A$2:$A$1931,A1355,$C$2:$C$1931,"&gt;"&amp;C1355)+COUNTIFS($A$2:A1355,A1355,$C$2:C1355,C1355)</f>
        <v>7</v>
      </c>
      <c r="E1355" s="59" t="str">
        <f aca="false">A1355&amp;"|"&amp;D1355</f>
        <v>BLR-Sarjapur-2|7</v>
      </c>
    </row>
    <row r="1356" customFormat="false" ht="15" hidden="false" customHeight="false" outlineLevel="0" collapsed="false">
      <c r="A1356" s="59" t="s">
        <v>168</v>
      </c>
      <c r="B1356" s="59" t="s">
        <v>408</v>
      </c>
      <c r="C1356" s="60" t="n">
        <v>59.92</v>
      </c>
      <c r="D1356" s="59" t="n">
        <f aca="false">COUNTIFS($A$2:$A$1931,A1356,$C$2:$C$1931,"&gt;"&amp;C1356)+COUNTIFS($A$2:A1356,A1356,$C$2:C1356,C1356)</f>
        <v>8</v>
      </c>
      <c r="E1356" s="59" t="str">
        <f aca="false">A1356&amp;"|"&amp;D1356</f>
        <v>BLR-Sarjapur-2|8</v>
      </c>
    </row>
    <row r="1357" customFormat="false" ht="15" hidden="false" customHeight="false" outlineLevel="0" collapsed="false">
      <c r="A1357" s="59" t="s">
        <v>50</v>
      </c>
      <c r="B1357" s="59" t="s">
        <v>412</v>
      </c>
      <c r="C1357" s="60" t="n">
        <v>10476.44</v>
      </c>
      <c r="D1357" s="59" t="n">
        <f aca="false">COUNTIFS($A$2:$A$1931,A1357,$C$2:$C$1931,"&gt;"&amp;C1357)+COUNTIFS($A$2:A1357,A1357,$C$2:C1357,C1357)</f>
        <v>1</v>
      </c>
      <c r="E1357" s="59" t="str">
        <f aca="false">A1357&amp;"|"&amp;D1357</f>
        <v>BLR-Sattava East|1</v>
      </c>
    </row>
    <row r="1358" customFormat="false" ht="15" hidden="false" customHeight="false" outlineLevel="0" collapsed="false">
      <c r="A1358" s="59" t="s">
        <v>50</v>
      </c>
      <c r="B1358" s="59" t="s">
        <v>417</v>
      </c>
      <c r="C1358" s="60" t="n">
        <v>10316.06</v>
      </c>
      <c r="D1358" s="59" t="n">
        <f aca="false">COUNTIFS($A$2:$A$1931,A1358,$C$2:$C$1931,"&gt;"&amp;C1358)+COUNTIFS($A$2:A1358,A1358,$C$2:C1358,C1358)</f>
        <v>2</v>
      </c>
      <c r="E1358" s="59" t="str">
        <f aca="false">A1358&amp;"|"&amp;D1358</f>
        <v>BLR-Sattava East|2</v>
      </c>
    </row>
    <row r="1359" customFormat="false" ht="15" hidden="false" customHeight="false" outlineLevel="0" collapsed="false">
      <c r="A1359" s="59" t="s">
        <v>50</v>
      </c>
      <c r="B1359" s="59" t="s">
        <v>413</v>
      </c>
      <c r="C1359" s="60" t="n">
        <v>2747.66</v>
      </c>
      <c r="D1359" s="59" t="n">
        <f aca="false">COUNTIFS($A$2:$A$1931,A1359,$C$2:$C$1931,"&gt;"&amp;C1359)+COUNTIFS($A$2:A1359,A1359,$C$2:C1359,C1359)</f>
        <v>3</v>
      </c>
      <c r="E1359" s="59" t="str">
        <f aca="false">A1359&amp;"|"&amp;D1359</f>
        <v>BLR-Sattava East|3</v>
      </c>
    </row>
    <row r="1360" customFormat="false" ht="15" hidden="false" customHeight="false" outlineLevel="0" collapsed="false">
      <c r="A1360" s="59" t="s">
        <v>50</v>
      </c>
      <c r="B1360" s="59" t="s">
        <v>408</v>
      </c>
      <c r="C1360" s="60" t="n">
        <v>2584.94</v>
      </c>
      <c r="D1360" s="59" t="n">
        <f aca="false">COUNTIFS($A$2:$A$1931,A1360,$C$2:$C$1931,"&gt;"&amp;C1360)+COUNTIFS($A$2:A1360,A1360,$C$2:C1360,C1360)</f>
        <v>4</v>
      </c>
      <c r="E1360" s="59" t="str">
        <f aca="false">A1360&amp;"|"&amp;D1360</f>
        <v>BLR-Sattava East|4</v>
      </c>
    </row>
    <row r="1361" customFormat="false" ht="15" hidden="false" customHeight="false" outlineLevel="0" collapsed="false">
      <c r="A1361" s="59" t="s">
        <v>50</v>
      </c>
      <c r="B1361" s="59" t="s">
        <v>415</v>
      </c>
      <c r="C1361" s="60" t="n">
        <v>2358.19</v>
      </c>
      <c r="D1361" s="59" t="n">
        <f aca="false">COUNTIFS($A$2:$A$1931,A1361,$C$2:$C$1931,"&gt;"&amp;C1361)+COUNTIFS($A$2:A1361,A1361,$C$2:C1361,C1361)</f>
        <v>5</v>
      </c>
      <c r="E1361" s="59" t="str">
        <f aca="false">A1361&amp;"|"&amp;D1361</f>
        <v>BLR-Sattava East|5</v>
      </c>
    </row>
    <row r="1362" customFormat="false" ht="15" hidden="false" customHeight="false" outlineLevel="0" collapsed="false">
      <c r="A1362" s="59" t="s">
        <v>50</v>
      </c>
      <c r="B1362" s="59" t="s">
        <v>410</v>
      </c>
      <c r="C1362" s="60" t="n">
        <v>1845.88</v>
      </c>
      <c r="D1362" s="59" t="n">
        <f aca="false">COUNTIFS($A$2:$A$1931,A1362,$C$2:$C$1931,"&gt;"&amp;C1362)+COUNTIFS($A$2:A1362,A1362,$C$2:C1362,C1362)</f>
        <v>6</v>
      </c>
      <c r="E1362" s="59" t="str">
        <f aca="false">A1362&amp;"|"&amp;D1362</f>
        <v>BLR-Sattava East|6</v>
      </c>
    </row>
    <row r="1363" customFormat="false" ht="15" hidden="false" customHeight="false" outlineLevel="0" collapsed="false">
      <c r="A1363" s="59" t="s">
        <v>50</v>
      </c>
      <c r="B1363" s="59" t="s">
        <v>420</v>
      </c>
      <c r="C1363" s="60" t="n">
        <v>415.76</v>
      </c>
      <c r="D1363" s="59" t="n">
        <f aca="false">COUNTIFS($A$2:$A$1931,A1363,$C$2:$C$1931,"&gt;"&amp;C1363)+COUNTIFS($A$2:A1363,A1363,$C$2:C1363,C1363)</f>
        <v>7</v>
      </c>
      <c r="E1363" s="59" t="str">
        <f aca="false">A1363&amp;"|"&amp;D1363</f>
        <v>BLR-Sattava East|7</v>
      </c>
    </row>
    <row r="1364" customFormat="false" ht="15" hidden="false" customHeight="false" outlineLevel="0" collapsed="false">
      <c r="A1364" s="59" t="s">
        <v>50</v>
      </c>
      <c r="B1364" s="59" t="s">
        <v>432</v>
      </c>
      <c r="C1364" s="60" t="n">
        <v>204.08</v>
      </c>
      <c r="D1364" s="59" t="n">
        <f aca="false">COUNTIFS($A$2:$A$1931,A1364,$C$2:$C$1931,"&gt;"&amp;C1364)+COUNTIFS($A$2:A1364,A1364,$C$2:C1364,C1364)</f>
        <v>8</v>
      </c>
      <c r="E1364" s="59" t="str">
        <f aca="false">A1364&amp;"|"&amp;D1364</f>
        <v>BLR-Sattava East|8</v>
      </c>
    </row>
    <row r="1365" customFormat="false" ht="15" hidden="false" customHeight="false" outlineLevel="0" collapsed="false">
      <c r="A1365" s="59" t="s">
        <v>50</v>
      </c>
      <c r="B1365" s="59" t="s">
        <v>419</v>
      </c>
      <c r="C1365" s="60" t="n">
        <v>168.53</v>
      </c>
      <c r="D1365" s="59" t="n">
        <f aca="false">COUNTIFS($A$2:$A$1931,A1365,$C$2:$C$1931,"&gt;"&amp;C1365)+COUNTIFS($A$2:A1365,A1365,$C$2:C1365,C1365)</f>
        <v>9</v>
      </c>
      <c r="E1365" s="59" t="str">
        <f aca="false">A1365&amp;"|"&amp;D1365</f>
        <v>BLR-Sattava East|9</v>
      </c>
    </row>
    <row r="1366" customFormat="false" ht="15" hidden="false" customHeight="false" outlineLevel="0" collapsed="false">
      <c r="A1366" s="59" t="s">
        <v>50</v>
      </c>
      <c r="B1366" s="59" t="s">
        <v>418</v>
      </c>
      <c r="C1366" s="60" t="n">
        <v>89.48</v>
      </c>
      <c r="D1366" s="59" t="n">
        <f aca="false">COUNTIFS($A$2:$A$1931,A1366,$C$2:$C$1931,"&gt;"&amp;C1366)+COUNTIFS($A$2:A1366,A1366,$C$2:C1366,C1366)</f>
        <v>10</v>
      </c>
      <c r="E1366" s="59" t="str">
        <f aca="false">A1366&amp;"|"&amp;D1366</f>
        <v>BLR-Sattava East|10</v>
      </c>
    </row>
    <row r="1367" customFormat="false" ht="15" hidden="false" customHeight="false" outlineLevel="0" collapsed="false">
      <c r="A1367" s="59" t="s">
        <v>198</v>
      </c>
      <c r="B1367" s="59" t="s">
        <v>408</v>
      </c>
      <c r="C1367" s="60" t="n">
        <v>646.12</v>
      </c>
      <c r="D1367" s="59" t="n">
        <f aca="false">COUNTIFS($A$2:$A$1931,A1367,$C$2:$C$1931,"&gt;"&amp;C1367)+COUNTIFS($A$2:A1367,A1367,$C$2:C1367,C1367)</f>
        <v>1</v>
      </c>
      <c r="E1367" s="59" t="str">
        <f aca="false">A1367&amp;"|"&amp;D1367</f>
        <v>BLR-Sattava East SS|1</v>
      </c>
    </row>
    <row r="1368" customFormat="false" ht="15" hidden="false" customHeight="false" outlineLevel="0" collapsed="false">
      <c r="A1368" s="59" t="s">
        <v>198</v>
      </c>
      <c r="B1368" s="59" t="s">
        <v>420</v>
      </c>
      <c r="C1368" s="60" t="n">
        <v>399.8</v>
      </c>
      <c r="D1368" s="59" t="n">
        <f aca="false">COUNTIFS($A$2:$A$1931,A1368,$C$2:$C$1931,"&gt;"&amp;C1368)+COUNTIFS($A$2:A1368,A1368,$C$2:C1368,C1368)</f>
        <v>2</v>
      </c>
      <c r="E1368" s="59" t="str">
        <f aca="false">A1368&amp;"|"&amp;D1368</f>
        <v>BLR-Sattava East SS|2</v>
      </c>
    </row>
    <row r="1369" customFormat="false" ht="15" hidden="false" customHeight="false" outlineLevel="0" collapsed="false">
      <c r="A1369" s="59" t="s">
        <v>198</v>
      </c>
      <c r="B1369" s="59" t="s">
        <v>409</v>
      </c>
      <c r="C1369" s="60" t="n">
        <v>312.29</v>
      </c>
      <c r="D1369" s="59" t="n">
        <f aca="false">COUNTIFS($A$2:$A$1931,A1369,$C$2:$C$1931,"&gt;"&amp;C1369)+COUNTIFS($A$2:A1369,A1369,$C$2:C1369,C1369)</f>
        <v>3</v>
      </c>
      <c r="E1369" s="59" t="str">
        <f aca="false">A1369&amp;"|"&amp;D1369</f>
        <v>BLR-Sattava East SS|3</v>
      </c>
    </row>
    <row r="1370" customFormat="false" ht="15" hidden="false" customHeight="false" outlineLevel="0" collapsed="false">
      <c r="A1370" s="59" t="s">
        <v>198</v>
      </c>
      <c r="B1370" s="59" t="s">
        <v>412</v>
      </c>
      <c r="C1370" s="60" t="n">
        <v>71.73</v>
      </c>
      <c r="D1370" s="59" t="n">
        <f aca="false">COUNTIFS($A$2:$A$1931,A1370,$C$2:$C$1931,"&gt;"&amp;C1370)+COUNTIFS($A$2:A1370,A1370,$C$2:C1370,C1370)</f>
        <v>4</v>
      </c>
      <c r="E1370" s="59" t="str">
        <f aca="false">A1370&amp;"|"&amp;D1370</f>
        <v>BLR-Sattava East SS|4</v>
      </c>
    </row>
    <row r="1371" customFormat="false" ht="15" hidden="false" customHeight="false" outlineLevel="0" collapsed="false">
      <c r="A1371" s="59" t="s">
        <v>198</v>
      </c>
      <c r="B1371" s="59" t="s">
        <v>430</v>
      </c>
      <c r="C1371" s="60" t="n">
        <v>3.19</v>
      </c>
      <c r="D1371" s="59" t="n">
        <f aca="false">COUNTIFS($A$2:$A$1931,A1371,$C$2:$C$1931,"&gt;"&amp;C1371)+COUNTIFS($A$2:A1371,A1371,$C$2:C1371,C1371)</f>
        <v>5</v>
      </c>
      <c r="E1371" s="59" t="str">
        <f aca="false">A1371&amp;"|"&amp;D1371</f>
        <v>BLR-Sattava East SS|5</v>
      </c>
    </row>
    <row r="1372" customFormat="false" ht="15" hidden="false" customHeight="false" outlineLevel="0" collapsed="false">
      <c r="A1372" s="59" t="s">
        <v>88</v>
      </c>
      <c r="B1372" s="59" t="s">
        <v>408</v>
      </c>
      <c r="C1372" s="60" t="n">
        <v>10233.31</v>
      </c>
      <c r="D1372" s="59" t="n">
        <f aca="false">COUNTIFS($A$2:$A$1931,A1372,$C$2:$C$1931,"&gt;"&amp;C1372)+COUNTIFS($A$2:A1372,A1372,$C$2:C1372,C1372)</f>
        <v>1</v>
      </c>
      <c r="E1372" s="59" t="str">
        <f aca="false">A1372&amp;"|"&amp;D1372</f>
        <v>BLR-Seegehalli|1</v>
      </c>
    </row>
    <row r="1373" customFormat="false" ht="15" hidden="false" customHeight="false" outlineLevel="0" collapsed="false">
      <c r="A1373" s="59" t="s">
        <v>88</v>
      </c>
      <c r="B1373" s="59" t="s">
        <v>417</v>
      </c>
      <c r="C1373" s="60" t="n">
        <v>8314.01</v>
      </c>
      <c r="D1373" s="59" t="n">
        <f aca="false">COUNTIFS($A$2:$A$1931,A1373,$C$2:$C$1931,"&gt;"&amp;C1373)+COUNTIFS($A$2:A1373,A1373,$C$2:C1373,C1373)</f>
        <v>2</v>
      </c>
      <c r="E1373" s="59" t="str">
        <f aca="false">A1373&amp;"|"&amp;D1373</f>
        <v>BLR-Seegehalli|2</v>
      </c>
    </row>
    <row r="1374" customFormat="false" ht="15" hidden="false" customHeight="false" outlineLevel="0" collapsed="false">
      <c r="A1374" s="59" t="s">
        <v>88</v>
      </c>
      <c r="B1374" s="59" t="s">
        <v>419</v>
      </c>
      <c r="C1374" s="60" t="n">
        <v>6698.41</v>
      </c>
      <c r="D1374" s="59" t="n">
        <f aca="false">COUNTIFS($A$2:$A$1931,A1374,$C$2:$C$1931,"&gt;"&amp;C1374)+COUNTIFS($A$2:A1374,A1374,$C$2:C1374,C1374)</f>
        <v>3</v>
      </c>
      <c r="E1374" s="59" t="str">
        <f aca="false">A1374&amp;"|"&amp;D1374</f>
        <v>BLR-Seegehalli|3</v>
      </c>
    </row>
    <row r="1375" customFormat="false" ht="15" hidden="false" customHeight="false" outlineLevel="0" collapsed="false">
      <c r="A1375" s="59" t="s">
        <v>88</v>
      </c>
      <c r="B1375" s="59" t="s">
        <v>409</v>
      </c>
      <c r="C1375" s="60" t="n">
        <v>4877.75</v>
      </c>
      <c r="D1375" s="59" t="n">
        <f aca="false">COUNTIFS($A$2:$A$1931,A1375,$C$2:$C$1931,"&gt;"&amp;C1375)+COUNTIFS($A$2:A1375,A1375,$C$2:C1375,C1375)</f>
        <v>4</v>
      </c>
      <c r="E1375" s="59" t="str">
        <f aca="false">A1375&amp;"|"&amp;D1375</f>
        <v>BLR-Seegehalli|4</v>
      </c>
    </row>
    <row r="1376" customFormat="false" ht="15" hidden="false" customHeight="false" outlineLevel="0" collapsed="false">
      <c r="A1376" s="59" t="s">
        <v>88</v>
      </c>
      <c r="B1376" s="59" t="s">
        <v>420</v>
      </c>
      <c r="C1376" s="60" t="n">
        <v>2742.42</v>
      </c>
      <c r="D1376" s="59" t="n">
        <f aca="false">COUNTIFS($A$2:$A$1931,A1376,$C$2:$C$1931,"&gt;"&amp;C1376)+COUNTIFS($A$2:A1376,A1376,$C$2:C1376,C1376)</f>
        <v>5</v>
      </c>
      <c r="E1376" s="59" t="str">
        <f aca="false">A1376&amp;"|"&amp;D1376</f>
        <v>BLR-Seegehalli|5</v>
      </c>
    </row>
    <row r="1377" customFormat="false" ht="15" hidden="false" customHeight="false" outlineLevel="0" collapsed="false">
      <c r="A1377" s="59" t="s">
        <v>88</v>
      </c>
      <c r="B1377" s="59" t="s">
        <v>415</v>
      </c>
      <c r="C1377" s="60" t="n">
        <v>890.11</v>
      </c>
      <c r="D1377" s="59" t="n">
        <f aca="false">COUNTIFS($A$2:$A$1931,A1377,$C$2:$C$1931,"&gt;"&amp;C1377)+COUNTIFS($A$2:A1377,A1377,$C$2:C1377,C1377)</f>
        <v>6</v>
      </c>
      <c r="E1377" s="59" t="str">
        <f aca="false">A1377&amp;"|"&amp;D1377</f>
        <v>BLR-Seegehalli|6</v>
      </c>
    </row>
    <row r="1378" customFormat="false" ht="15" hidden="false" customHeight="false" outlineLevel="0" collapsed="false">
      <c r="A1378" s="59" t="s">
        <v>88</v>
      </c>
      <c r="B1378" s="59" t="s">
        <v>423</v>
      </c>
      <c r="C1378" s="60" t="n">
        <v>753.68</v>
      </c>
      <c r="D1378" s="59" t="n">
        <f aca="false">COUNTIFS($A$2:$A$1931,A1378,$C$2:$C$1931,"&gt;"&amp;C1378)+COUNTIFS($A$2:A1378,A1378,$C$2:C1378,C1378)</f>
        <v>7</v>
      </c>
      <c r="E1378" s="59" t="str">
        <f aca="false">A1378&amp;"|"&amp;D1378</f>
        <v>BLR-Seegehalli|7</v>
      </c>
    </row>
    <row r="1379" customFormat="false" ht="15" hidden="false" customHeight="false" outlineLevel="0" collapsed="false">
      <c r="A1379" s="59" t="s">
        <v>88</v>
      </c>
      <c r="B1379" s="59" t="s">
        <v>410</v>
      </c>
      <c r="C1379" s="60" t="n">
        <v>539.5</v>
      </c>
      <c r="D1379" s="59" t="n">
        <f aca="false">COUNTIFS($A$2:$A$1931,A1379,$C$2:$C$1931,"&gt;"&amp;C1379)+COUNTIFS($A$2:A1379,A1379,$C$2:C1379,C1379)</f>
        <v>8</v>
      </c>
      <c r="E1379" s="59" t="str">
        <f aca="false">A1379&amp;"|"&amp;D1379</f>
        <v>BLR-Seegehalli|8</v>
      </c>
    </row>
    <row r="1380" customFormat="false" ht="15" hidden="false" customHeight="false" outlineLevel="0" collapsed="false">
      <c r="A1380" s="59" t="s">
        <v>88</v>
      </c>
      <c r="B1380" s="59" t="s">
        <v>431</v>
      </c>
      <c r="C1380" s="60" t="n">
        <v>289.85</v>
      </c>
      <c r="D1380" s="59" t="n">
        <f aca="false">COUNTIFS($A$2:$A$1931,A1380,$C$2:$C$1931,"&gt;"&amp;C1380)+COUNTIFS($A$2:A1380,A1380,$C$2:C1380,C1380)</f>
        <v>9</v>
      </c>
      <c r="E1380" s="59" t="str">
        <f aca="false">A1380&amp;"|"&amp;D1380</f>
        <v>BLR-Seegehalli|9</v>
      </c>
    </row>
    <row r="1381" customFormat="false" ht="15" hidden="false" customHeight="false" outlineLevel="0" collapsed="false">
      <c r="A1381" s="59" t="s">
        <v>88</v>
      </c>
      <c r="B1381" s="59" t="s">
        <v>412</v>
      </c>
      <c r="C1381" s="60" t="n">
        <v>279.97</v>
      </c>
      <c r="D1381" s="59" t="n">
        <f aca="false">COUNTIFS($A$2:$A$1931,A1381,$C$2:$C$1931,"&gt;"&amp;C1381)+COUNTIFS($A$2:A1381,A1381,$C$2:C1381,C1381)</f>
        <v>10</v>
      </c>
      <c r="E1381" s="59" t="str">
        <f aca="false">A1381&amp;"|"&amp;D1381</f>
        <v>BLR-Seegehalli|10</v>
      </c>
    </row>
    <row r="1382" customFormat="false" ht="15" hidden="false" customHeight="false" outlineLevel="0" collapsed="false">
      <c r="A1382" s="59" t="s">
        <v>88</v>
      </c>
      <c r="B1382" s="59" t="s">
        <v>413</v>
      </c>
      <c r="C1382" s="60" t="n">
        <v>181.28</v>
      </c>
      <c r="D1382" s="59" t="n">
        <f aca="false">COUNTIFS($A$2:$A$1931,A1382,$C$2:$C$1931,"&gt;"&amp;C1382)+COUNTIFS($A$2:A1382,A1382,$C$2:C1382,C1382)</f>
        <v>11</v>
      </c>
      <c r="E1382" s="59" t="str">
        <f aca="false">A1382&amp;"|"&amp;D1382</f>
        <v>BLR-Seegehalli|11</v>
      </c>
    </row>
    <row r="1383" customFormat="false" ht="15" hidden="false" customHeight="false" outlineLevel="0" collapsed="false">
      <c r="A1383" s="59" t="s">
        <v>23</v>
      </c>
      <c r="B1383" s="59" t="s">
        <v>414</v>
      </c>
      <c r="C1383" s="60" t="n">
        <v>22461.98</v>
      </c>
      <c r="D1383" s="59" t="n">
        <f aca="false">COUNTIFS($A$2:$A$1931,A1383,$C$2:$C$1931,"&gt;"&amp;C1383)+COUNTIFS($A$2:A1383,A1383,$C$2:C1383,C1383)</f>
        <v>1</v>
      </c>
      <c r="E1383" s="59" t="str">
        <f aca="false">A1383&amp;"|"&amp;D1383</f>
        <v>BLR-Shivaji Nagar SS|1</v>
      </c>
    </row>
    <row r="1384" customFormat="false" ht="15" hidden="false" customHeight="false" outlineLevel="0" collapsed="false">
      <c r="A1384" s="59" t="s">
        <v>23</v>
      </c>
      <c r="B1384" s="59" t="s">
        <v>409</v>
      </c>
      <c r="C1384" s="60" t="n">
        <v>14531.76</v>
      </c>
      <c r="D1384" s="59" t="n">
        <f aca="false">COUNTIFS($A$2:$A$1931,A1384,$C$2:$C$1931,"&gt;"&amp;C1384)+COUNTIFS($A$2:A1384,A1384,$C$2:C1384,C1384)</f>
        <v>2</v>
      </c>
      <c r="E1384" s="59" t="str">
        <f aca="false">A1384&amp;"|"&amp;D1384</f>
        <v>BLR-Shivaji Nagar SS|2</v>
      </c>
    </row>
    <row r="1385" customFormat="false" ht="15" hidden="false" customHeight="false" outlineLevel="0" collapsed="false">
      <c r="A1385" s="59" t="s">
        <v>23</v>
      </c>
      <c r="B1385" s="59" t="s">
        <v>408</v>
      </c>
      <c r="C1385" s="60" t="n">
        <v>6663.72</v>
      </c>
      <c r="D1385" s="59" t="n">
        <f aca="false">COUNTIFS($A$2:$A$1931,A1385,$C$2:$C$1931,"&gt;"&amp;C1385)+COUNTIFS($A$2:A1385,A1385,$C$2:C1385,C1385)</f>
        <v>3</v>
      </c>
      <c r="E1385" s="59" t="str">
        <f aca="false">A1385&amp;"|"&amp;D1385</f>
        <v>BLR-Shivaji Nagar SS|3</v>
      </c>
    </row>
    <row r="1386" customFormat="false" ht="15" hidden="false" customHeight="false" outlineLevel="0" collapsed="false">
      <c r="A1386" s="59" t="s">
        <v>23</v>
      </c>
      <c r="B1386" s="59" t="s">
        <v>407</v>
      </c>
      <c r="C1386" s="60" t="n">
        <v>5528.88</v>
      </c>
      <c r="D1386" s="59" t="n">
        <f aca="false">COUNTIFS($A$2:$A$1931,A1386,$C$2:$C$1931,"&gt;"&amp;C1386)+COUNTIFS($A$2:A1386,A1386,$C$2:C1386,C1386)</f>
        <v>4</v>
      </c>
      <c r="E1386" s="59" t="str">
        <f aca="false">A1386&amp;"|"&amp;D1386</f>
        <v>BLR-Shivaji Nagar SS|4</v>
      </c>
    </row>
    <row r="1387" customFormat="false" ht="15" hidden="false" customHeight="false" outlineLevel="0" collapsed="false">
      <c r="A1387" s="59" t="s">
        <v>23</v>
      </c>
      <c r="B1387" s="59" t="s">
        <v>429</v>
      </c>
      <c r="C1387" s="60" t="n">
        <v>5141.68</v>
      </c>
      <c r="D1387" s="59" t="n">
        <f aca="false">COUNTIFS($A$2:$A$1931,A1387,$C$2:$C$1931,"&gt;"&amp;C1387)+COUNTIFS($A$2:A1387,A1387,$C$2:C1387,C1387)</f>
        <v>5</v>
      </c>
      <c r="E1387" s="59" t="str">
        <f aca="false">A1387&amp;"|"&amp;D1387</f>
        <v>BLR-Shivaji Nagar SS|5</v>
      </c>
    </row>
    <row r="1388" customFormat="false" ht="15" hidden="false" customHeight="false" outlineLevel="0" collapsed="false">
      <c r="A1388" s="59" t="s">
        <v>23</v>
      </c>
      <c r="B1388" s="59" t="s">
        <v>419</v>
      </c>
      <c r="C1388" s="60" t="n">
        <v>4755.34</v>
      </c>
      <c r="D1388" s="59" t="n">
        <f aca="false">COUNTIFS($A$2:$A$1931,A1388,$C$2:$C$1931,"&gt;"&amp;C1388)+COUNTIFS($A$2:A1388,A1388,$C$2:C1388,C1388)</f>
        <v>6</v>
      </c>
      <c r="E1388" s="59" t="str">
        <f aca="false">A1388&amp;"|"&amp;D1388</f>
        <v>BLR-Shivaji Nagar SS|6</v>
      </c>
    </row>
    <row r="1389" customFormat="false" ht="15" hidden="false" customHeight="false" outlineLevel="0" collapsed="false">
      <c r="A1389" s="59" t="s">
        <v>23</v>
      </c>
      <c r="B1389" s="59" t="s">
        <v>420</v>
      </c>
      <c r="C1389" s="60" t="n">
        <v>4466.48</v>
      </c>
      <c r="D1389" s="59" t="n">
        <f aca="false">COUNTIFS($A$2:$A$1931,A1389,$C$2:$C$1931,"&gt;"&amp;C1389)+COUNTIFS($A$2:A1389,A1389,$C$2:C1389,C1389)</f>
        <v>7</v>
      </c>
      <c r="E1389" s="59" t="str">
        <f aca="false">A1389&amp;"|"&amp;D1389</f>
        <v>BLR-Shivaji Nagar SS|7</v>
      </c>
    </row>
    <row r="1390" customFormat="false" ht="15" hidden="false" customHeight="false" outlineLevel="0" collapsed="false">
      <c r="A1390" s="59" t="s">
        <v>23</v>
      </c>
      <c r="B1390" s="59" t="s">
        <v>415</v>
      </c>
      <c r="C1390" s="60" t="n">
        <v>4103.91</v>
      </c>
      <c r="D1390" s="59" t="n">
        <f aca="false">COUNTIFS($A$2:$A$1931,A1390,$C$2:$C$1931,"&gt;"&amp;C1390)+COUNTIFS($A$2:A1390,A1390,$C$2:C1390,C1390)</f>
        <v>8</v>
      </c>
      <c r="E1390" s="59" t="str">
        <f aca="false">A1390&amp;"|"&amp;D1390</f>
        <v>BLR-Shivaji Nagar SS|8</v>
      </c>
    </row>
    <row r="1391" customFormat="false" ht="15" hidden="false" customHeight="false" outlineLevel="0" collapsed="false">
      <c r="A1391" s="59" t="s">
        <v>23</v>
      </c>
      <c r="B1391" s="59" t="s">
        <v>411</v>
      </c>
      <c r="C1391" s="60" t="n">
        <v>3184.54</v>
      </c>
      <c r="D1391" s="59" t="n">
        <f aca="false">COUNTIFS($A$2:$A$1931,A1391,$C$2:$C$1931,"&gt;"&amp;C1391)+COUNTIFS($A$2:A1391,A1391,$C$2:C1391,C1391)</f>
        <v>9</v>
      </c>
      <c r="E1391" s="59" t="str">
        <f aca="false">A1391&amp;"|"&amp;D1391</f>
        <v>BLR-Shivaji Nagar SS|9</v>
      </c>
    </row>
    <row r="1392" customFormat="false" ht="15" hidden="false" customHeight="false" outlineLevel="0" collapsed="false">
      <c r="A1392" s="59" t="s">
        <v>23</v>
      </c>
      <c r="B1392" s="59" t="s">
        <v>413</v>
      </c>
      <c r="C1392" s="60" t="n">
        <v>2887</v>
      </c>
      <c r="D1392" s="59" t="n">
        <f aca="false">COUNTIFS($A$2:$A$1931,A1392,$C$2:$C$1931,"&gt;"&amp;C1392)+COUNTIFS($A$2:A1392,A1392,$C$2:C1392,C1392)</f>
        <v>10</v>
      </c>
      <c r="E1392" s="59" t="str">
        <f aca="false">A1392&amp;"|"&amp;D1392</f>
        <v>BLR-Shivaji Nagar SS|10</v>
      </c>
    </row>
    <row r="1393" customFormat="false" ht="15" hidden="false" customHeight="false" outlineLevel="0" collapsed="false">
      <c r="A1393" s="59" t="s">
        <v>23</v>
      </c>
      <c r="B1393" s="59" t="s">
        <v>435</v>
      </c>
      <c r="C1393" s="60" t="n">
        <v>2769.58</v>
      </c>
      <c r="D1393" s="59" t="n">
        <f aca="false">COUNTIFS($A$2:$A$1931,A1393,$C$2:$C$1931,"&gt;"&amp;C1393)+COUNTIFS($A$2:A1393,A1393,$C$2:C1393,C1393)</f>
        <v>11</v>
      </c>
      <c r="E1393" s="59" t="str">
        <f aca="false">A1393&amp;"|"&amp;D1393</f>
        <v>BLR-Shivaji Nagar SS|11</v>
      </c>
    </row>
    <row r="1394" customFormat="false" ht="15" hidden="false" customHeight="false" outlineLevel="0" collapsed="false">
      <c r="A1394" s="59" t="s">
        <v>23</v>
      </c>
      <c r="B1394" s="59" t="s">
        <v>427</v>
      </c>
      <c r="C1394" s="60" t="n">
        <v>2431.32</v>
      </c>
      <c r="D1394" s="59" t="n">
        <f aca="false">COUNTIFS($A$2:$A$1931,A1394,$C$2:$C$1931,"&gt;"&amp;C1394)+COUNTIFS($A$2:A1394,A1394,$C$2:C1394,C1394)</f>
        <v>12</v>
      </c>
      <c r="E1394" s="59" t="str">
        <f aca="false">A1394&amp;"|"&amp;D1394</f>
        <v>BLR-Shivaji Nagar SS|12</v>
      </c>
    </row>
    <row r="1395" customFormat="false" ht="15" hidden="false" customHeight="false" outlineLevel="0" collapsed="false">
      <c r="A1395" s="59" t="s">
        <v>23</v>
      </c>
      <c r="B1395" s="59" t="s">
        <v>426</v>
      </c>
      <c r="C1395" s="60" t="n">
        <v>2094.63</v>
      </c>
      <c r="D1395" s="59" t="n">
        <f aca="false">COUNTIFS($A$2:$A$1931,A1395,$C$2:$C$1931,"&gt;"&amp;C1395)+COUNTIFS($A$2:A1395,A1395,$C$2:C1395,C1395)</f>
        <v>13</v>
      </c>
      <c r="E1395" s="59" t="str">
        <f aca="false">A1395&amp;"|"&amp;D1395</f>
        <v>BLR-Shivaji Nagar SS|13</v>
      </c>
    </row>
    <row r="1396" customFormat="false" ht="15" hidden="false" customHeight="false" outlineLevel="0" collapsed="false">
      <c r="A1396" s="59" t="s">
        <v>23</v>
      </c>
      <c r="B1396" s="59" t="s">
        <v>428</v>
      </c>
      <c r="C1396" s="60" t="n">
        <v>2002.01</v>
      </c>
      <c r="D1396" s="59" t="n">
        <f aca="false">COUNTIFS($A$2:$A$1931,A1396,$C$2:$C$1931,"&gt;"&amp;C1396)+COUNTIFS($A$2:A1396,A1396,$C$2:C1396,C1396)</f>
        <v>14</v>
      </c>
      <c r="E1396" s="59" t="str">
        <f aca="false">A1396&amp;"|"&amp;D1396</f>
        <v>BLR-Shivaji Nagar SS|14</v>
      </c>
    </row>
    <row r="1397" customFormat="false" ht="15" hidden="false" customHeight="false" outlineLevel="0" collapsed="false">
      <c r="A1397" s="59" t="s">
        <v>23</v>
      </c>
      <c r="B1397" s="59" t="s">
        <v>416</v>
      </c>
      <c r="C1397" s="60" t="n">
        <v>1986.96</v>
      </c>
      <c r="D1397" s="59" t="n">
        <f aca="false">COUNTIFS($A$2:$A$1931,A1397,$C$2:$C$1931,"&gt;"&amp;C1397)+COUNTIFS($A$2:A1397,A1397,$C$2:C1397,C1397)</f>
        <v>15</v>
      </c>
      <c r="E1397" s="59" t="str">
        <f aca="false">A1397&amp;"|"&amp;D1397</f>
        <v>BLR-Shivaji Nagar SS|15</v>
      </c>
    </row>
    <row r="1398" customFormat="false" ht="15" hidden="false" customHeight="false" outlineLevel="0" collapsed="false">
      <c r="A1398" s="59" t="s">
        <v>23</v>
      </c>
      <c r="B1398" s="59" t="s">
        <v>430</v>
      </c>
      <c r="C1398" s="60" t="n">
        <v>1344.16</v>
      </c>
      <c r="D1398" s="59" t="n">
        <f aca="false">COUNTIFS($A$2:$A$1931,A1398,$C$2:$C$1931,"&gt;"&amp;C1398)+COUNTIFS($A$2:A1398,A1398,$C$2:C1398,C1398)</f>
        <v>16</v>
      </c>
      <c r="E1398" s="59" t="str">
        <f aca="false">A1398&amp;"|"&amp;D1398</f>
        <v>BLR-Shivaji Nagar SS|16</v>
      </c>
    </row>
    <row r="1399" customFormat="false" ht="15" hidden="false" customHeight="false" outlineLevel="0" collapsed="false">
      <c r="A1399" s="59" t="s">
        <v>23</v>
      </c>
      <c r="B1399" s="59" t="s">
        <v>421</v>
      </c>
      <c r="C1399" s="60" t="n">
        <v>1210.01</v>
      </c>
      <c r="D1399" s="59" t="n">
        <f aca="false">COUNTIFS($A$2:$A$1931,A1399,$C$2:$C$1931,"&gt;"&amp;C1399)+COUNTIFS($A$2:A1399,A1399,$C$2:C1399,C1399)</f>
        <v>17</v>
      </c>
      <c r="E1399" s="59" t="str">
        <f aca="false">A1399&amp;"|"&amp;D1399</f>
        <v>BLR-Shivaji Nagar SS|17</v>
      </c>
    </row>
    <row r="1400" customFormat="false" ht="15" hidden="false" customHeight="false" outlineLevel="0" collapsed="false">
      <c r="A1400" s="59" t="s">
        <v>23</v>
      </c>
      <c r="B1400" s="59" t="s">
        <v>418</v>
      </c>
      <c r="C1400" s="60" t="n">
        <v>1048.8</v>
      </c>
      <c r="D1400" s="59" t="n">
        <f aca="false">COUNTIFS($A$2:$A$1931,A1400,$C$2:$C$1931,"&gt;"&amp;C1400)+COUNTIFS($A$2:A1400,A1400,$C$2:C1400,C1400)</f>
        <v>18</v>
      </c>
      <c r="E1400" s="59" t="str">
        <f aca="false">A1400&amp;"|"&amp;D1400</f>
        <v>BLR-Shivaji Nagar SS|18</v>
      </c>
    </row>
    <row r="1401" customFormat="false" ht="15" hidden="false" customHeight="false" outlineLevel="0" collapsed="false">
      <c r="A1401" s="59" t="s">
        <v>23</v>
      </c>
      <c r="B1401" s="59" t="s">
        <v>410</v>
      </c>
      <c r="C1401" s="60" t="n">
        <v>909.62</v>
      </c>
      <c r="D1401" s="59" t="n">
        <f aca="false">COUNTIFS($A$2:$A$1931,A1401,$C$2:$C$1931,"&gt;"&amp;C1401)+COUNTIFS($A$2:A1401,A1401,$C$2:C1401,C1401)</f>
        <v>19</v>
      </c>
      <c r="E1401" s="59" t="str">
        <f aca="false">A1401&amp;"|"&amp;D1401</f>
        <v>BLR-Shivaji Nagar SS|19</v>
      </c>
    </row>
    <row r="1402" customFormat="false" ht="15" hidden="false" customHeight="false" outlineLevel="0" collapsed="false">
      <c r="A1402" s="59" t="s">
        <v>23</v>
      </c>
      <c r="B1402" s="59" t="s">
        <v>424</v>
      </c>
      <c r="C1402" s="60" t="n">
        <v>603.48</v>
      </c>
      <c r="D1402" s="59" t="n">
        <f aca="false">COUNTIFS($A$2:$A$1931,A1402,$C$2:$C$1931,"&gt;"&amp;C1402)+COUNTIFS($A$2:A1402,A1402,$C$2:C1402,C1402)</f>
        <v>20</v>
      </c>
      <c r="E1402" s="59" t="str">
        <f aca="false">A1402&amp;"|"&amp;D1402</f>
        <v>BLR-Shivaji Nagar SS|20</v>
      </c>
    </row>
    <row r="1403" customFormat="false" ht="15" hidden="false" customHeight="false" outlineLevel="0" collapsed="false">
      <c r="A1403" s="59" t="s">
        <v>23</v>
      </c>
      <c r="B1403" s="59" t="s">
        <v>434</v>
      </c>
      <c r="C1403" s="60" t="n">
        <v>547.21</v>
      </c>
      <c r="D1403" s="59" t="n">
        <f aca="false">COUNTIFS($A$2:$A$1931,A1403,$C$2:$C$1931,"&gt;"&amp;C1403)+COUNTIFS($A$2:A1403,A1403,$C$2:C1403,C1403)</f>
        <v>21</v>
      </c>
      <c r="E1403" s="59" t="str">
        <f aca="false">A1403&amp;"|"&amp;D1403</f>
        <v>BLR-Shivaji Nagar SS|21</v>
      </c>
    </row>
    <row r="1404" customFormat="false" ht="15" hidden="false" customHeight="false" outlineLevel="0" collapsed="false">
      <c r="A1404" s="59" t="s">
        <v>23</v>
      </c>
      <c r="B1404" s="59" t="s">
        <v>437</v>
      </c>
      <c r="C1404" s="60" t="n">
        <v>286.08</v>
      </c>
      <c r="D1404" s="59" t="n">
        <f aca="false">COUNTIFS($A$2:$A$1931,A1404,$C$2:$C$1931,"&gt;"&amp;C1404)+COUNTIFS($A$2:A1404,A1404,$C$2:C1404,C1404)</f>
        <v>22</v>
      </c>
      <c r="E1404" s="59" t="str">
        <f aca="false">A1404&amp;"|"&amp;D1404</f>
        <v>BLR-Shivaji Nagar SS|22</v>
      </c>
    </row>
    <row r="1405" customFormat="false" ht="15" hidden="false" customHeight="false" outlineLevel="0" collapsed="false">
      <c r="A1405" s="59" t="s">
        <v>23</v>
      </c>
      <c r="B1405" s="59" t="s">
        <v>425</v>
      </c>
      <c r="C1405" s="60" t="n">
        <v>274.98</v>
      </c>
      <c r="D1405" s="59" t="n">
        <f aca="false">COUNTIFS($A$2:$A$1931,A1405,$C$2:$C$1931,"&gt;"&amp;C1405)+COUNTIFS($A$2:A1405,A1405,$C$2:C1405,C1405)</f>
        <v>23</v>
      </c>
      <c r="E1405" s="59" t="str">
        <f aca="false">A1405&amp;"|"&amp;D1405</f>
        <v>BLR-Shivaji Nagar SS|23</v>
      </c>
    </row>
    <row r="1406" customFormat="false" ht="15" hidden="false" customHeight="false" outlineLevel="0" collapsed="false">
      <c r="A1406" s="59" t="s">
        <v>23</v>
      </c>
      <c r="B1406" s="59" t="s">
        <v>412</v>
      </c>
      <c r="C1406" s="60" t="n">
        <v>180.79</v>
      </c>
      <c r="D1406" s="59" t="n">
        <f aca="false">COUNTIFS($A$2:$A$1931,A1406,$C$2:$C$1931,"&gt;"&amp;C1406)+COUNTIFS($A$2:A1406,A1406,$C$2:C1406,C1406)</f>
        <v>24</v>
      </c>
      <c r="E1406" s="59" t="str">
        <f aca="false">A1406&amp;"|"&amp;D1406</f>
        <v>BLR-Shivaji Nagar SS|24</v>
      </c>
    </row>
    <row r="1407" customFormat="false" ht="15" hidden="false" customHeight="false" outlineLevel="0" collapsed="false">
      <c r="A1407" s="59" t="s">
        <v>23</v>
      </c>
      <c r="B1407" s="59" t="s">
        <v>442</v>
      </c>
      <c r="C1407" s="60" t="n">
        <v>176.25</v>
      </c>
      <c r="D1407" s="59" t="n">
        <f aca="false">COUNTIFS($A$2:$A$1931,A1407,$C$2:$C$1931,"&gt;"&amp;C1407)+COUNTIFS($A$2:A1407,A1407,$C$2:C1407,C1407)</f>
        <v>25</v>
      </c>
      <c r="E1407" s="59" t="str">
        <f aca="false">A1407&amp;"|"&amp;D1407</f>
        <v>BLR-Shivaji Nagar SS|25</v>
      </c>
    </row>
    <row r="1408" customFormat="false" ht="15" hidden="false" customHeight="false" outlineLevel="0" collapsed="false">
      <c r="A1408" s="59" t="s">
        <v>23</v>
      </c>
      <c r="B1408" s="59" t="s">
        <v>444</v>
      </c>
      <c r="C1408" s="60" t="n">
        <v>60.23</v>
      </c>
      <c r="D1408" s="59" t="n">
        <f aca="false">COUNTIFS($A$2:$A$1931,A1408,$C$2:$C$1931,"&gt;"&amp;C1408)+COUNTIFS($A$2:A1408,A1408,$C$2:C1408,C1408)</f>
        <v>26</v>
      </c>
      <c r="E1408" s="59" t="str">
        <f aca="false">A1408&amp;"|"&amp;D1408</f>
        <v>BLR-Shivaji Nagar SS|26</v>
      </c>
    </row>
    <row r="1409" customFormat="false" ht="15" hidden="false" customHeight="false" outlineLevel="0" collapsed="false">
      <c r="A1409" s="59" t="s">
        <v>108</v>
      </c>
      <c r="B1409" s="59" t="s">
        <v>419</v>
      </c>
      <c r="C1409" s="60" t="n">
        <v>9470.76</v>
      </c>
      <c r="D1409" s="59" t="n">
        <f aca="false">COUNTIFS($A$2:$A$1931,A1409,$C$2:$C$1931,"&gt;"&amp;C1409)+COUNTIFS($A$2:A1409,A1409,$C$2:C1409,C1409)</f>
        <v>1</v>
      </c>
      <c r="E1409" s="59" t="str">
        <f aca="false">A1409&amp;"|"&amp;D1409</f>
        <v>BLR-Shivaji nagar New|1</v>
      </c>
    </row>
    <row r="1410" customFormat="false" ht="15" hidden="false" customHeight="false" outlineLevel="0" collapsed="false">
      <c r="A1410" s="59" t="s">
        <v>108</v>
      </c>
      <c r="B1410" s="59" t="s">
        <v>426</v>
      </c>
      <c r="C1410" s="60" t="n">
        <v>7927.57</v>
      </c>
      <c r="D1410" s="59" t="n">
        <f aca="false">COUNTIFS($A$2:$A$1931,A1410,$C$2:$C$1931,"&gt;"&amp;C1410)+COUNTIFS($A$2:A1410,A1410,$C$2:C1410,C1410)</f>
        <v>2</v>
      </c>
      <c r="E1410" s="59" t="str">
        <f aca="false">A1410&amp;"|"&amp;D1410</f>
        <v>BLR-Shivaji nagar New|2</v>
      </c>
    </row>
    <row r="1411" customFormat="false" ht="15" hidden="false" customHeight="false" outlineLevel="0" collapsed="false">
      <c r="A1411" s="59" t="s">
        <v>108</v>
      </c>
      <c r="B1411" s="59" t="s">
        <v>418</v>
      </c>
      <c r="C1411" s="60" t="n">
        <v>3420.18</v>
      </c>
      <c r="D1411" s="59" t="n">
        <f aca="false">COUNTIFS($A$2:$A$1931,A1411,$C$2:$C$1931,"&gt;"&amp;C1411)+COUNTIFS($A$2:A1411,A1411,$C$2:C1411,C1411)</f>
        <v>3</v>
      </c>
      <c r="E1411" s="59" t="str">
        <f aca="false">A1411&amp;"|"&amp;D1411</f>
        <v>BLR-Shivaji nagar New|3</v>
      </c>
    </row>
    <row r="1412" customFormat="false" ht="15" hidden="false" customHeight="false" outlineLevel="0" collapsed="false">
      <c r="A1412" s="59" t="s">
        <v>108</v>
      </c>
      <c r="B1412" s="59" t="s">
        <v>416</v>
      </c>
      <c r="C1412" s="60" t="n">
        <v>3069.34</v>
      </c>
      <c r="D1412" s="59" t="n">
        <f aca="false">COUNTIFS($A$2:$A$1931,A1412,$C$2:$C$1931,"&gt;"&amp;C1412)+COUNTIFS($A$2:A1412,A1412,$C$2:C1412,C1412)</f>
        <v>4</v>
      </c>
      <c r="E1412" s="59" t="str">
        <f aca="false">A1412&amp;"|"&amp;D1412</f>
        <v>BLR-Shivaji nagar New|4</v>
      </c>
    </row>
    <row r="1413" customFormat="false" ht="15" hidden="false" customHeight="false" outlineLevel="0" collapsed="false">
      <c r="A1413" s="59" t="s">
        <v>108</v>
      </c>
      <c r="B1413" s="59" t="s">
        <v>415</v>
      </c>
      <c r="C1413" s="60" t="n">
        <v>2358.7</v>
      </c>
      <c r="D1413" s="59" t="n">
        <f aca="false">COUNTIFS($A$2:$A$1931,A1413,$C$2:$C$1931,"&gt;"&amp;C1413)+COUNTIFS($A$2:A1413,A1413,$C$2:C1413,C1413)</f>
        <v>5</v>
      </c>
      <c r="E1413" s="59" t="str">
        <f aca="false">A1413&amp;"|"&amp;D1413</f>
        <v>BLR-Shivaji nagar New|5</v>
      </c>
    </row>
    <row r="1414" customFormat="false" ht="15" hidden="false" customHeight="false" outlineLevel="0" collapsed="false">
      <c r="A1414" s="59" t="s">
        <v>108</v>
      </c>
      <c r="B1414" s="59" t="s">
        <v>410</v>
      </c>
      <c r="C1414" s="60" t="n">
        <v>730.85</v>
      </c>
      <c r="D1414" s="59" t="n">
        <f aca="false">COUNTIFS($A$2:$A$1931,A1414,$C$2:$C$1931,"&gt;"&amp;C1414)+COUNTIFS($A$2:A1414,A1414,$C$2:C1414,C1414)</f>
        <v>6</v>
      </c>
      <c r="E1414" s="59" t="str">
        <f aca="false">A1414&amp;"|"&amp;D1414</f>
        <v>BLR-Shivaji nagar New|6</v>
      </c>
    </row>
    <row r="1415" customFormat="false" ht="15" hidden="false" customHeight="false" outlineLevel="0" collapsed="false">
      <c r="A1415" s="59" t="s">
        <v>108</v>
      </c>
      <c r="B1415" s="59" t="s">
        <v>423</v>
      </c>
      <c r="C1415" s="60" t="n">
        <v>49.65</v>
      </c>
      <c r="D1415" s="59" t="n">
        <f aca="false">COUNTIFS($A$2:$A$1931,A1415,$C$2:$C$1931,"&gt;"&amp;C1415)+COUNTIFS($A$2:A1415,A1415,$C$2:C1415,C1415)</f>
        <v>7</v>
      </c>
      <c r="E1415" s="59" t="str">
        <f aca="false">A1415&amp;"|"&amp;D1415</f>
        <v>BLR-Shivaji nagar New|7</v>
      </c>
    </row>
    <row r="1416" customFormat="false" ht="15" hidden="false" customHeight="false" outlineLevel="0" collapsed="false">
      <c r="A1416" s="59" t="s">
        <v>37</v>
      </c>
      <c r="B1416" s="59" t="s">
        <v>410</v>
      </c>
      <c r="C1416" s="60" t="n">
        <v>20556.11</v>
      </c>
      <c r="D1416" s="59" t="n">
        <f aca="false">COUNTIFS($A$2:$A$1931,A1416,$C$2:$C$1931,"&gt;"&amp;C1416)+COUNTIFS($A$2:A1416,A1416,$C$2:C1416,C1416)</f>
        <v>1</v>
      </c>
      <c r="E1416" s="59" t="str">
        <f aca="false">A1416&amp;"|"&amp;D1416</f>
        <v>BLR-Siddapura|1</v>
      </c>
    </row>
    <row r="1417" customFormat="false" ht="15" hidden="false" customHeight="false" outlineLevel="0" collapsed="false">
      <c r="A1417" s="59" t="s">
        <v>37</v>
      </c>
      <c r="B1417" s="59" t="s">
        <v>413</v>
      </c>
      <c r="C1417" s="60" t="n">
        <v>15782.52</v>
      </c>
      <c r="D1417" s="59" t="n">
        <f aca="false">COUNTIFS($A$2:$A$1931,A1417,$C$2:$C$1931,"&gt;"&amp;C1417)+COUNTIFS($A$2:A1417,A1417,$C$2:C1417,C1417)</f>
        <v>2</v>
      </c>
      <c r="E1417" s="59" t="str">
        <f aca="false">A1417&amp;"|"&amp;D1417</f>
        <v>BLR-Siddapura|2</v>
      </c>
    </row>
    <row r="1418" customFormat="false" ht="15" hidden="false" customHeight="false" outlineLevel="0" collapsed="false">
      <c r="A1418" s="59" t="s">
        <v>37</v>
      </c>
      <c r="B1418" s="59" t="s">
        <v>407</v>
      </c>
      <c r="C1418" s="60" t="n">
        <v>14895.78</v>
      </c>
      <c r="D1418" s="59" t="n">
        <f aca="false">COUNTIFS($A$2:$A$1931,A1418,$C$2:$C$1931,"&gt;"&amp;C1418)+COUNTIFS($A$2:A1418,A1418,$C$2:C1418,C1418)</f>
        <v>3</v>
      </c>
      <c r="E1418" s="59" t="str">
        <f aca="false">A1418&amp;"|"&amp;D1418</f>
        <v>BLR-Siddapura|3</v>
      </c>
    </row>
    <row r="1419" customFormat="false" ht="15" hidden="false" customHeight="false" outlineLevel="0" collapsed="false">
      <c r="A1419" s="59" t="s">
        <v>37</v>
      </c>
      <c r="B1419" s="59" t="s">
        <v>415</v>
      </c>
      <c r="C1419" s="60" t="n">
        <v>4258.02</v>
      </c>
      <c r="D1419" s="59" t="n">
        <f aca="false">COUNTIFS($A$2:$A$1931,A1419,$C$2:$C$1931,"&gt;"&amp;C1419)+COUNTIFS($A$2:A1419,A1419,$C$2:C1419,C1419)</f>
        <v>4</v>
      </c>
      <c r="E1419" s="59" t="str">
        <f aca="false">A1419&amp;"|"&amp;D1419</f>
        <v>BLR-Siddapura|4</v>
      </c>
    </row>
    <row r="1420" customFormat="false" ht="15" hidden="false" customHeight="false" outlineLevel="0" collapsed="false">
      <c r="A1420" s="59" t="s">
        <v>37</v>
      </c>
      <c r="B1420" s="59" t="s">
        <v>418</v>
      </c>
      <c r="C1420" s="60" t="n">
        <v>4015.84</v>
      </c>
      <c r="D1420" s="59" t="n">
        <f aca="false">COUNTIFS($A$2:$A$1931,A1420,$C$2:$C$1931,"&gt;"&amp;C1420)+COUNTIFS($A$2:A1420,A1420,$C$2:C1420,C1420)</f>
        <v>5</v>
      </c>
      <c r="E1420" s="59" t="str">
        <f aca="false">A1420&amp;"|"&amp;D1420</f>
        <v>BLR-Siddapura|5</v>
      </c>
    </row>
    <row r="1421" customFormat="false" ht="15" hidden="false" customHeight="false" outlineLevel="0" collapsed="false">
      <c r="A1421" s="59" t="s">
        <v>37</v>
      </c>
      <c r="B1421" s="59" t="s">
        <v>408</v>
      </c>
      <c r="C1421" s="60" t="n">
        <v>3486.13</v>
      </c>
      <c r="D1421" s="59" t="n">
        <f aca="false">COUNTIFS($A$2:$A$1931,A1421,$C$2:$C$1931,"&gt;"&amp;C1421)+COUNTIFS($A$2:A1421,A1421,$C$2:C1421,C1421)</f>
        <v>6</v>
      </c>
      <c r="E1421" s="59" t="str">
        <f aca="false">A1421&amp;"|"&amp;D1421</f>
        <v>BLR-Siddapura|6</v>
      </c>
    </row>
    <row r="1422" customFormat="false" ht="15" hidden="false" customHeight="false" outlineLevel="0" collapsed="false">
      <c r="A1422" s="59" t="s">
        <v>37</v>
      </c>
      <c r="B1422" s="59" t="s">
        <v>416</v>
      </c>
      <c r="C1422" s="60" t="n">
        <v>3367.14</v>
      </c>
      <c r="D1422" s="59" t="n">
        <f aca="false">COUNTIFS($A$2:$A$1931,A1422,$C$2:$C$1931,"&gt;"&amp;C1422)+COUNTIFS($A$2:A1422,A1422,$C$2:C1422,C1422)</f>
        <v>7</v>
      </c>
      <c r="E1422" s="59" t="str">
        <f aca="false">A1422&amp;"|"&amp;D1422</f>
        <v>BLR-Siddapura|7</v>
      </c>
    </row>
    <row r="1423" customFormat="false" ht="15" hidden="false" customHeight="false" outlineLevel="0" collapsed="false">
      <c r="A1423" s="59" t="s">
        <v>37</v>
      </c>
      <c r="B1423" s="59" t="s">
        <v>409</v>
      </c>
      <c r="C1423" s="60" t="n">
        <v>1450.4</v>
      </c>
      <c r="D1423" s="59" t="n">
        <f aca="false">COUNTIFS($A$2:$A$1931,A1423,$C$2:$C$1931,"&gt;"&amp;C1423)+COUNTIFS($A$2:A1423,A1423,$C$2:C1423,C1423)</f>
        <v>8</v>
      </c>
      <c r="E1423" s="59" t="str">
        <f aca="false">A1423&amp;"|"&amp;D1423</f>
        <v>BLR-Siddapura|8</v>
      </c>
    </row>
    <row r="1424" customFormat="false" ht="15" hidden="false" customHeight="false" outlineLevel="0" collapsed="false">
      <c r="A1424" s="59" t="s">
        <v>37</v>
      </c>
      <c r="B1424" s="59" t="s">
        <v>426</v>
      </c>
      <c r="C1424" s="60" t="n">
        <v>400.78</v>
      </c>
      <c r="D1424" s="59" t="n">
        <f aca="false">COUNTIFS($A$2:$A$1931,A1424,$C$2:$C$1931,"&gt;"&amp;C1424)+COUNTIFS($A$2:A1424,A1424,$C$2:C1424,C1424)</f>
        <v>9</v>
      </c>
      <c r="E1424" s="59" t="str">
        <f aca="false">A1424&amp;"|"&amp;D1424</f>
        <v>BLR-Siddapura|9</v>
      </c>
    </row>
    <row r="1425" customFormat="false" ht="15" hidden="false" customHeight="false" outlineLevel="0" collapsed="false">
      <c r="A1425" s="59" t="s">
        <v>37</v>
      </c>
      <c r="B1425" s="59" t="s">
        <v>419</v>
      </c>
      <c r="C1425" s="60" t="n">
        <v>369.08</v>
      </c>
      <c r="D1425" s="59" t="n">
        <f aca="false">COUNTIFS($A$2:$A$1931,A1425,$C$2:$C$1931,"&gt;"&amp;C1425)+COUNTIFS($A$2:A1425,A1425,$C$2:C1425,C1425)</f>
        <v>10</v>
      </c>
      <c r="E1425" s="59" t="str">
        <f aca="false">A1425&amp;"|"&amp;D1425</f>
        <v>BLR-Siddapura|10</v>
      </c>
    </row>
    <row r="1426" customFormat="false" ht="15" hidden="false" customHeight="false" outlineLevel="0" collapsed="false">
      <c r="A1426" s="59" t="s">
        <v>37</v>
      </c>
      <c r="B1426" s="59" t="s">
        <v>423</v>
      </c>
      <c r="C1426" s="60" t="n">
        <v>75.08</v>
      </c>
      <c r="D1426" s="59" t="n">
        <f aca="false">COUNTIFS($A$2:$A$1931,A1426,$C$2:$C$1931,"&gt;"&amp;C1426)+COUNTIFS($A$2:A1426,A1426,$C$2:C1426,C1426)</f>
        <v>11</v>
      </c>
      <c r="E1426" s="59" t="str">
        <f aca="false">A1426&amp;"|"&amp;D1426</f>
        <v>BLR-Siddapura|11</v>
      </c>
    </row>
    <row r="1427" customFormat="false" ht="15" hidden="false" customHeight="false" outlineLevel="0" collapsed="false">
      <c r="A1427" s="59" t="s">
        <v>37</v>
      </c>
      <c r="B1427" s="59" t="s">
        <v>440</v>
      </c>
      <c r="C1427" s="60" t="n">
        <v>15</v>
      </c>
      <c r="D1427" s="59" t="n">
        <f aca="false">COUNTIFS($A$2:$A$1931,A1427,$C$2:$C$1931,"&gt;"&amp;C1427)+COUNTIFS($A$2:A1427,A1427,$C$2:C1427,C1427)</f>
        <v>12</v>
      </c>
      <c r="E1427" s="59" t="str">
        <f aca="false">A1427&amp;"|"&amp;D1427</f>
        <v>BLR-Siddapura|12</v>
      </c>
    </row>
    <row r="1428" customFormat="false" ht="15" hidden="false" customHeight="false" outlineLevel="0" collapsed="false">
      <c r="A1428" s="59" t="s">
        <v>37</v>
      </c>
      <c r="B1428" s="59" t="s">
        <v>414</v>
      </c>
      <c r="C1428" s="60" t="n">
        <v>0.28</v>
      </c>
      <c r="D1428" s="59" t="n">
        <f aca="false">COUNTIFS($A$2:$A$1931,A1428,$C$2:$C$1931,"&gt;"&amp;C1428)+COUNTIFS($A$2:A1428,A1428,$C$2:C1428,C1428)</f>
        <v>13</v>
      </c>
      <c r="E1428" s="59" t="str">
        <f aca="false">A1428&amp;"|"&amp;D1428</f>
        <v>BLR-Siddapura|13</v>
      </c>
    </row>
    <row r="1429" customFormat="false" ht="15" hidden="false" customHeight="false" outlineLevel="0" collapsed="false">
      <c r="A1429" s="59" t="s">
        <v>268</v>
      </c>
      <c r="B1429" s="59" t="s">
        <v>409</v>
      </c>
      <c r="C1429" s="60" t="n">
        <v>914.25</v>
      </c>
      <c r="D1429" s="59" t="n">
        <f aca="false">COUNTIFS($A$2:$A$1931,A1429,$C$2:$C$1931,"&gt;"&amp;C1429)+COUNTIFS($A$2:A1429,A1429,$C$2:C1429,C1429)</f>
        <v>1</v>
      </c>
      <c r="E1429" s="59" t="str">
        <f aca="false">A1429&amp;"|"&amp;D1429</f>
        <v>BLR-Silicon Town|1</v>
      </c>
    </row>
    <row r="1430" customFormat="false" ht="15" hidden="false" customHeight="false" outlineLevel="0" collapsed="false">
      <c r="A1430" s="59" t="s">
        <v>268</v>
      </c>
      <c r="B1430" s="59" t="s">
        <v>418</v>
      </c>
      <c r="C1430" s="60" t="n">
        <v>555.71</v>
      </c>
      <c r="D1430" s="59" t="n">
        <f aca="false">COUNTIFS($A$2:$A$1931,A1430,$C$2:$C$1931,"&gt;"&amp;C1430)+COUNTIFS($A$2:A1430,A1430,$C$2:C1430,C1430)</f>
        <v>2</v>
      </c>
      <c r="E1430" s="59" t="str">
        <f aca="false">A1430&amp;"|"&amp;D1430</f>
        <v>BLR-Silicon Town|2</v>
      </c>
    </row>
    <row r="1431" customFormat="false" ht="15" hidden="false" customHeight="false" outlineLevel="0" collapsed="false">
      <c r="A1431" s="59" t="s">
        <v>268</v>
      </c>
      <c r="B1431" s="59" t="s">
        <v>431</v>
      </c>
      <c r="C1431" s="60" t="n">
        <v>539.79</v>
      </c>
      <c r="D1431" s="59" t="n">
        <f aca="false">COUNTIFS($A$2:$A$1931,A1431,$C$2:$C$1931,"&gt;"&amp;C1431)+COUNTIFS($A$2:A1431,A1431,$C$2:C1431,C1431)</f>
        <v>3</v>
      </c>
      <c r="E1431" s="59" t="str">
        <f aca="false">A1431&amp;"|"&amp;D1431</f>
        <v>BLR-Silicon Town|3</v>
      </c>
    </row>
    <row r="1432" customFormat="false" ht="15" hidden="false" customHeight="false" outlineLevel="0" collapsed="false">
      <c r="A1432" s="59" t="s">
        <v>268</v>
      </c>
      <c r="B1432" s="59" t="s">
        <v>415</v>
      </c>
      <c r="C1432" s="60" t="n">
        <v>407.71</v>
      </c>
      <c r="D1432" s="59" t="n">
        <f aca="false">COUNTIFS($A$2:$A$1931,A1432,$C$2:$C$1931,"&gt;"&amp;C1432)+COUNTIFS($A$2:A1432,A1432,$C$2:C1432,C1432)</f>
        <v>4</v>
      </c>
      <c r="E1432" s="59" t="str">
        <f aca="false">A1432&amp;"|"&amp;D1432</f>
        <v>BLR-Silicon Town|4</v>
      </c>
    </row>
    <row r="1433" customFormat="false" ht="15" hidden="false" customHeight="false" outlineLevel="0" collapsed="false">
      <c r="A1433" s="59" t="s">
        <v>268</v>
      </c>
      <c r="B1433" s="59" t="s">
        <v>419</v>
      </c>
      <c r="C1433" s="60" t="n">
        <v>235.32</v>
      </c>
      <c r="D1433" s="59" t="n">
        <f aca="false">COUNTIFS($A$2:$A$1931,A1433,$C$2:$C$1931,"&gt;"&amp;C1433)+COUNTIFS($A$2:A1433,A1433,$C$2:C1433,C1433)</f>
        <v>5</v>
      </c>
      <c r="E1433" s="59" t="str">
        <f aca="false">A1433&amp;"|"&amp;D1433</f>
        <v>BLR-Silicon Town|5</v>
      </c>
    </row>
    <row r="1434" customFormat="false" ht="15" hidden="false" customHeight="false" outlineLevel="0" collapsed="false">
      <c r="A1434" s="59" t="s">
        <v>268</v>
      </c>
      <c r="B1434" s="59" t="s">
        <v>408</v>
      </c>
      <c r="C1434" s="60" t="n">
        <v>2.94</v>
      </c>
      <c r="D1434" s="59" t="n">
        <f aca="false">COUNTIFS($A$2:$A$1931,A1434,$C$2:$C$1931,"&gt;"&amp;C1434)+COUNTIFS($A$2:A1434,A1434,$C$2:C1434,C1434)</f>
        <v>6</v>
      </c>
      <c r="E1434" s="59" t="str">
        <f aca="false">A1434&amp;"|"&amp;D1434</f>
        <v>BLR-Silicon Town|6</v>
      </c>
    </row>
    <row r="1435" customFormat="false" ht="15" hidden="false" customHeight="false" outlineLevel="0" collapsed="false">
      <c r="A1435" s="59" t="s">
        <v>171</v>
      </c>
      <c r="B1435" s="59" t="s">
        <v>410</v>
      </c>
      <c r="C1435" s="60" t="n">
        <v>1212.41</v>
      </c>
      <c r="D1435" s="59" t="n">
        <f aca="false">COUNTIFS($A$2:$A$1931,A1435,$C$2:$C$1931,"&gt;"&amp;C1435)+COUNTIFS($A$2:A1435,A1435,$C$2:C1435,C1435)</f>
        <v>1</v>
      </c>
      <c r="E1435" s="59" t="str">
        <f aca="false">A1435&amp;"|"&amp;D1435</f>
        <v>BLR-Silver County|1</v>
      </c>
    </row>
    <row r="1436" customFormat="false" ht="15" hidden="false" customHeight="false" outlineLevel="0" collapsed="false">
      <c r="A1436" s="59" t="s">
        <v>171</v>
      </c>
      <c r="B1436" s="59" t="s">
        <v>408</v>
      </c>
      <c r="C1436" s="60" t="n">
        <v>481.21</v>
      </c>
      <c r="D1436" s="59" t="n">
        <f aca="false">COUNTIFS($A$2:$A$1931,A1436,$C$2:$C$1931,"&gt;"&amp;C1436)+COUNTIFS($A$2:A1436,A1436,$C$2:C1436,C1436)</f>
        <v>2</v>
      </c>
      <c r="E1436" s="59" t="str">
        <f aca="false">A1436&amp;"|"&amp;D1436</f>
        <v>BLR-Silver County|2</v>
      </c>
    </row>
    <row r="1437" customFormat="false" ht="15" hidden="false" customHeight="false" outlineLevel="0" collapsed="false">
      <c r="A1437" s="59" t="s">
        <v>317</v>
      </c>
      <c r="B1437" s="59" t="s">
        <v>420</v>
      </c>
      <c r="C1437" s="60" t="n">
        <v>1783.18</v>
      </c>
      <c r="D1437" s="59" t="n">
        <f aca="false">COUNTIFS($A$2:$A$1931,A1437,$C$2:$C$1931,"&gt;"&amp;C1437)+COUNTIFS($A$2:A1437,A1437,$C$2:C1437,C1437)</f>
        <v>1</v>
      </c>
      <c r="E1437" s="59" t="str">
        <f aca="false">A1437&amp;"|"&amp;D1437</f>
        <v>BLR-Silver County SS|1</v>
      </c>
    </row>
    <row r="1438" customFormat="false" ht="15" hidden="false" customHeight="false" outlineLevel="0" collapsed="false">
      <c r="A1438" s="59" t="s">
        <v>317</v>
      </c>
      <c r="B1438" s="59" t="s">
        <v>412</v>
      </c>
      <c r="C1438" s="60" t="n">
        <v>1081.21</v>
      </c>
      <c r="D1438" s="59" t="n">
        <f aca="false">COUNTIFS($A$2:$A$1931,A1438,$C$2:$C$1931,"&gt;"&amp;C1438)+COUNTIFS($A$2:A1438,A1438,$C$2:C1438,C1438)</f>
        <v>2</v>
      </c>
      <c r="E1438" s="59" t="str">
        <f aca="false">A1438&amp;"|"&amp;D1438</f>
        <v>BLR-Silver County SS|2</v>
      </c>
    </row>
    <row r="1439" customFormat="false" ht="15" hidden="false" customHeight="false" outlineLevel="0" collapsed="false">
      <c r="A1439" s="59" t="s">
        <v>317</v>
      </c>
      <c r="B1439" s="59" t="s">
        <v>410</v>
      </c>
      <c r="C1439" s="60" t="n">
        <v>1007.49</v>
      </c>
      <c r="D1439" s="59" t="n">
        <f aca="false">COUNTIFS($A$2:$A$1931,A1439,$C$2:$C$1931,"&gt;"&amp;C1439)+COUNTIFS($A$2:A1439,A1439,$C$2:C1439,C1439)</f>
        <v>3</v>
      </c>
      <c r="E1439" s="59" t="str">
        <f aca="false">A1439&amp;"|"&amp;D1439</f>
        <v>BLR-Silver County SS|3</v>
      </c>
    </row>
    <row r="1440" customFormat="false" ht="15" hidden="false" customHeight="false" outlineLevel="0" collapsed="false">
      <c r="A1440" s="59" t="s">
        <v>317</v>
      </c>
      <c r="B1440" s="59" t="s">
        <v>426</v>
      </c>
      <c r="C1440" s="60" t="n">
        <v>421.84</v>
      </c>
      <c r="D1440" s="59" t="n">
        <f aca="false">COUNTIFS($A$2:$A$1931,A1440,$C$2:$C$1931,"&gt;"&amp;C1440)+COUNTIFS($A$2:A1440,A1440,$C$2:C1440,C1440)</f>
        <v>4</v>
      </c>
      <c r="E1440" s="59" t="str">
        <f aca="false">A1440&amp;"|"&amp;D1440</f>
        <v>BLR-Silver County SS|4</v>
      </c>
    </row>
    <row r="1441" customFormat="false" ht="15" hidden="false" customHeight="false" outlineLevel="0" collapsed="false">
      <c r="A1441" s="59" t="s">
        <v>317</v>
      </c>
      <c r="B1441" s="59" t="s">
        <v>424</v>
      </c>
      <c r="C1441" s="60" t="n">
        <v>292.62</v>
      </c>
      <c r="D1441" s="59" t="n">
        <f aca="false">COUNTIFS($A$2:$A$1931,A1441,$C$2:$C$1931,"&gt;"&amp;C1441)+COUNTIFS($A$2:A1441,A1441,$C$2:C1441,C1441)</f>
        <v>5</v>
      </c>
      <c r="E1441" s="59" t="str">
        <f aca="false">A1441&amp;"|"&amp;D1441</f>
        <v>BLR-Silver County SS|5</v>
      </c>
    </row>
    <row r="1442" customFormat="false" ht="15" hidden="false" customHeight="false" outlineLevel="0" collapsed="false">
      <c r="A1442" s="59" t="s">
        <v>317</v>
      </c>
      <c r="B1442" s="59" t="s">
        <v>425</v>
      </c>
      <c r="C1442" s="60" t="n">
        <v>272.25</v>
      </c>
      <c r="D1442" s="59" t="n">
        <f aca="false">COUNTIFS($A$2:$A$1931,A1442,$C$2:$C$1931,"&gt;"&amp;C1442)+COUNTIFS($A$2:A1442,A1442,$C$2:C1442,C1442)</f>
        <v>6</v>
      </c>
      <c r="E1442" s="59" t="str">
        <f aca="false">A1442&amp;"|"&amp;D1442</f>
        <v>BLR-Silver County SS|6</v>
      </c>
    </row>
    <row r="1443" customFormat="false" ht="15" hidden="false" customHeight="false" outlineLevel="0" collapsed="false">
      <c r="A1443" s="59" t="s">
        <v>317</v>
      </c>
      <c r="B1443" s="59" t="s">
        <v>409</v>
      </c>
      <c r="C1443" s="60" t="n">
        <v>219.55</v>
      </c>
      <c r="D1443" s="59" t="n">
        <f aca="false">COUNTIFS($A$2:$A$1931,A1443,$C$2:$C$1931,"&gt;"&amp;C1443)+COUNTIFS($A$2:A1443,A1443,$C$2:C1443,C1443)</f>
        <v>7</v>
      </c>
      <c r="E1443" s="59" t="str">
        <f aca="false">A1443&amp;"|"&amp;D1443</f>
        <v>BLR-Silver County SS|7</v>
      </c>
    </row>
    <row r="1444" customFormat="false" ht="15" hidden="false" customHeight="false" outlineLevel="0" collapsed="false">
      <c r="A1444" s="59" t="s">
        <v>317</v>
      </c>
      <c r="B1444" s="59" t="s">
        <v>417</v>
      </c>
      <c r="C1444" s="60" t="n">
        <v>168.62</v>
      </c>
      <c r="D1444" s="59" t="n">
        <f aca="false">COUNTIFS($A$2:$A$1931,A1444,$C$2:$C$1931,"&gt;"&amp;C1444)+COUNTIFS($A$2:A1444,A1444,$C$2:C1444,C1444)</f>
        <v>8</v>
      </c>
      <c r="E1444" s="59" t="str">
        <f aca="false">A1444&amp;"|"&amp;D1444</f>
        <v>BLR-Silver County SS|8</v>
      </c>
    </row>
    <row r="1445" customFormat="false" ht="15" hidden="false" customHeight="false" outlineLevel="0" collapsed="false">
      <c r="A1445" s="59" t="s">
        <v>118</v>
      </c>
      <c r="B1445" s="59" t="s">
        <v>408</v>
      </c>
      <c r="C1445" s="60" t="n">
        <v>7136.78</v>
      </c>
      <c r="D1445" s="59" t="n">
        <f aca="false">COUNTIFS($A$2:$A$1931,A1445,$C$2:$C$1931,"&gt;"&amp;C1445)+COUNTIFS($A$2:A1445,A1445,$C$2:C1445,C1445)</f>
        <v>1</v>
      </c>
      <c r="E1445" s="59" t="str">
        <f aca="false">A1445&amp;"|"&amp;D1445</f>
        <v>BLR-Singapura|1</v>
      </c>
    </row>
    <row r="1446" customFormat="false" ht="15" hidden="false" customHeight="false" outlineLevel="0" collapsed="false">
      <c r="A1446" s="59" t="s">
        <v>118</v>
      </c>
      <c r="B1446" s="59" t="s">
        <v>412</v>
      </c>
      <c r="C1446" s="60" t="n">
        <v>3692.62</v>
      </c>
      <c r="D1446" s="59" t="n">
        <f aca="false">COUNTIFS($A$2:$A$1931,A1446,$C$2:$C$1931,"&gt;"&amp;C1446)+COUNTIFS($A$2:A1446,A1446,$C$2:C1446,C1446)</f>
        <v>2</v>
      </c>
      <c r="E1446" s="59" t="str">
        <f aca="false">A1446&amp;"|"&amp;D1446</f>
        <v>BLR-Singapura|2</v>
      </c>
    </row>
    <row r="1447" customFormat="false" ht="15" hidden="false" customHeight="false" outlineLevel="0" collapsed="false">
      <c r="A1447" s="59" t="s">
        <v>118</v>
      </c>
      <c r="B1447" s="59" t="s">
        <v>431</v>
      </c>
      <c r="C1447" s="60" t="n">
        <v>2146.26</v>
      </c>
      <c r="D1447" s="59" t="n">
        <f aca="false">COUNTIFS($A$2:$A$1931,A1447,$C$2:$C$1931,"&gt;"&amp;C1447)+COUNTIFS($A$2:A1447,A1447,$C$2:C1447,C1447)</f>
        <v>3</v>
      </c>
      <c r="E1447" s="59" t="str">
        <f aca="false">A1447&amp;"|"&amp;D1447</f>
        <v>BLR-Singapura|3</v>
      </c>
    </row>
    <row r="1448" customFormat="false" ht="15" hidden="false" customHeight="false" outlineLevel="0" collapsed="false">
      <c r="A1448" s="59" t="s">
        <v>118</v>
      </c>
      <c r="B1448" s="59" t="s">
        <v>413</v>
      </c>
      <c r="C1448" s="60" t="n">
        <v>1860.84</v>
      </c>
      <c r="D1448" s="59" t="n">
        <f aca="false">COUNTIFS($A$2:$A$1931,A1448,$C$2:$C$1931,"&gt;"&amp;C1448)+COUNTIFS($A$2:A1448,A1448,$C$2:C1448,C1448)</f>
        <v>4</v>
      </c>
      <c r="E1448" s="59" t="str">
        <f aca="false">A1448&amp;"|"&amp;D1448</f>
        <v>BLR-Singapura|4</v>
      </c>
    </row>
    <row r="1449" customFormat="false" ht="15" hidden="false" customHeight="false" outlineLevel="0" collapsed="false">
      <c r="A1449" s="59" t="s">
        <v>118</v>
      </c>
      <c r="B1449" s="59" t="s">
        <v>424</v>
      </c>
      <c r="C1449" s="60" t="n">
        <v>1422.7</v>
      </c>
      <c r="D1449" s="59" t="n">
        <f aca="false">COUNTIFS($A$2:$A$1931,A1449,$C$2:$C$1931,"&gt;"&amp;C1449)+COUNTIFS($A$2:A1449,A1449,$C$2:C1449,C1449)</f>
        <v>5</v>
      </c>
      <c r="E1449" s="59" t="str">
        <f aca="false">A1449&amp;"|"&amp;D1449</f>
        <v>BLR-Singapura|5</v>
      </c>
    </row>
    <row r="1450" customFormat="false" ht="15" hidden="false" customHeight="false" outlineLevel="0" collapsed="false">
      <c r="A1450" s="59" t="s">
        <v>118</v>
      </c>
      <c r="B1450" s="59" t="s">
        <v>418</v>
      </c>
      <c r="C1450" s="60" t="n">
        <v>784.32</v>
      </c>
      <c r="D1450" s="59" t="n">
        <f aca="false">COUNTIFS($A$2:$A$1931,A1450,$C$2:$C$1931,"&gt;"&amp;C1450)+COUNTIFS($A$2:A1450,A1450,$C$2:C1450,C1450)</f>
        <v>6</v>
      </c>
      <c r="E1450" s="59" t="str">
        <f aca="false">A1450&amp;"|"&amp;D1450</f>
        <v>BLR-Singapura|6</v>
      </c>
    </row>
    <row r="1451" customFormat="false" ht="15" hidden="false" customHeight="false" outlineLevel="0" collapsed="false">
      <c r="A1451" s="59" t="s">
        <v>287</v>
      </c>
      <c r="B1451" s="59" t="s">
        <v>418</v>
      </c>
      <c r="C1451" s="60" t="n">
        <v>6753.18</v>
      </c>
      <c r="D1451" s="59" t="n">
        <f aca="false">COUNTIFS($A$2:$A$1931,A1451,$C$2:$C$1931,"&gt;"&amp;C1451)+COUNTIFS($A$2:A1451,A1451,$C$2:C1451,C1451)</f>
        <v>1</v>
      </c>
      <c r="E1451" s="59" t="str">
        <f aca="false">A1451&amp;"|"&amp;D1451</f>
        <v>BLR-Singasandra Network|1</v>
      </c>
    </row>
    <row r="1452" customFormat="false" ht="15" hidden="false" customHeight="false" outlineLevel="0" collapsed="false">
      <c r="A1452" s="59" t="s">
        <v>287</v>
      </c>
      <c r="B1452" s="59" t="s">
        <v>412</v>
      </c>
      <c r="C1452" s="60" t="n">
        <v>92.5</v>
      </c>
      <c r="D1452" s="59" t="n">
        <f aca="false">COUNTIFS($A$2:$A$1931,A1452,$C$2:$C$1931,"&gt;"&amp;C1452)+COUNTIFS($A$2:A1452,A1452,$C$2:C1452,C1452)</f>
        <v>2</v>
      </c>
      <c r="E1452" s="59" t="str">
        <f aca="false">A1452&amp;"|"&amp;D1452</f>
        <v>BLR-Singasandra Network|2</v>
      </c>
    </row>
    <row r="1453" customFormat="false" ht="15" hidden="false" customHeight="false" outlineLevel="0" collapsed="false">
      <c r="A1453" s="59" t="s">
        <v>117</v>
      </c>
      <c r="B1453" s="59" t="s">
        <v>410</v>
      </c>
      <c r="C1453" s="60" t="n">
        <v>6587.24</v>
      </c>
      <c r="D1453" s="59" t="n">
        <f aca="false">COUNTIFS($A$2:$A$1931,A1453,$C$2:$C$1931,"&gt;"&amp;C1453)+COUNTIFS($A$2:A1453,A1453,$C$2:C1453,C1453)</f>
        <v>1</v>
      </c>
      <c r="E1453" s="59" t="str">
        <f aca="false">A1453&amp;"|"&amp;D1453</f>
        <v>BLR-Singasandra SS|1</v>
      </c>
    </row>
    <row r="1454" customFormat="false" ht="15" hidden="false" customHeight="false" outlineLevel="0" collapsed="false">
      <c r="A1454" s="59" t="s">
        <v>117</v>
      </c>
      <c r="B1454" s="59" t="s">
        <v>435</v>
      </c>
      <c r="C1454" s="60" t="n">
        <v>5846.75</v>
      </c>
      <c r="D1454" s="59" t="n">
        <f aca="false">COUNTIFS($A$2:$A$1931,A1454,$C$2:$C$1931,"&gt;"&amp;C1454)+COUNTIFS($A$2:A1454,A1454,$C$2:C1454,C1454)</f>
        <v>2</v>
      </c>
      <c r="E1454" s="59" t="str">
        <f aca="false">A1454&amp;"|"&amp;D1454</f>
        <v>BLR-Singasandra SS|2</v>
      </c>
    </row>
    <row r="1455" customFormat="false" ht="15" hidden="false" customHeight="false" outlineLevel="0" collapsed="false">
      <c r="A1455" s="59" t="s">
        <v>117</v>
      </c>
      <c r="B1455" s="59" t="s">
        <v>429</v>
      </c>
      <c r="C1455" s="60" t="n">
        <v>2240.34</v>
      </c>
      <c r="D1455" s="59" t="n">
        <f aca="false">COUNTIFS($A$2:$A$1931,A1455,$C$2:$C$1931,"&gt;"&amp;C1455)+COUNTIFS($A$2:A1455,A1455,$C$2:C1455,C1455)</f>
        <v>3</v>
      </c>
      <c r="E1455" s="59" t="str">
        <f aca="false">A1455&amp;"|"&amp;D1455</f>
        <v>BLR-Singasandra SS|3</v>
      </c>
    </row>
    <row r="1456" customFormat="false" ht="15" hidden="false" customHeight="false" outlineLevel="0" collapsed="false">
      <c r="A1456" s="59" t="s">
        <v>117</v>
      </c>
      <c r="B1456" s="59" t="s">
        <v>416</v>
      </c>
      <c r="C1456" s="60" t="n">
        <v>1693.43</v>
      </c>
      <c r="D1456" s="59" t="n">
        <f aca="false">COUNTIFS($A$2:$A$1931,A1456,$C$2:$C$1931,"&gt;"&amp;C1456)+COUNTIFS($A$2:A1456,A1456,$C$2:C1456,C1456)</f>
        <v>4</v>
      </c>
      <c r="E1456" s="59" t="str">
        <f aca="false">A1456&amp;"|"&amp;D1456</f>
        <v>BLR-Singasandra SS|4</v>
      </c>
    </row>
    <row r="1457" customFormat="false" ht="15" hidden="false" customHeight="false" outlineLevel="0" collapsed="false">
      <c r="A1457" s="59" t="s">
        <v>117</v>
      </c>
      <c r="B1457" s="59" t="s">
        <v>414</v>
      </c>
      <c r="C1457" s="60" t="n">
        <v>1187.26</v>
      </c>
      <c r="D1457" s="59" t="n">
        <f aca="false">COUNTIFS($A$2:$A$1931,A1457,$C$2:$C$1931,"&gt;"&amp;C1457)+COUNTIFS($A$2:A1457,A1457,$C$2:C1457,C1457)</f>
        <v>5</v>
      </c>
      <c r="E1457" s="59" t="str">
        <f aca="false">A1457&amp;"|"&amp;D1457</f>
        <v>BLR-Singasandra SS|5</v>
      </c>
    </row>
    <row r="1458" customFormat="false" ht="15" hidden="false" customHeight="false" outlineLevel="0" collapsed="false">
      <c r="A1458" s="59" t="s">
        <v>117</v>
      </c>
      <c r="B1458" s="59" t="s">
        <v>411</v>
      </c>
      <c r="C1458" s="60" t="n">
        <v>1012.11</v>
      </c>
      <c r="D1458" s="59" t="n">
        <f aca="false">COUNTIFS($A$2:$A$1931,A1458,$C$2:$C$1931,"&gt;"&amp;C1458)+COUNTIFS($A$2:A1458,A1458,$C$2:C1458,C1458)</f>
        <v>6</v>
      </c>
      <c r="E1458" s="59" t="str">
        <f aca="false">A1458&amp;"|"&amp;D1458</f>
        <v>BLR-Singasandra SS|6</v>
      </c>
    </row>
    <row r="1459" customFormat="false" ht="15" hidden="false" customHeight="false" outlineLevel="0" collapsed="false">
      <c r="A1459" s="59" t="s">
        <v>117</v>
      </c>
      <c r="B1459" s="59" t="s">
        <v>424</v>
      </c>
      <c r="C1459" s="60" t="n">
        <v>950.49</v>
      </c>
      <c r="D1459" s="59" t="n">
        <f aca="false">COUNTIFS($A$2:$A$1931,A1459,$C$2:$C$1931,"&gt;"&amp;C1459)+COUNTIFS($A$2:A1459,A1459,$C$2:C1459,C1459)</f>
        <v>7</v>
      </c>
      <c r="E1459" s="59" t="str">
        <f aca="false">A1459&amp;"|"&amp;D1459</f>
        <v>BLR-Singasandra SS|7</v>
      </c>
    </row>
    <row r="1460" customFormat="false" ht="15" hidden="false" customHeight="false" outlineLevel="0" collapsed="false">
      <c r="A1460" s="59" t="s">
        <v>117</v>
      </c>
      <c r="B1460" s="59" t="s">
        <v>428</v>
      </c>
      <c r="C1460" s="60" t="n">
        <v>838.02</v>
      </c>
      <c r="D1460" s="59" t="n">
        <f aca="false">COUNTIFS($A$2:$A$1931,A1460,$C$2:$C$1931,"&gt;"&amp;C1460)+COUNTIFS($A$2:A1460,A1460,$C$2:C1460,C1460)</f>
        <v>8</v>
      </c>
      <c r="E1460" s="59" t="str">
        <f aca="false">A1460&amp;"|"&amp;D1460</f>
        <v>BLR-Singasandra SS|8</v>
      </c>
    </row>
    <row r="1461" customFormat="false" ht="15" hidden="false" customHeight="false" outlineLevel="0" collapsed="false">
      <c r="A1461" s="59" t="s">
        <v>117</v>
      </c>
      <c r="B1461" s="59" t="s">
        <v>430</v>
      </c>
      <c r="C1461" s="60" t="n">
        <v>784.8</v>
      </c>
      <c r="D1461" s="59" t="n">
        <f aca="false">COUNTIFS($A$2:$A$1931,A1461,$C$2:$C$1931,"&gt;"&amp;C1461)+COUNTIFS($A$2:A1461,A1461,$C$2:C1461,C1461)</f>
        <v>9</v>
      </c>
      <c r="E1461" s="59" t="str">
        <f aca="false">A1461&amp;"|"&amp;D1461</f>
        <v>BLR-Singasandra SS|9</v>
      </c>
    </row>
    <row r="1462" customFormat="false" ht="15" hidden="false" customHeight="false" outlineLevel="0" collapsed="false">
      <c r="A1462" s="59" t="s">
        <v>117</v>
      </c>
      <c r="B1462" s="59" t="s">
        <v>417</v>
      </c>
      <c r="C1462" s="60" t="n">
        <v>580.75</v>
      </c>
      <c r="D1462" s="59" t="n">
        <f aca="false">COUNTIFS($A$2:$A$1931,A1462,$C$2:$C$1931,"&gt;"&amp;C1462)+COUNTIFS($A$2:A1462,A1462,$C$2:C1462,C1462)</f>
        <v>10</v>
      </c>
      <c r="E1462" s="59" t="str">
        <f aca="false">A1462&amp;"|"&amp;D1462</f>
        <v>BLR-Singasandra SS|10</v>
      </c>
    </row>
    <row r="1463" customFormat="false" ht="15" hidden="false" customHeight="false" outlineLevel="0" collapsed="false">
      <c r="A1463" s="59" t="s">
        <v>117</v>
      </c>
      <c r="B1463" s="59" t="s">
        <v>425</v>
      </c>
      <c r="C1463" s="60" t="n">
        <v>443.16</v>
      </c>
      <c r="D1463" s="59" t="n">
        <f aca="false">COUNTIFS($A$2:$A$1931,A1463,$C$2:$C$1931,"&gt;"&amp;C1463)+COUNTIFS($A$2:A1463,A1463,$C$2:C1463,C1463)</f>
        <v>11</v>
      </c>
      <c r="E1463" s="59" t="str">
        <f aca="false">A1463&amp;"|"&amp;D1463</f>
        <v>BLR-Singasandra SS|11</v>
      </c>
    </row>
    <row r="1464" customFormat="false" ht="15" hidden="false" customHeight="false" outlineLevel="0" collapsed="false">
      <c r="A1464" s="59" t="s">
        <v>117</v>
      </c>
      <c r="B1464" s="59" t="s">
        <v>437</v>
      </c>
      <c r="C1464" s="60" t="n">
        <v>433.95</v>
      </c>
      <c r="D1464" s="59" t="n">
        <f aca="false">COUNTIFS($A$2:$A$1931,A1464,$C$2:$C$1931,"&gt;"&amp;C1464)+COUNTIFS($A$2:A1464,A1464,$C$2:C1464,C1464)</f>
        <v>12</v>
      </c>
      <c r="E1464" s="59" t="str">
        <f aca="false">A1464&amp;"|"&amp;D1464</f>
        <v>BLR-Singasandra SS|12</v>
      </c>
    </row>
    <row r="1465" customFormat="false" ht="15" hidden="false" customHeight="false" outlineLevel="0" collapsed="false">
      <c r="A1465" s="59" t="s">
        <v>117</v>
      </c>
      <c r="B1465" s="59" t="s">
        <v>445</v>
      </c>
      <c r="C1465" s="60" t="n">
        <v>412.23</v>
      </c>
      <c r="D1465" s="59" t="n">
        <f aca="false">COUNTIFS($A$2:$A$1931,A1465,$C$2:$C$1931,"&gt;"&amp;C1465)+COUNTIFS($A$2:A1465,A1465,$C$2:C1465,C1465)</f>
        <v>13</v>
      </c>
      <c r="E1465" s="59" t="str">
        <f aca="false">A1465&amp;"|"&amp;D1465</f>
        <v>BLR-Singasandra SS|13</v>
      </c>
    </row>
    <row r="1466" customFormat="false" ht="15" hidden="false" customHeight="false" outlineLevel="0" collapsed="false">
      <c r="A1466" s="59" t="s">
        <v>117</v>
      </c>
      <c r="B1466" s="59" t="s">
        <v>444</v>
      </c>
      <c r="C1466" s="60" t="n">
        <v>397.89</v>
      </c>
      <c r="D1466" s="59" t="n">
        <f aca="false">COUNTIFS($A$2:$A$1931,A1466,$C$2:$C$1931,"&gt;"&amp;C1466)+COUNTIFS($A$2:A1466,A1466,$C$2:C1466,C1466)</f>
        <v>14</v>
      </c>
      <c r="E1466" s="59" t="str">
        <f aca="false">A1466&amp;"|"&amp;D1466</f>
        <v>BLR-Singasandra SS|14</v>
      </c>
    </row>
    <row r="1467" customFormat="false" ht="15" hidden="false" customHeight="false" outlineLevel="0" collapsed="false">
      <c r="A1467" s="59" t="s">
        <v>117</v>
      </c>
      <c r="B1467" s="59" t="s">
        <v>442</v>
      </c>
      <c r="C1467" s="60" t="n">
        <v>308.43</v>
      </c>
      <c r="D1467" s="59" t="n">
        <f aca="false">COUNTIFS($A$2:$A$1931,A1467,$C$2:$C$1931,"&gt;"&amp;C1467)+COUNTIFS($A$2:A1467,A1467,$C$2:C1467,C1467)</f>
        <v>15</v>
      </c>
      <c r="E1467" s="59" t="str">
        <f aca="false">A1467&amp;"|"&amp;D1467</f>
        <v>BLR-Singasandra SS|15</v>
      </c>
    </row>
    <row r="1468" customFormat="false" ht="15" hidden="false" customHeight="false" outlineLevel="0" collapsed="false">
      <c r="A1468" s="59" t="s">
        <v>117</v>
      </c>
      <c r="B1468" s="59" t="s">
        <v>418</v>
      </c>
      <c r="C1468" s="60" t="n">
        <v>298.88</v>
      </c>
      <c r="D1468" s="59" t="n">
        <f aca="false">COUNTIFS($A$2:$A$1931,A1468,$C$2:$C$1931,"&gt;"&amp;C1468)+COUNTIFS($A$2:A1468,A1468,$C$2:C1468,C1468)</f>
        <v>16</v>
      </c>
      <c r="E1468" s="59" t="str">
        <f aca="false">A1468&amp;"|"&amp;D1468</f>
        <v>BLR-Singasandra SS|16</v>
      </c>
    </row>
    <row r="1469" customFormat="false" ht="15" hidden="false" customHeight="false" outlineLevel="0" collapsed="false">
      <c r="A1469" s="59" t="s">
        <v>117</v>
      </c>
      <c r="B1469" s="59" t="s">
        <v>426</v>
      </c>
      <c r="C1469" s="60" t="n">
        <v>275</v>
      </c>
      <c r="D1469" s="59" t="n">
        <f aca="false">COUNTIFS($A$2:$A$1931,A1469,$C$2:$C$1931,"&gt;"&amp;C1469)+COUNTIFS($A$2:A1469,A1469,$C$2:C1469,C1469)</f>
        <v>17</v>
      </c>
      <c r="E1469" s="59" t="str">
        <f aca="false">A1469&amp;"|"&amp;D1469</f>
        <v>BLR-Singasandra SS|17</v>
      </c>
    </row>
    <row r="1470" customFormat="false" ht="15" hidden="false" customHeight="false" outlineLevel="0" collapsed="false">
      <c r="A1470" s="59" t="s">
        <v>117</v>
      </c>
      <c r="B1470" s="59" t="s">
        <v>434</v>
      </c>
      <c r="C1470" s="60" t="n">
        <v>133.06</v>
      </c>
      <c r="D1470" s="59" t="n">
        <f aca="false">COUNTIFS($A$2:$A$1931,A1470,$C$2:$C$1931,"&gt;"&amp;C1470)+COUNTIFS($A$2:A1470,A1470,$C$2:C1470,C1470)</f>
        <v>18</v>
      </c>
      <c r="E1470" s="59" t="str">
        <f aca="false">A1470&amp;"|"&amp;D1470</f>
        <v>BLR-Singasandra SS|18</v>
      </c>
    </row>
    <row r="1471" customFormat="false" ht="15" hidden="false" customHeight="false" outlineLevel="0" collapsed="false">
      <c r="A1471" s="59" t="s">
        <v>117</v>
      </c>
      <c r="B1471" s="59" t="s">
        <v>413</v>
      </c>
      <c r="C1471" s="60" t="n">
        <v>64.81</v>
      </c>
      <c r="D1471" s="59" t="n">
        <f aca="false">COUNTIFS($A$2:$A$1931,A1471,$C$2:$C$1931,"&gt;"&amp;C1471)+COUNTIFS($A$2:A1471,A1471,$C$2:C1471,C1471)</f>
        <v>19</v>
      </c>
      <c r="E1471" s="59" t="str">
        <f aca="false">A1471&amp;"|"&amp;D1471</f>
        <v>BLR-Singasandra SS|19</v>
      </c>
    </row>
    <row r="1472" customFormat="false" ht="15" hidden="false" customHeight="false" outlineLevel="0" collapsed="false">
      <c r="A1472" s="59" t="s">
        <v>117</v>
      </c>
      <c r="B1472" s="59" t="s">
        <v>408</v>
      </c>
      <c r="C1472" s="60" t="n">
        <v>37.17</v>
      </c>
      <c r="D1472" s="59" t="n">
        <f aca="false">COUNTIFS($A$2:$A$1931,A1472,$C$2:$C$1931,"&gt;"&amp;C1472)+COUNTIFS($A$2:A1472,A1472,$C$2:C1472,C1472)</f>
        <v>20</v>
      </c>
      <c r="E1472" s="59" t="str">
        <f aca="false">A1472&amp;"|"&amp;D1472</f>
        <v>BLR-Singasandra SS|20</v>
      </c>
    </row>
    <row r="1473" customFormat="false" ht="15" hidden="false" customHeight="false" outlineLevel="0" collapsed="false">
      <c r="A1473" s="59" t="s">
        <v>117</v>
      </c>
      <c r="B1473" s="59" t="s">
        <v>420</v>
      </c>
      <c r="C1473" s="60" t="n">
        <v>22.28</v>
      </c>
      <c r="D1473" s="59" t="n">
        <f aca="false">COUNTIFS($A$2:$A$1931,A1473,$C$2:$C$1931,"&gt;"&amp;C1473)+COUNTIFS($A$2:A1473,A1473,$C$2:C1473,C1473)</f>
        <v>21</v>
      </c>
      <c r="E1473" s="59" t="str">
        <f aca="false">A1473&amp;"|"&amp;D1473</f>
        <v>BLR-Singasandra SS|21</v>
      </c>
    </row>
    <row r="1474" customFormat="false" ht="15" hidden="false" customHeight="false" outlineLevel="0" collapsed="false">
      <c r="A1474" s="59" t="s">
        <v>117</v>
      </c>
      <c r="B1474" s="59" t="s">
        <v>452</v>
      </c>
      <c r="C1474" s="60" t="n">
        <v>4.5</v>
      </c>
      <c r="D1474" s="59" t="n">
        <f aca="false">COUNTIFS($A$2:$A$1931,A1474,$C$2:$C$1931,"&gt;"&amp;C1474)+COUNTIFS($A$2:A1474,A1474,$C$2:C1474,C1474)</f>
        <v>22</v>
      </c>
      <c r="E1474" s="59" t="str">
        <f aca="false">A1474&amp;"|"&amp;D1474</f>
        <v>BLR-Singasandra SS|22</v>
      </c>
    </row>
    <row r="1475" customFormat="false" ht="15" hidden="false" customHeight="false" outlineLevel="0" collapsed="false">
      <c r="A1475" s="59" t="s">
        <v>114</v>
      </c>
      <c r="B1475" s="59" t="s">
        <v>407</v>
      </c>
      <c r="C1475" s="60" t="n">
        <v>23671.17</v>
      </c>
      <c r="D1475" s="59" t="n">
        <f aca="false">COUNTIFS($A$2:$A$1931,A1475,$C$2:$C$1931,"&gt;"&amp;C1475)+COUNTIFS($A$2:A1475,A1475,$C$2:C1475,C1475)</f>
        <v>1</v>
      </c>
      <c r="E1475" s="59" t="str">
        <f aca="false">A1475&amp;"|"&amp;D1475</f>
        <v>BLR-Sompura|1</v>
      </c>
    </row>
    <row r="1476" customFormat="false" ht="15" hidden="false" customHeight="false" outlineLevel="0" collapsed="false">
      <c r="A1476" s="59" t="s">
        <v>114</v>
      </c>
      <c r="B1476" s="59" t="s">
        <v>410</v>
      </c>
      <c r="C1476" s="60" t="n">
        <v>2555.6</v>
      </c>
      <c r="D1476" s="59" t="n">
        <f aca="false">COUNTIFS($A$2:$A$1931,A1476,$C$2:$C$1931,"&gt;"&amp;C1476)+COUNTIFS($A$2:A1476,A1476,$C$2:C1476,C1476)</f>
        <v>2</v>
      </c>
      <c r="E1476" s="59" t="str">
        <f aca="false">A1476&amp;"|"&amp;D1476</f>
        <v>BLR-Sompura|2</v>
      </c>
    </row>
    <row r="1477" customFormat="false" ht="15" hidden="false" customHeight="false" outlineLevel="0" collapsed="false">
      <c r="A1477" s="59" t="s">
        <v>114</v>
      </c>
      <c r="B1477" s="59" t="s">
        <v>414</v>
      </c>
      <c r="C1477" s="60" t="n">
        <v>1968.46</v>
      </c>
      <c r="D1477" s="59" t="n">
        <f aca="false">COUNTIFS($A$2:$A$1931,A1477,$C$2:$C$1931,"&gt;"&amp;C1477)+COUNTIFS($A$2:A1477,A1477,$C$2:C1477,C1477)</f>
        <v>3</v>
      </c>
      <c r="E1477" s="59" t="str">
        <f aca="false">A1477&amp;"|"&amp;D1477</f>
        <v>BLR-Sompura|3</v>
      </c>
    </row>
    <row r="1478" customFormat="false" ht="15" hidden="false" customHeight="false" outlineLevel="0" collapsed="false">
      <c r="A1478" s="59" t="s">
        <v>114</v>
      </c>
      <c r="B1478" s="59" t="s">
        <v>412</v>
      </c>
      <c r="C1478" s="60" t="n">
        <v>1646.7</v>
      </c>
      <c r="D1478" s="59" t="n">
        <f aca="false">COUNTIFS($A$2:$A$1931,A1478,$C$2:$C$1931,"&gt;"&amp;C1478)+COUNTIFS($A$2:A1478,A1478,$C$2:C1478,C1478)</f>
        <v>4</v>
      </c>
      <c r="E1478" s="59" t="str">
        <f aca="false">A1478&amp;"|"&amp;D1478</f>
        <v>BLR-Sompura|4</v>
      </c>
    </row>
    <row r="1479" customFormat="false" ht="15" hidden="false" customHeight="false" outlineLevel="0" collapsed="false">
      <c r="A1479" s="59" t="s">
        <v>114</v>
      </c>
      <c r="B1479" s="59" t="s">
        <v>416</v>
      </c>
      <c r="C1479" s="60" t="n">
        <v>1466.43</v>
      </c>
      <c r="D1479" s="59" t="n">
        <f aca="false">COUNTIFS($A$2:$A$1931,A1479,$C$2:$C$1931,"&gt;"&amp;C1479)+COUNTIFS($A$2:A1479,A1479,$C$2:C1479,C1479)</f>
        <v>5</v>
      </c>
      <c r="E1479" s="59" t="str">
        <f aca="false">A1479&amp;"|"&amp;D1479</f>
        <v>BLR-Sompura|5</v>
      </c>
    </row>
    <row r="1480" customFormat="false" ht="15" hidden="false" customHeight="false" outlineLevel="0" collapsed="false">
      <c r="A1480" s="59" t="s">
        <v>114</v>
      </c>
      <c r="B1480" s="59" t="s">
        <v>418</v>
      </c>
      <c r="C1480" s="60" t="n">
        <v>280.97</v>
      </c>
      <c r="D1480" s="59" t="n">
        <f aca="false">COUNTIFS($A$2:$A$1931,A1480,$C$2:$C$1931,"&gt;"&amp;C1480)+COUNTIFS($A$2:A1480,A1480,$C$2:C1480,C1480)</f>
        <v>6</v>
      </c>
      <c r="E1480" s="59" t="str">
        <f aca="false">A1480&amp;"|"&amp;D1480</f>
        <v>BLR-Sompura|6</v>
      </c>
    </row>
    <row r="1481" customFormat="false" ht="15" hidden="false" customHeight="false" outlineLevel="0" collapsed="false">
      <c r="A1481" s="59" t="s">
        <v>114</v>
      </c>
      <c r="B1481" s="59" t="s">
        <v>408</v>
      </c>
      <c r="C1481" s="60" t="n">
        <v>27.11</v>
      </c>
      <c r="D1481" s="59" t="n">
        <f aca="false">COUNTIFS($A$2:$A$1931,A1481,$C$2:$C$1931,"&gt;"&amp;C1481)+COUNTIFS($A$2:A1481,A1481,$C$2:C1481,C1481)</f>
        <v>7</v>
      </c>
      <c r="E1481" s="59" t="str">
        <f aca="false">A1481&amp;"|"&amp;D1481</f>
        <v>BLR-Sompura|7</v>
      </c>
    </row>
    <row r="1482" customFormat="false" ht="15" hidden="false" customHeight="false" outlineLevel="0" collapsed="false">
      <c r="A1482" s="59" t="s">
        <v>226</v>
      </c>
      <c r="B1482" s="59" t="s">
        <v>409</v>
      </c>
      <c r="C1482" s="60" t="n">
        <v>3387.17</v>
      </c>
      <c r="D1482" s="59" t="n">
        <f aca="false">COUNTIFS($A$2:$A$1931,A1482,$C$2:$C$1931,"&gt;"&amp;C1482)+COUNTIFS($A$2:A1482,A1482,$C$2:C1482,C1482)</f>
        <v>1</v>
      </c>
      <c r="E1482" s="59" t="str">
        <f aca="false">A1482&amp;"|"&amp;D1482</f>
        <v>BLR-Soukya|1</v>
      </c>
    </row>
    <row r="1483" customFormat="false" ht="15" hidden="false" customHeight="false" outlineLevel="0" collapsed="false">
      <c r="A1483" s="59" t="s">
        <v>226</v>
      </c>
      <c r="B1483" s="59" t="s">
        <v>410</v>
      </c>
      <c r="C1483" s="60" t="n">
        <v>1645.27</v>
      </c>
      <c r="D1483" s="59" t="n">
        <f aca="false">COUNTIFS($A$2:$A$1931,A1483,$C$2:$C$1931,"&gt;"&amp;C1483)+COUNTIFS($A$2:A1483,A1483,$C$2:C1483,C1483)</f>
        <v>2</v>
      </c>
      <c r="E1483" s="59" t="str">
        <f aca="false">A1483&amp;"|"&amp;D1483</f>
        <v>BLR-Soukya|2</v>
      </c>
    </row>
    <row r="1484" customFormat="false" ht="15" hidden="false" customHeight="false" outlineLevel="0" collapsed="false">
      <c r="A1484" s="59" t="s">
        <v>226</v>
      </c>
      <c r="B1484" s="59" t="s">
        <v>415</v>
      </c>
      <c r="C1484" s="60" t="n">
        <v>546.58</v>
      </c>
      <c r="D1484" s="59" t="n">
        <f aca="false">COUNTIFS($A$2:$A$1931,A1484,$C$2:$C$1931,"&gt;"&amp;C1484)+COUNTIFS($A$2:A1484,A1484,$C$2:C1484,C1484)</f>
        <v>3</v>
      </c>
      <c r="E1484" s="59" t="str">
        <f aca="false">A1484&amp;"|"&amp;D1484</f>
        <v>BLR-Soukya|3</v>
      </c>
    </row>
    <row r="1485" customFormat="false" ht="15" hidden="false" customHeight="false" outlineLevel="0" collapsed="false">
      <c r="A1485" s="59" t="s">
        <v>226</v>
      </c>
      <c r="B1485" s="59" t="s">
        <v>424</v>
      </c>
      <c r="C1485" s="60" t="n">
        <v>178.19</v>
      </c>
      <c r="D1485" s="59" t="n">
        <f aca="false">COUNTIFS($A$2:$A$1931,A1485,$C$2:$C$1931,"&gt;"&amp;C1485)+COUNTIFS($A$2:A1485,A1485,$C$2:C1485,C1485)</f>
        <v>4</v>
      </c>
      <c r="E1485" s="59" t="str">
        <f aca="false">A1485&amp;"|"&amp;D1485</f>
        <v>BLR-Soukya|4</v>
      </c>
    </row>
    <row r="1486" customFormat="false" ht="15" hidden="false" customHeight="false" outlineLevel="0" collapsed="false">
      <c r="A1486" s="59" t="s">
        <v>226</v>
      </c>
      <c r="B1486" s="59" t="s">
        <v>417</v>
      </c>
      <c r="C1486" s="60" t="n">
        <v>11.11</v>
      </c>
      <c r="D1486" s="59" t="n">
        <f aca="false">COUNTIFS($A$2:$A$1931,A1486,$C$2:$C$1931,"&gt;"&amp;C1486)+COUNTIFS($A$2:A1486,A1486,$C$2:C1486,C1486)</f>
        <v>5</v>
      </c>
      <c r="E1486" s="59" t="str">
        <f aca="false">A1486&amp;"|"&amp;D1486</f>
        <v>BLR-Soukya|5</v>
      </c>
    </row>
    <row r="1487" customFormat="false" ht="15" hidden="false" customHeight="false" outlineLevel="0" collapsed="false">
      <c r="A1487" s="59" t="s">
        <v>284</v>
      </c>
      <c r="B1487" s="59" t="s">
        <v>418</v>
      </c>
      <c r="C1487" s="60" t="n">
        <v>6003.58</v>
      </c>
      <c r="D1487" s="59" t="n">
        <f aca="false">COUNTIFS($A$2:$A$1931,A1487,$C$2:$C$1931,"&gt;"&amp;C1487)+COUNTIFS($A$2:A1487,A1487,$C$2:C1487,C1487)</f>
        <v>1</v>
      </c>
      <c r="E1487" s="59" t="str">
        <f aca="false">A1487&amp;"|"&amp;D1487</f>
        <v>BLR-Sunrise Layout|1</v>
      </c>
    </row>
    <row r="1488" customFormat="false" ht="15" hidden="false" customHeight="false" outlineLevel="0" collapsed="false">
      <c r="A1488" s="59" t="s">
        <v>284</v>
      </c>
      <c r="B1488" s="59" t="s">
        <v>423</v>
      </c>
      <c r="C1488" s="60" t="n">
        <v>936.72</v>
      </c>
      <c r="D1488" s="59" t="n">
        <f aca="false">COUNTIFS($A$2:$A$1931,A1488,$C$2:$C$1931,"&gt;"&amp;C1488)+COUNTIFS($A$2:A1488,A1488,$C$2:C1488,C1488)</f>
        <v>2</v>
      </c>
      <c r="E1488" s="59" t="str">
        <f aca="false">A1488&amp;"|"&amp;D1488</f>
        <v>BLR-Sunrise Layout|2</v>
      </c>
    </row>
    <row r="1489" customFormat="false" ht="15" hidden="false" customHeight="false" outlineLevel="0" collapsed="false">
      <c r="A1489" s="59" t="s">
        <v>284</v>
      </c>
      <c r="B1489" s="59" t="s">
        <v>412</v>
      </c>
      <c r="C1489" s="60" t="n">
        <v>198.94</v>
      </c>
      <c r="D1489" s="59" t="n">
        <f aca="false">COUNTIFS($A$2:$A$1931,A1489,$C$2:$C$1931,"&gt;"&amp;C1489)+COUNTIFS($A$2:A1489,A1489,$C$2:C1489,C1489)</f>
        <v>3</v>
      </c>
      <c r="E1489" s="59" t="str">
        <f aca="false">A1489&amp;"|"&amp;D1489</f>
        <v>BLR-Sunrise Layout|3</v>
      </c>
    </row>
    <row r="1490" customFormat="false" ht="15" hidden="false" customHeight="false" outlineLevel="0" collapsed="false">
      <c r="A1490" s="59" t="s">
        <v>284</v>
      </c>
      <c r="B1490" s="59" t="s">
        <v>409</v>
      </c>
      <c r="C1490" s="60" t="n">
        <v>124.08</v>
      </c>
      <c r="D1490" s="59" t="n">
        <f aca="false">COUNTIFS($A$2:$A$1931,A1490,$C$2:$C$1931,"&gt;"&amp;C1490)+COUNTIFS($A$2:A1490,A1490,$C$2:C1490,C1490)</f>
        <v>4</v>
      </c>
      <c r="E1490" s="59" t="str">
        <f aca="false">A1490&amp;"|"&amp;D1490</f>
        <v>BLR-Sunrise Layout|4</v>
      </c>
    </row>
    <row r="1491" customFormat="false" ht="15" hidden="false" customHeight="false" outlineLevel="0" collapsed="false">
      <c r="A1491" s="59" t="s">
        <v>284</v>
      </c>
      <c r="B1491" s="59" t="s">
        <v>408</v>
      </c>
      <c r="C1491" s="60" t="n">
        <v>85.04</v>
      </c>
      <c r="D1491" s="59" t="n">
        <f aca="false">COUNTIFS($A$2:$A$1931,A1491,$C$2:$C$1931,"&gt;"&amp;C1491)+COUNTIFS($A$2:A1491,A1491,$C$2:C1491,C1491)</f>
        <v>5</v>
      </c>
      <c r="E1491" s="59" t="str">
        <f aca="false">A1491&amp;"|"&amp;D1491</f>
        <v>BLR-Sunrise Layout|5</v>
      </c>
    </row>
    <row r="1492" customFormat="false" ht="15" hidden="false" customHeight="false" outlineLevel="0" collapsed="false">
      <c r="A1492" s="59" t="s">
        <v>248</v>
      </c>
      <c r="B1492" s="59" t="s">
        <v>431</v>
      </c>
      <c r="C1492" s="60" t="n">
        <v>3358.94</v>
      </c>
      <c r="D1492" s="59" t="n">
        <f aca="false">COUNTIFS($A$2:$A$1931,A1492,$C$2:$C$1931,"&gt;"&amp;C1492)+COUNTIFS($A$2:A1492,A1492,$C$2:C1492,C1492)</f>
        <v>1</v>
      </c>
      <c r="E1492" s="59" t="str">
        <f aca="false">A1492&amp;"|"&amp;D1492</f>
        <v>BLR-TC Palaya|1</v>
      </c>
    </row>
    <row r="1493" customFormat="false" ht="15" hidden="false" customHeight="false" outlineLevel="0" collapsed="false">
      <c r="A1493" s="59" t="s">
        <v>248</v>
      </c>
      <c r="B1493" s="59" t="s">
        <v>408</v>
      </c>
      <c r="C1493" s="60" t="n">
        <v>2254.08</v>
      </c>
      <c r="D1493" s="59" t="n">
        <f aca="false">COUNTIFS($A$2:$A$1931,A1493,$C$2:$C$1931,"&gt;"&amp;C1493)+COUNTIFS($A$2:A1493,A1493,$C$2:C1493,C1493)</f>
        <v>2</v>
      </c>
      <c r="E1493" s="59" t="str">
        <f aca="false">A1493&amp;"|"&amp;D1493</f>
        <v>BLR-TC Palaya|2</v>
      </c>
    </row>
    <row r="1494" customFormat="false" ht="15" hidden="false" customHeight="false" outlineLevel="0" collapsed="false">
      <c r="A1494" s="59" t="s">
        <v>248</v>
      </c>
      <c r="B1494" s="59" t="s">
        <v>417</v>
      </c>
      <c r="C1494" s="60" t="n">
        <v>1515.38</v>
      </c>
      <c r="D1494" s="59" t="n">
        <f aca="false">COUNTIFS($A$2:$A$1931,A1494,$C$2:$C$1931,"&gt;"&amp;C1494)+COUNTIFS($A$2:A1494,A1494,$C$2:C1494,C1494)</f>
        <v>3</v>
      </c>
      <c r="E1494" s="59" t="str">
        <f aca="false">A1494&amp;"|"&amp;D1494</f>
        <v>BLR-TC Palaya|3</v>
      </c>
    </row>
    <row r="1495" customFormat="false" ht="15" hidden="false" customHeight="false" outlineLevel="0" collapsed="false">
      <c r="A1495" s="59" t="s">
        <v>248</v>
      </c>
      <c r="B1495" s="59" t="s">
        <v>419</v>
      </c>
      <c r="C1495" s="60" t="n">
        <v>1429.39</v>
      </c>
      <c r="D1495" s="59" t="n">
        <f aca="false">COUNTIFS($A$2:$A$1931,A1495,$C$2:$C$1931,"&gt;"&amp;C1495)+COUNTIFS($A$2:A1495,A1495,$C$2:C1495,C1495)</f>
        <v>4</v>
      </c>
      <c r="E1495" s="59" t="str">
        <f aca="false">A1495&amp;"|"&amp;D1495</f>
        <v>BLR-TC Palaya|4</v>
      </c>
    </row>
    <row r="1496" customFormat="false" ht="15" hidden="false" customHeight="false" outlineLevel="0" collapsed="false">
      <c r="A1496" s="59" t="s">
        <v>248</v>
      </c>
      <c r="B1496" s="59" t="s">
        <v>426</v>
      </c>
      <c r="C1496" s="60" t="n">
        <v>1334.43</v>
      </c>
      <c r="D1496" s="59" t="n">
        <f aca="false">COUNTIFS($A$2:$A$1931,A1496,$C$2:$C$1931,"&gt;"&amp;C1496)+COUNTIFS($A$2:A1496,A1496,$C$2:C1496,C1496)</f>
        <v>5</v>
      </c>
      <c r="E1496" s="59" t="str">
        <f aca="false">A1496&amp;"|"&amp;D1496</f>
        <v>BLR-TC Palaya|5</v>
      </c>
    </row>
    <row r="1497" customFormat="false" ht="15" hidden="false" customHeight="false" outlineLevel="0" collapsed="false">
      <c r="A1497" s="59" t="s">
        <v>248</v>
      </c>
      <c r="B1497" s="59" t="s">
        <v>413</v>
      </c>
      <c r="C1497" s="60" t="n">
        <v>723.64</v>
      </c>
      <c r="D1497" s="59" t="n">
        <f aca="false">COUNTIFS($A$2:$A$1931,A1497,$C$2:$C$1931,"&gt;"&amp;C1497)+COUNTIFS($A$2:A1497,A1497,$C$2:C1497,C1497)</f>
        <v>6</v>
      </c>
      <c r="E1497" s="59" t="str">
        <f aca="false">A1497&amp;"|"&amp;D1497</f>
        <v>BLR-TC Palaya|6</v>
      </c>
    </row>
    <row r="1498" customFormat="false" ht="15" hidden="false" customHeight="false" outlineLevel="0" collapsed="false">
      <c r="A1498" s="59" t="s">
        <v>248</v>
      </c>
      <c r="B1498" s="59" t="s">
        <v>424</v>
      </c>
      <c r="C1498" s="60" t="n">
        <v>570.59</v>
      </c>
      <c r="D1498" s="59" t="n">
        <f aca="false">COUNTIFS($A$2:$A$1931,A1498,$C$2:$C$1931,"&gt;"&amp;C1498)+COUNTIFS($A$2:A1498,A1498,$C$2:C1498,C1498)</f>
        <v>7</v>
      </c>
      <c r="E1498" s="59" t="str">
        <f aca="false">A1498&amp;"|"&amp;D1498</f>
        <v>BLR-TC Palaya|7</v>
      </c>
    </row>
    <row r="1499" customFormat="false" ht="15" hidden="false" customHeight="false" outlineLevel="0" collapsed="false">
      <c r="A1499" s="59" t="s">
        <v>248</v>
      </c>
      <c r="B1499" s="59" t="s">
        <v>420</v>
      </c>
      <c r="C1499" s="60" t="n">
        <v>347.29</v>
      </c>
      <c r="D1499" s="59" t="n">
        <f aca="false">COUNTIFS($A$2:$A$1931,A1499,$C$2:$C$1931,"&gt;"&amp;C1499)+COUNTIFS($A$2:A1499,A1499,$C$2:C1499,C1499)</f>
        <v>8</v>
      </c>
      <c r="E1499" s="59" t="str">
        <f aca="false">A1499&amp;"|"&amp;D1499</f>
        <v>BLR-TC Palaya|8</v>
      </c>
    </row>
    <row r="1500" customFormat="false" ht="15" hidden="false" customHeight="false" outlineLevel="0" collapsed="false">
      <c r="A1500" s="59" t="s">
        <v>248</v>
      </c>
      <c r="B1500" s="59" t="s">
        <v>418</v>
      </c>
      <c r="C1500" s="60" t="n">
        <v>294.54</v>
      </c>
      <c r="D1500" s="59" t="n">
        <f aca="false">COUNTIFS($A$2:$A$1931,A1500,$C$2:$C$1931,"&gt;"&amp;C1500)+COUNTIFS($A$2:A1500,A1500,$C$2:C1500,C1500)</f>
        <v>9</v>
      </c>
      <c r="E1500" s="59" t="str">
        <f aca="false">A1500&amp;"|"&amp;D1500</f>
        <v>BLR-TC Palaya|9</v>
      </c>
    </row>
    <row r="1501" customFormat="false" ht="15" hidden="false" customHeight="false" outlineLevel="0" collapsed="false">
      <c r="A1501" s="59" t="s">
        <v>248</v>
      </c>
      <c r="B1501" s="59" t="s">
        <v>415</v>
      </c>
      <c r="C1501" s="60" t="n">
        <v>283.3</v>
      </c>
      <c r="D1501" s="59" t="n">
        <f aca="false">COUNTIFS($A$2:$A$1931,A1501,$C$2:$C$1931,"&gt;"&amp;C1501)+COUNTIFS($A$2:A1501,A1501,$C$2:C1501,C1501)</f>
        <v>10</v>
      </c>
      <c r="E1501" s="59" t="str">
        <f aca="false">A1501&amp;"|"&amp;D1501</f>
        <v>BLR-TC Palaya|10</v>
      </c>
    </row>
    <row r="1502" customFormat="false" ht="15" hidden="false" customHeight="false" outlineLevel="0" collapsed="false">
      <c r="A1502" s="59" t="s">
        <v>248</v>
      </c>
      <c r="B1502" s="59" t="s">
        <v>412</v>
      </c>
      <c r="C1502" s="60" t="n">
        <v>50.05</v>
      </c>
      <c r="D1502" s="59" t="n">
        <f aca="false">COUNTIFS($A$2:$A$1931,A1502,$C$2:$C$1931,"&gt;"&amp;C1502)+COUNTIFS($A$2:A1502,A1502,$C$2:C1502,C1502)</f>
        <v>11</v>
      </c>
      <c r="E1502" s="59" t="str">
        <f aca="false">A1502&amp;"|"&amp;D1502</f>
        <v>BLR-TC Palaya|11</v>
      </c>
    </row>
    <row r="1503" customFormat="false" ht="15" hidden="false" customHeight="false" outlineLevel="0" collapsed="false">
      <c r="A1503" s="59" t="s">
        <v>248</v>
      </c>
      <c r="B1503" s="59" t="s">
        <v>410</v>
      </c>
      <c r="C1503" s="60" t="n">
        <v>33.6</v>
      </c>
      <c r="D1503" s="59" t="n">
        <f aca="false">COUNTIFS($A$2:$A$1931,A1503,$C$2:$C$1931,"&gt;"&amp;C1503)+COUNTIFS($A$2:A1503,A1503,$C$2:C1503,C1503)</f>
        <v>12</v>
      </c>
      <c r="E1503" s="59" t="str">
        <f aca="false">A1503&amp;"|"&amp;D1503</f>
        <v>BLR-TC Palaya|12</v>
      </c>
    </row>
    <row r="1504" customFormat="false" ht="15" hidden="false" customHeight="false" outlineLevel="0" collapsed="false">
      <c r="A1504" s="59" t="s">
        <v>259</v>
      </c>
      <c r="B1504" s="59" t="s">
        <v>417</v>
      </c>
      <c r="C1504" s="60" t="n">
        <v>1420.55</v>
      </c>
      <c r="D1504" s="59" t="n">
        <f aca="false">COUNTIFS($A$2:$A$1931,A1504,$C$2:$C$1931,"&gt;"&amp;C1504)+COUNTIFS($A$2:A1504,A1504,$C$2:C1504,C1504)</f>
        <v>1</v>
      </c>
      <c r="E1504" s="59" t="str">
        <f aca="false">A1504&amp;"|"&amp;D1504</f>
        <v>BLR-TMC Layout|1</v>
      </c>
    </row>
    <row r="1505" customFormat="false" ht="15" hidden="false" customHeight="false" outlineLevel="0" collapsed="false">
      <c r="A1505" s="59" t="s">
        <v>259</v>
      </c>
      <c r="B1505" s="59" t="s">
        <v>408</v>
      </c>
      <c r="C1505" s="60" t="n">
        <v>712.39</v>
      </c>
      <c r="D1505" s="59" t="n">
        <f aca="false">COUNTIFS($A$2:$A$1931,A1505,$C$2:$C$1931,"&gt;"&amp;C1505)+COUNTIFS($A$2:A1505,A1505,$C$2:C1505,C1505)</f>
        <v>2</v>
      </c>
      <c r="E1505" s="59" t="str">
        <f aca="false">A1505&amp;"|"&amp;D1505</f>
        <v>BLR-TMC Layout|2</v>
      </c>
    </row>
    <row r="1506" customFormat="false" ht="15" hidden="false" customHeight="false" outlineLevel="0" collapsed="false">
      <c r="A1506" s="59" t="s">
        <v>259</v>
      </c>
      <c r="B1506" s="59" t="s">
        <v>412</v>
      </c>
      <c r="C1506" s="60" t="n">
        <v>442.12</v>
      </c>
      <c r="D1506" s="59" t="n">
        <f aca="false">COUNTIFS($A$2:$A$1931,A1506,$C$2:$C$1931,"&gt;"&amp;C1506)+COUNTIFS($A$2:A1506,A1506,$C$2:C1506,C1506)</f>
        <v>3</v>
      </c>
      <c r="E1506" s="59" t="str">
        <f aca="false">A1506&amp;"|"&amp;D1506</f>
        <v>BLR-TMC Layout|3</v>
      </c>
    </row>
    <row r="1507" customFormat="false" ht="15" hidden="false" customHeight="false" outlineLevel="0" collapsed="false">
      <c r="A1507" s="59" t="s">
        <v>259</v>
      </c>
      <c r="B1507" s="59" t="s">
        <v>424</v>
      </c>
      <c r="C1507" s="60" t="n">
        <v>181.79</v>
      </c>
      <c r="D1507" s="59" t="n">
        <f aca="false">COUNTIFS($A$2:$A$1931,A1507,$C$2:$C$1931,"&gt;"&amp;C1507)+COUNTIFS($A$2:A1507,A1507,$C$2:C1507,C1507)</f>
        <v>4</v>
      </c>
      <c r="E1507" s="59" t="str">
        <f aca="false">A1507&amp;"|"&amp;D1507</f>
        <v>BLR-TMC Layout|4</v>
      </c>
    </row>
    <row r="1508" customFormat="false" ht="15" hidden="false" customHeight="false" outlineLevel="0" collapsed="false">
      <c r="A1508" s="59" t="s">
        <v>259</v>
      </c>
      <c r="B1508" s="59" t="s">
        <v>410</v>
      </c>
      <c r="C1508" s="60" t="n">
        <v>161.12</v>
      </c>
      <c r="D1508" s="59" t="n">
        <f aca="false">COUNTIFS($A$2:$A$1931,A1508,$C$2:$C$1931,"&gt;"&amp;C1508)+COUNTIFS($A$2:A1508,A1508,$C$2:C1508,C1508)</f>
        <v>5</v>
      </c>
      <c r="E1508" s="59" t="str">
        <f aca="false">A1508&amp;"|"&amp;D1508</f>
        <v>BLR-TMC Layout|5</v>
      </c>
    </row>
    <row r="1509" customFormat="false" ht="15" hidden="false" customHeight="false" outlineLevel="0" collapsed="false">
      <c r="A1509" s="59" t="s">
        <v>196</v>
      </c>
      <c r="B1509" s="59" t="s">
        <v>414</v>
      </c>
      <c r="C1509" s="60" t="n">
        <v>1483.37</v>
      </c>
      <c r="D1509" s="59" t="n">
        <f aca="false">COUNTIFS($A$2:$A$1931,A1509,$C$2:$C$1931,"&gt;"&amp;C1509)+COUNTIFS($A$2:A1509,A1509,$C$2:C1509,C1509)</f>
        <v>1</v>
      </c>
      <c r="E1509" s="59" t="str">
        <f aca="false">A1509&amp;"|"&amp;D1509</f>
        <v>BLR-Teachers colony|1</v>
      </c>
    </row>
    <row r="1510" customFormat="false" ht="15" hidden="false" customHeight="false" outlineLevel="0" collapsed="false">
      <c r="A1510" s="59" t="s">
        <v>196</v>
      </c>
      <c r="B1510" s="59" t="s">
        <v>431</v>
      </c>
      <c r="C1510" s="60" t="n">
        <v>648.25</v>
      </c>
      <c r="D1510" s="59" t="n">
        <f aca="false">COUNTIFS($A$2:$A$1931,A1510,$C$2:$C$1931,"&gt;"&amp;C1510)+COUNTIFS($A$2:A1510,A1510,$C$2:C1510,C1510)</f>
        <v>2</v>
      </c>
      <c r="E1510" s="59" t="str">
        <f aca="false">A1510&amp;"|"&amp;D1510</f>
        <v>BLR-Teachers colony|2</v>
      </c>
    </row>
    <row r="1511" customFormat="false" ht="15" hidden="false" customHeight="false" outlineLevel="0" collapsed="false">
      <c r="A1511" s="59" t="s">
        <v>196</v>
      </c>
      <c r="B1511" s="59" t="s">
        <v>419</v>
      </c>
      <c r="C1511" s="60" t="n">
        <v>392.33</v>
      </c>
      <c r="D1511" s="59" t="n">
        <f aca="false">COUNTIFS($A$2:$A$1931,A1511,$C$2:$C$1931,"&gt;"&amp;C1511)+COUNTIFS($A$2:A1511,A1511,$C$2:C1511,C1511)</f>
        <v>3</v>
      </c>
      <c r="E1511" s="59" t="str">
        <f aca="false">A1511&amp;"|"&amp;D1511</f>
        <v>BLR-Teachers colony|3</v>
      </c>
    </row>
    <row r="1512" customFormat="false" ht="15" hidden="false" customHeight="false" outlineLevel="0" collapsed="false">
      <c r="A1512" s="59" t="s">
        <v>196</v>
      </c>
      <c r="B1512" s="59" t="s">
        <v>408</v>
      </c>
      <c r="C1512" s="60" t="n">
        <v>154.79</v>
      </c>
      <c r="D1512" s="59" t="n">
        <f aca="false">COUNTIFS($A$2:$A$1931,A1512,$C$2:$C$1931,"&gt;"&amp;C1512)+COUNTIFS($A$2:A1512,A1512,$C$2:C1512,C1512)</f>
        <v>4</v>
      </c>
      <c r="E1512" s="59" t="str">
        <f aca="false">A1512&amp;"|"&amp;D1512</f>
        <v>BLR-Teachers colony|4</v>
      </c>
    </row>
    <row r="1513" customFormat="false" ht="15" hidden="false" customHeight="false" outlineLevel="0" collapsed="false">
      <c r="A1513" s="59" t="s">
        <v>196</v>
      </c>
      <c r="B1513" s="59" t="s">
        <v>424</v>
      </c>
      <c r="C1513" s="60" t="n">
        <v>154.15</v>
      </c>
      <c r="D1513" s="59" t="n">
        <f aca="false">COUNTIFS($A$2:$A$1931,A1513,$C$2:$C$1931,"&gt;"&amp;C1513)+COUNTIFS($A$2:A1513,A1513,$C$2:C1513,C1513)</f>
        <v>5</v>
      </c>
      <c r="E1513" s="59" t="str">
        <f aca="false">A1513&amp;"|"&amp;D1513</f>
        <v>BLR-Teachers colony|5</v>
      </c>
    </row>
    <row r="1514" customFormat="false" ht="15" hidden="false" customHeight="false" outlineLevel="0" collapsed="false">
      <c r="A1514" s="59" t="s">
        <v>196</v>
      </c>
      <c r="B1514" s="59" t="s">
        <v>412</v>
      </c>
      <c r="C1514" s="60" t="n">
        <v>77.14</v>
      </c>
      <c r="D1514" s="59" t="n">
        <f aca="false">COUNTIFS($A$2:$A$1931,A1514,$C$2:$C$1931,"&gt;"&amp;C1514)+COUNTIFS($A$2:A1514,A1514,$C$2:C1514,C1514)</f>
        <v>6</v>
      </c>
      <c r="E1514" s="59" t="str">
        <f aca="false">A1514&amp;"|"&amp;D1514</f>
        <v>BLR-Teachers colony|6</v>
      </c>
    </row>
    <row r="1515" customFormat="false" ht="15" hidden="false" customHeight="false" outlineLevel="0" collapsed="false">
      <c r="A1515" s="59" t="s">
        <v>196</v>
      </c>
      <c r="B1515" s="59" t="s">
        <v>415</v>
      </c>
      <c r="C1515" s="60" t="n">
        <v>29.86</v>
      </c>
      <c r="D1515" s="59" t="n">
        <f aca="false">COUNTIFS($A$2:$A$1931,A1515,$C$2:$C$1931,"&gt;"&amp;C1515)+COUNTIFS($A$2:A1515,A1515,$C$2:C1515,C1515)</f>
        <v>7</v>
      </c>
      <c r="E1515" s="59" t="str">
        <f aca="false">A1515&amp;"|"&amp;D1515</f>
        <v>BLR-Teachers colony|7</v>
      </c>
    </row>
    <row r="1516" customFormat="false" ht="15" hidden="false" customHeight="false" outlineLevel="0" collapsed="false">
      <c r="A1516" s="59" t="s">
        <v>196</v>
      </c>
      <c r="B1516" s="59" t="s">
        <v>417</v>
      </c>
      <c r="C1516" s="60" t="n">
        <v>27.86</v>
      </c>
      <c r="D1516" s="59" t="n">
        <f aca="false">COUNTIFS($A$2:$A$1931,A1516,$C$2:$C$1931,"&gt;"&amp;C1516)+COUNTIFS($A$2:A1516,A1516,$C$2:C1516,C1516)</f>
        <v>8</v>
      </c>
      <c r="E1516" s="59" t="str">
        <f aca="false">A1516&amp;"|"&amp;D1516</f>
        <v>BLR-Teachers colony|8</v>
      </c>
    </row>
    <row r="1517" customFormat="false" ht="15" hidden="false" customHeight="false" outlineLevel="0" collapsed="false">
      <c r="A1517" s="59" t="s">
        <v>54</v>
      </c>
      <c r="B1517" s="59" t="s">
        <v>415</v>
      </c>
      <c r="C1517" s="60" t="n">
        <v>14200.99</v>
      </c>
      <c r="D1517" s="59" t="n">
        <f aca="false">COUNTIFS($A$2:$A$1931,A1517,$C$2:$C$1931,"&gt;"&amp;C1517)+COUNTIFS($A$2:A1517,A1517,$C$2:C1517,C1517)</f>
        <v>1</v>
      </c>
      <c r="E1517" s="59" t="str">
        <f aca="false">A1517&amp;"|"&amp;D1517</f>
        <v>BLR-Thyagaraja Nagar|1</v>
      </c>
    </row>
    <row r="1518" customFormat="false" ht="15" hidden="false" customHeight="false" outlineLevel="0" collapsed="false">
      <c r="A1518" s="59" t="s">
        <v>54</v>
      </c>
      <c r="B1518" s="59" t="s">
        <v>418</v>
      </c>
      <c r="C1518" s="60" t="n">
        <v>5993.39</v>
      </c>
      <c r="D1518" s="59" t="n">
        <f aca="false">COUNTIFS($A$2:$A$1931,A1518,$C$2:$C$1931,"&gt;"&amp;C1518)+COUNTIFS($A$2:A1518,A1518,$C$2:C1518,C1518)</f>
        <v>2</v>
      </c>
      <c r="E1518" s="59" t="str">
        <f aca="false">A1518&amp;"|"&amp;D1518</f>
        <v>BLR-Thyagaraja Nagar|2</v>
      </c>
    </row>
    <row r="1519" customFormat="false" ht="15" hidden="false" customHeight="false" outlineLevel="0" collapsed="false">
      <c r="A1519" s="59" t="s">
        <v>54</v>
      </c>
      <c r="B1519" s="59" t="s">
        <v>431</v>
      </c>
      <c r="C1519" s="60" t="n">
        <v>4690.59</v>
      </c>
      <c r="D1519" s="59" t="n">
        <f aca="false">COUNTIFS($A$2:$A$1931,A1519,$C$2:$C$1931,"&gt;"&amp;C1519)+COUNTIFS($A$2:A1519,A1519,$C$2:C1519,C1519)</f>
        <v>3</v>
      </c>
      <c r="E1519" s="59" t="str">
        <f aca="false">A1519&amp;"|"&amp;D1519</f>
        <v>BLR-Thyagaraja Nagar|3</v>
      </c>
    </row>
    <row r="1520" customFormat="false" ht="15" hidden="false" customHeight="false" outlineLevel="0" collapsed="false">
      <c r="A1520" s="59" t="s">
        <v>54</v>
      </c>
      <c r="B1520" s="59" t="s">
        <v>424</v>
      </c>
      <c r="C1520" s="60" t="n">
        <v>1418.35</v>
      </c>
      <c r="D1520" s="59" t="n">
        <f aca="false">COUNTIFS($A$2:$A$1931,A1520,$C$2:$C$1931,"&gt;"&amp;C1520)+COUNTIFS($A$2:A1520,A1520,$C$2:C1520,C1520)</f>
        <v>4</v>
      </c>
      <c r="E1520" s="59" t="str">
        <f aca="false">A1520&amp;"|"&amp;D1520</f>
        <v>BLR-Thyagaraja Nagar|4</v>
      </c>
    </row>
    <row r="1521" customFormat="false" ht="15" hidden="false" customHeight="false" outlineLevel="0" collapsed="false">
      <c r="A1521" s="59" t="s">
        <v>54</v>
      </c>
      <c r="B1521" s="59" t="s">
        <v>409</v>
      </c>
      <c r="C1521" s="60" t="n">
        <v>176.01</v>
      </c>
      <c r="D1521" s="59" t="n">
        <f aca="false">COUNTIFS($A$2:$A$1931,A1521,$C$2:$C$1931,"&gt;"&amp;C1521)+COUNTIFS($A$2:A1521,A1521,$C$2:C1521,C1521)</f>
        <v>5</v>
      </c>
      <c r="E1521" s="59" t="str">
        <f aca="false">A1521&amp;"|"&amp;D1521</f>
        <v>BLR-Thyagaraja Nagar|5</v>
      </c>
    </row>
    <row r="1522" customFormat="false" ht="15" hidden="false" customHeight="false" outlineLevel="0" collapsed="false">
      <c r="A1522" s="59" t="s">
        <v>54</v>
      </c>
      <c r="B1522" s="59" t="s">
        <v>408</v>
      </c>
      <c r="C1522" s="60" t="n">
        <v>136.96</v>
      </c>
      <c r="D1522" s="59" t="n">
        <f aca="false">COUNTIFS($A$2:$A$1931,A1522,$C$2:$C$1931,"&gt;"&amp;C1522)+COUNTIFS($A$2:A1522,A1522,$C$2:C1522,C1522)</f>
        <v>6</v>
      </c>
      <c r="E1522" s="59" t="str">
        <f aca="false">A1522&amp;"|"&amp;D1522</f>
        <v>BLR-Thyagaraja Nagar|6</v>
      </c>
    </row>
    <row r="1523" customFormat="false" ht="15" hidden="false" customHeight="false" outlineLevel="0" collapsed="false">
      <c r="A1523" s="59" t="s">
        <v>137</v>
      </c>
      <c r="B1523" s="59" t="s">
        <v>413</v>
      </c>
      <c r="C1523" s="60" t="n">
        <v>10105.57</v>
      </c>
      <c r="D1523" s="59" t="n">
        <f aca="false">COUNTIFS($A$2:$A$1931,A1523,$C$2:$C$1931,"&gt;"&amp;C1523)+COUNTIFS($A$2:A1523,A1523,$C$2:C1523,C1523)</f>
        <v>1</v>
      </c>
      <c r="E1523" s="59" t="str">
        <f aca="false">A1523&amp;"|"&amp;D1523</f>
        <v>BLR-Tippenahalli|1</v>
      </c>
    </row>
    <row r="1524" customFormat="false" ht="15" hidden="false" customHeight="false" outlineLevel="0" collapsed="false">
      <c r="A1524" s="59" t="s">
        <v>137</v>
      </c>
      <c r="B1524" s="59" t="s">
        <v>410</v>
      </c>
      <c r="C1524" s="60" t="n">
        <v>6381.18</v>
      </c>
      <c r="D1524" s="59" t="n">
        <f aca="false">COUNTIFS($A$2:$A$1931,A1524,$C$2:$C$1931,"&gt;"&amp;C1524)+COUNTIFS($A$2:A1524,A1524,$C$2:C1524,C1524)</f>
        <v>2</v>
      </c>
      <c r="E1524" s="59" t="str">
        <f aca="false">A1524&amp;"|"&amp;D1524</f>
        <v>BLR-Tippenahalli|2</v>
      </c>
    </row>
    <row r="1525" customFormat="false" ht="15" hidden="false" customHeight="false" outlineLevel="0" collapsed="false">
      <c r="A1525" s="59" t="s">
        <v>137</v>
      </c>
      <c r="B1525" s="59" t="s">
        <v>409</v>
      </c>
      <c r="C1525" s="60" t="n">
        <v>4790.73</v>
      </c>
      <c r="D1525" s="59" t="n">
        <f aca="false">COUNTIFS($A$2:$A$1931,A1525,$C$2:$C$1931,"&gt;"&amp;C1525)+COUNTIFS($A$2:A1525,A1525,$C$2:C1525,C1525)</f>
        <v>3</v>
      </c>
      <c r="E1525" s="59" t="str">
        <f aca="false">A1525&amp;"|"&amp;D1525</f>
        <v>BLR-Tippenahalli|3</v>
      </c>
    </row>
    <row r="1526" customFormat="false" ht="15" hidden="false" customHeight="false" outlineLevel="0" collapsed="false">
      <c r="A1526" s="59" t="s">
        <v>137</v>
      </c>
      <c r="B1526" s="59" t="s">
        <v>420</v>
      </c>
      <c r="C1526" s="60" t="n">
        <v>4463.38</v>
      </c>
      <c r="D1526" s="59" t="n">
        <f aca="false">COUNTIFS($A$2:$A$1931,A1526,$C$2:$C$1931,"&gt;"&amp;C1526)+COUNTIFS($A$2:A1526,A1526,$C$2:C1526,C1526)</f>
        <v>4</v>
      </c>
      <c r="E1526" s="59" t="str">
        <f aca="false">A1526&amp;"|"&amp;D1526</f>
        <v>BLR-Tippenahalli|4</v>
      </c>
    </row>
    <row r="1527" customFormat="false" ht="15" hidden="false" customHeight="false" outlineLevel="0" collapsed="false">
      <c r="A1527" s="59" t="s">
        <v>137</v>
      </c>
      <c r="B1527" s="59" t="s">
        <v>418</v>
      </c>
      <c r="C1527" s="60" t="n">
        <v>1367.43</v>
      </c>
      <c r="D1527" s="59" t="n">
        <f aca="false">COUNTIFS($A$2:$A$1931,A1527,$C$2:$C$1931,"&gt;"&amp;C1527)+COUNTIFS($A$2:A1527,A1527,$C$2:C1527,C1527)</f>
        <v>5</v>
      </c>
      <c r="E1527" s="59" t="str">
        <f aca="false">A1527&amp;"|"&amp;D1527</f>
        <v>BLR-Tippenahalli|5</v>
      </c>
    </row>
    <row r="1528" customFormat="false" ht="15" hidden="false" customHeight="false" outlineLevel="0" collapsed="false">
      <c r="A1528" s="59" t="s">
        <v>167</v>
      </c>
      <c r="B1528" s="59" t="s">
        <v>419</v>
      </c>
      <c r="C1528" s="60" t="n">
        <v>9103.19</v>
      </c>
      <c r="D1528" s="59" t="n">
        <f aca="false">COUNTIFS($A$2:$A$1931,A1528,$C$2:$C$1931,"&gt;"&amp;C1528)+COUNTIFS($A$2:A1528,A1528,$C$2:C1528,C1528)</f>
        <v>1</v>
      </c>
      <c r="E1528" s="59" t="str">
        <f aca="false">A1528&amp;"|"&amp;D1528</f>
        <v>BLR-Ullal|1</v>
      </c>
    </row>
    <row r="1529" customFormat="false" ht="15" hidden="false" customHeight="false" outlineLevel="0" collapsed="false">
      <c r="A1529" s="59" t="s">
        <v>167</v>
      </c>
      <c r="B1529" s="59" t="s">
        <v>420</v>
      </c>
      <c r="C1529" s="60" t="n">
        <v>3244.26</v>
      </c>
      <c r="D1529" s="59" t="n">
        <f aca="false">COUNTIFS($A$2:$A$1931,A1529,$C$2:$C$1931,"&gt;"&amp;C1529)+COUNTIFS($A$2:A1529,A1529,$C$2:C1529,C1529)</f>
        <v>2</v>
      </c>
      <c r="E1529" s="59" t="str">
        <f aca="false">A1529&amp;"|"&amp;D1529</f>
        <v>BLR-Ullal|2</v>
      </c>
    </row>
    <row r="1530" customFormat="false" ht="15" hidden="false" customHeight="false" outlineLevel="0" collapsed="false">
      <c r="A1530" s="59" t="s">
        <v>167</v>
      </c>
      <c r="B1530" s="59" t="s">
        <v>426</v>
      </c>
      <c r="C1530" s="60" t="n">
        <v>1384.47</v>
      </c>
      <c r="D1530" s="59" t="n">
        <f aca="false">COUNTIFS($A$2:$A$1931,A1530,$C$2:$C$1931,"&gt;"&amp;C1530)+COUNTIFS($A$2:A1530,A1530,$C$2:C1530,C1530)</f>
        <v>3</v>
      </c>
      <c r="E1530" s="59" t="str">
        <f aca="false">A1530&amp;"|"&amp;D1530</f>
        <v>BLR-Ullal|3</v>
      </c>
    </row>
    <row r="1531" customFormat="false" ht="15" hidden="false" customHeight="false" outlineLevel="0" collapsed="false">
      <c r="A1531" s="59" t="s">
        <v>167</v>
      </c>
      <c r="B1531" s="59" t="s">
        <v>416</v>
      </c>
      <c r="C1531" s="60" t="n">
        <v>944.73</v>
      </c>
      <c r="D1531" s="59" t="n">
        <f aca="false">COUNTIFS($A$2:$A$1931,A1531,$C$2:$C$1931,"&gt;"&amp;C1531)+COUNTIFS($A$2:A1531,A1531,$C$2:C1531,C1531)</f>
        <v>4</v>
      </c>
      <c r="E1531" s="59" t="str">
        <f aca="false">A1531&amp;"|"&amp;D1531</f>
        <v>BLR-Ullal|4</v>
      </c>
    </row>
    <row r="1532" customFormat="false" ht="15" hidden="false" customHeight="false" outlineLevel="0" collapsed="false">
      <c r="A1532" s="59" t="s">
        <v>167</v>
      </c>
      <c r="B1532" s="59" t="s">
        <v>423</v>
      </c>
      <c r="C1532" s="60" t="n">
        <v>288.32</v>
      </c>
      <c r="D1532" s="59" t="n">
        <f aca="false">COUNTIFS($A$2:$A$1931,A1532,$C$2:$C$1931,"&gt;"&amp;C1532)+COUNTIFS($A$2:A1532,A1532,$C$2:C1532,C1532)</f>
        <v>5</v>
      </c>
      <c r="E1532" s="59" t="str">
        <f aca="false">A1532&amp;"|"&amp;D1532</f>
        <v>BLR-Ullal|5</v>
      </c>
    </row>
    <row r="1533" customFormat="false" ht="15" hidden="false" customHeight="false" outlineLevel="0" collapsed="false">
      <c r="A1533" s="59" t="s">
        <v>167</v>
      </c>
      <c r="B1533" s="59" t="s">
        <v>418</v>
      </c>
      <c r="C1533" s="60" t="n">
        <v>238.94</v>
      </c>
      <c r="D1533" s="59" t="n">
        <f aca="false">COUNTIFS($A$2:$A$1931,A1533,$C$2:$C$1931,"&gt;"&amp;C1533)+COUNTIFS($A$2:A1533,A1533,$C$2:C1533,C1533)</f>
        <v>6</v>
      </c>
      <c r="E1533" s="59" t="str">
        <f aca="false">A1533&amp;"|"&amp;D1533</f>
        <v>BLR-Ullal|6</v>
      </c>
    </row>
    <row r="1534" customFormat="false" ht="15" hidden="false" customHeight="false" outlineLevel="0" collapsed="false">
      <c r="A1534" s="59" t="s">
        <v>167</v>
      </c>
      <c r="B1534" s="59" t="s">
        <v>409</v>
      </c>
      <c r="C1534" s="60" t="n">
        <v>237.1</v>
      </c>
      <c r="D1534" s="59" t="n">
        <f aca="false">COUNTIFS($A$2:$A$1931,A1534,$C$2:$C$1931,"&gt;"&amp;C1534)+COUNTIFS($A$2:A1534,A1534,$C$2:C1534,C1534)</f>
        <v>7</v>
      </c>
      <c r="E1534" s="59" t="str">
        <f aca="false">A1534&amp;"|"&amp;D1534</f>
        <v>BLR-Ullal|7</v>
      </c>
    </row>
    <row r="1535" customFormat="false" ht="15" hidden="false" customHeight="false" outlineLevel="0" collapsed="false">
      <c r="A1535" s="59" t="s">
        <v>58</v>
      </c>
      <c r="B1535" s="59" t="s">
        <v>407</v>
      </c>
      <c r="C1535" s="60" t="n">
        <v>8869.3</v>
      </c>
      <c r="D1535" s="59" t="n">
        <f aca="false">COUNTIFS($A$2:$A$1931,A1535,$C$2:$C$1931,"&gt;"&amp;C1535)+COUNTIFS($A$2:A1535,A1535,$C$2:C1535,C1535)</f>
        <v>1</v>
      </c>
      <c r="E1535" s="59" t="str">
        <f aca="false">A1535&amp;"|"&amp;D1535</f>
        <v>BLR-VIJAY NAGAR|1</v>
      </c>
    </row>
    <row r="1536" customFormat="false" ht="15" hidden="false" customHeight="false" outlineLevel="0" collapsed="false">
      <c r="A1536" s="59" t="s">
        <v>58</v>
      </c>
      <c r="B1536" s="59" t="s">
        <v>410</v>
      </c>
      <c r="C1536" s="60" t="n">
        <v>6273.53</v>
      </c>
      <c r="D1536" s="59" t="n">
        <f aca="false">COUNTIFS($A$2:$A$1931,A1536,$C$2:$C$1931,"&gt;"&amp;C1536)+COUNTIFS($A$2:A1536,A1536,$C$2:C1536,C1536)</f>
        <v>2</v>
      </c>
      <c r="E1536" s="59" t="str">
        <f aca="false">A1536&amp;"|"&amp;D1536</f>
        <v>BLR-VIJAY NAGAR|2</v>
      </c>
    </row>
    <row r="1537" customFormat="false" ht="15" hidden="false" customHeight="false" outlineLevel="0" collapsed="false">
      <c r="A1537" s="59" t="s">
        <v>58</v>
      </c>
      <c r="B1537" s="59" t="s">
        <v>417</v>
      </c>
      <c r="C1537" s="60" t="n">
        <v>6007.55</v>
      </c>
      <c r="D1537" s="59" t="n">
        <f aca="false">COUNTIFS($A$2:$A$1931,A1537,$C$2:$C$1931,"&gt;"&amp;C1537)+COUNTIFS($A$2:A1537,A1537,$C$2:C1537,C1537)</f>
        <v>3</v>
      </c>
      <c r="E1537" s="59" t="str">
        <f aca="false">A1537&amp;"|"&amp;D1537</f>
        <v>BLR-VIJAY NAGAR|3</v>
      </c>
    </row>
    <row r="1538" customFormat="false" ht="15" hidden="false" customHeight="false" outlineLevel="0" collapsed="false">
      <c r="A1538" s="59" t="s">
        <v>58</v>
      </c>
      <c r="B1538" s="59" t="s">
        <v>413</v>
      </c>
      <c r="C1538" s="60" t="n">
        <v>4133.18</v>
      </c>
      <c r="D1538" s="59" t="n">
        <f aca="false">COUNTIFS($A$2:$A$1931,A1538,$C$2:$C$1931,"&gt;"&amp;C1538)+COUNTIFS($A$2:A1538,A1538,$C$2:C1538,C1538)</f>
        <v>4</v>
      </c>
      <c r="E1538" s="59" t="str">
        <f aca="false">A1538&amp;"|"&amp;D1538</f>
        <v>BLR-VIJAY NAGAR|4</v>
      </c>
    </row>
    <row r="1539" customFormat="false" ht="15" hidden="false" customHeight="false" outlineLevel="0" collapsed="false">
      <c r="A1539" s="59" t="s">
        <v>58</v>
      </c>
      <c r="B1539" s="59" t="s">
        <v>408</v>
      </c>
      <c r="C1539" s="60" t="n">
        <v>2733.93</v>
      </c>
      <c r="D1539" s="59" t="n">
        <f aca="false">COUNTIFS($A$2:$A$1931,A1539,$C$2:$C$1931,"&gt;"&amp;C1539)+COUNTIFS($A$2:A1539,A1539,$C$2:C1539,C1539)</f>
        <v>5</v>
      </c>
      <c r="E1539" s="59" t="str">
        <f aca="false">A1539&amp;"|"&amp;D1539</f>
        <v>BLR-VIJAY NAGAR|5</v>
      </c>
    </row>
    <row r="1540" customFormat="false" ht="15" hidden="false" customHeight="false" outlineLevel="0" collapsed="false">
      <c r="A1540" s="59" t="s">
        <v>58</v>
      </c>
      <c r="B1540" s="59" t="s">
        <v>419</v>
      </c>
      <c r="C1540" s="60" t="n">
        <v>1321.35</v>
      </c>
      <c r="D1540" s="59" t="n">
        <f aca="false">COUNTIFS($A$2:$A$1931,A1540,$C$2:$C$1931,"&gt;"&amp;C1540)+COUNTIFS($A$2:A1540,A1540,$C$2:C1540,C1540)</f>
        <v>6</v>
      </c>
      <c r="E1540" s="59" t="str">
        <f aca="false">A1540&amp;"|"&amp;D1540</f>
        <v>BLR-VIJAY NAGAR|6</v>
      </c>
    </row>
    <row r="1541" customFormat="false" ht="15" hidden="false" customHeight="false" outlineLevel="0" collapsed="false">
      <c r="A1541" s="59" t="s">
        <v>58</v>
      </c>
      <c r="B1541" s="59" t="s">
        <v>426</v>
      </c>
      <c r="C1541" s="60" t="n">
        <v>873.67</v>
      </c>
      <c r="D1541" s="59" t="n">
        <f aca="false">COUNTIFS($A$2:$A$1931,A1541,$C$2:$C$1931,"&gt;"&amp;C1541)+COUNTIFS($A$2:A1541,A1541,$C$2:C1541,C1541)</f>
        <v>7</v>
      </c>
      <c r="E1541" s="59" t="str">
        <f aca="false">A1541&amp;"|"&amp;D1541</f>
        <v>BLR-VIJAY NAGAR|7</v>
      </c>
    </row>
    <row r="1542" customFormat="false" ht="15" hidden="false" customHeight="false" outlineLevel="0" collapsed="false">
      <c r="A1542" s="59" t="s">
        <v>58</v>
      </c>
      <c r="B1542" s="59" t="s">
        <v>415</v>
      </c>
      <c r="C1542" s="60" t="n">
        <v>737.2</v>
      </c>
      <c r="D1542" s="59" t="n">
        <f aca="false">COUNTIFS($A$2:$A$1931,A1542,$C$2:$C$1931,"&gt;"&amp;C1542)+COUNTIFS($A$2:A1542,A1542,$C$2:C1542,C1542)</f>
        <v>8</v>
      </c>
      <c r="E1542" s="59" t="str">
        <f aca="false">A1542&amp;"|"&amp;D1542</f>
        <v>BLR-VIJAY NAGAR|8</v>
      </c>
    </row>
    <row r="1543" customFormat="false" ht="15" hidden="false" customHeight="false" outlineLevel="0" collapsed="false">
      <c r="A1543" s="59" t="s">
        <v>58</v>
      </c>
      <c r="B1543" s="59" t="s">
        <v>424</v>
      </c>
      <c r="C1543" s="60" t="n">
        <v>679.09</v>
      </c>
      <c r="D1543" s="59" t="n">
        <f aca="false">COUNTIFS($A$2:$A$1931,A1543,$C$2:$C$1931,"&gt;"&amp;C1543)+COUNTIFS($A$2:A1543,A1543,$C$2:C1543,C1543)</f>
        <v>9</v>
      </c>
      <c r="E1543" s="59" t="str">
        <f aca="false">A1543&amp;"|"&amp;D1543</f>
        <v>BLR-VIJAY NAGAR|9</v>
      </c>
    </row>
    <row r="1544" customFormat="false" ht="15" hidden="false" customHeight="false" outlineLevel="0" collapsed="false">
      <c r="A1544" s="59" t="s">
        <v>58</v>
      </c>
      <c r="B1544" s="59" t="s">
        <v>420</v>
      </c>
      <c r="C1544" s="60" t="n">
        <v>642.15</v>
      </c>
      <c r="D1544" s="59" t="n">
        <f aca="false">COUNTIFS($A$2:$A$1931,A1544,$C$2:$C$1931,"&gt;"&amp;C1544)+COUNTIFS($A$2:A1544,A1544,$C$2:C1544,C1544)</f>
        <v>10</v>
      </c>
      <c r="E1544" s="59" t="str">
        <f aca="false">A1544&amp;"|"&amp;D1544</f>
        <v>BLR-VIJAY NAGAR|10</v>
      </c>
    </row>
    <row r="1545" customFormat="false" ht="15" hidden="false" customHeight="false" outlineLevel="0" collapsed="false">
      <c r="A1545" s="59" t="s">
        <v>58</v>
      </c>
      <c r="B1545" s="59" t="s">
        <v>409</v>
      </c>
      <c r="C1545" s="60" t="n">
        <v>293.43</v>
      </c>
      <c r="D1545" s="59" t="n">
        <f aca="false">COUNTIFS($A$2:$A$1931,A1545,$C$2:$C$1931,"&gt;"&amp;C1545)+COUNTIFS($A$2:A1545,A1545,$C$2:C1545,C1545)</f>
        <v>11</v>
      </c>
      <c r="E1545" s="59" t="str">
        <f aca="false">A1545&amp;"|"&amp;D1545</f>
        <v>BLR-VIJAY NAGAR|11</v>
      </c>
    </row>
    <row r="1546" customFormat="false" ht="15" hidden="false" customHeight="false" outlineLevel="0" collapsed="false">
      <c r="A1546" s="59" t="s">
        <v>58</v>
      </c>
      <c r="B1546" s="59" t="s">
        <v>418</v>
      </c>
      <c r="C1546" s="60" t="n">
        <v>24.58</v>
      </c>
      <c r="D1546" s="59" t="n">
        <f aca="false">COUNTIFS($A$2:$A$1931,A1546,$C$2:$C$1931,"&gt;"&amp;C1546)+COUNTIFS($A$2:A1546,A1546,$C$2:C1546,C1546)</f>
        <v>12</v>
      </c>
      <c r="E1546" s="59" t="str">
        <f aca="false">A1546&amp;"|"&amp;D1546</f>
        <v>BLR-VIJAY NAGAR|12</v>
      </c>
    </row>
    <row r="1547" customFormat="false" ht="15" hidden="false" customHeight="false" outlineLevel="0" collapsed="false">
      <c r="A1547" s="59" t="s">
        <v>269</v>
      </c>
      <c r="B1547" s="59" t="s">
        <v>416</v>
      </c>
      <c r="C1547" s="60" t="n">
        <v>3612.19</v>
      </c>
      <c r="D1547" s="59" t="n">
        <f aca="false">COUNTIFS($A$2:$A$1931,A1547,$C$2:$C$1931,"&gt;"&amp;C1547)+COUNTIFS($A$2:A1547,A1547,$C$2:C1547,C1547)</f>
        <v>1</v>
      </c>
      <c r="E1547" s="59" t="str">
        <f aca="false">A1547&amp;"|"&amp;D1547</f>
        <v>BLR-Varthur|1</v>
      </c>
    </row>
    <row r="1548" customFormat="false" ht="15" hidden="false" customHeight="false" outlineLevel="0" collapsed="false">
      <c r="A1548" s="59" t="s">
        <v>269</v>
      </c>
      <c r="B1548" s="59" t="s">
        <v>417</v>
      </c>
      <c r="C1548" s="60" t="n">
        <v>3403.98</v>
      </c>
      <c r="D1548" s="59" t="n">
        <f aca="false">COUNTIFS($A$2:$A$1931,A1548,$C$2:$C$1931,"&gt;"&amp;C1548)+COUNTIFS($A$2:A1548,A1548,$C$2:C1548,C1548)</f>
        <v>2</v>
      </c>
      <c r="E1548" s="59" t="str">
        <f aca="false">A1548&amp;"|"&amp;D1548</f>
        <v>BLR-Varthur|2</v>
      </c>
    </row>
    <row r="1549" customFormat="false" ht="15" hidden="false" customHeight="false" outlineLevel="0" collapsed="false">
      <c r="A1549" s="59" t="s">
        <v>269</v>
      </c>
      <c r="B1549" s="59" t="s">
        <v>426</v>
      </c>
      <c r="C1549" s="60" t="n">
        <v>1369.87</v>
      </c>
      <c r="D1549" s="59" t="n">
        <f aca="false">COUNTIFS($A$2:$A$1931,A1549,$C$2:$C$1931,"&gt;"&amp;C1549)+COUNTIFS($A$2:A1549,A1549,$C$2:C1549,C1549)</f>
        <v>3</v>
      </c>
      <c r="E1549" s="59" t="str">
        <f aca="false">A1549&amp;"|"&amp;D1549</f>
        <v>BLR-Varthur|3</v>
      </c>
    </row>
    <row r="1550" customFormat="false" ht="15" hidden="false" customHeight="false" outlineLevel="0" collapsed="false">
      <c r="A1550" s="59" t="s">
        <v>269</v>
      </c>
      <c r="B1550" s="59" t="s">
        <v>407</v>
      </c>
      <c r="C1550" s="60" t="n">
        <v>1185.35</v>
      </c>
      <c r="D1550" s="59" t="n">
        <f aca="false">COUNTIFS($A$2:$A$1931,A1550,$C$2:$C$1931,"&gt;"&amp;C1550)+COUNTIFS($A$2:A1550,A1550,$C$2:C1550,C1550)</f>
        <v>4</v>
      </c>
      <c r="E1550" s="59" t="str">
        <f aca="false">A1550&amp;"|"&amp;D1550</f>
        <v>BLR-Varthur|4</v>
      </c>
    </row>
    <row r="1551" customFormat="false" ht="15" hidden="false" customHeight="false" outlineLevel="0" collapsed="false">
      <c r="A1551" s="59" t="s">
        <v>269</v>
      </c>
      <c r="B1551" s="59" t="s">
        <v>419</v>
      </c>
      <c r="C1551" s="60" t="n">
        <v>1126.95</v>
      </c>
      <c r="D1551" s="59" t="n">
        <f aca="false">COUNTIFS($A$2:$A$1931,A1551,$C$2:$C$1931,"&gt;"&amp;C1551)+COUNTIFS($A$2:A1551,A1551,$C$2:C1551,C1551)</f>
        <v>5</v>
      </c>
      <c r="E1551" s="59" t="str">
        <f aca="false">A1551&amp;"|"&amp;D1551</f>
        <v>BLR-Varthur|5</v>
      </c>
    </row>
    <row r="1552" customFormat="false" ht="15" hidden="false" customHeight="false" outlineLevel="0" collapsed="false">
      <c r="A1552" s="59" t="s">
        <v>269</v>
      </c>
      <c r="B1552" s="59" t="s">
        <v>418</v>
      </c>
      <c r="C1552" s="60" t="n">
        <v>1007.77</v>
      </c>
      <c r="D1552" s="59" t="n">
        <f aca="false">COUNTIFS($A$2:$A$1931,A1552,$C$2:$C$1931,"&gt;"&amp;C1552)+COUNTIFS($A$2:A1552,A1552,$C$2:C1552,C1552)</f>
        <v>6</v>
      </c>
      <c r="E1552" s="59" t="str">
        <f aca="false">A1552&amp;"|"&amp;D1552</f>
        <v>BLR-Varthur|6</v>
      </c>
    </row>
    <row r="1553" customFormat="false" ht="15" hidden="false" customHeight="false" outlineLevel="0" collapsed="false">
      <c r="A1553" s="59" t="s">
        <v>41</v>
      </c>
      <c r="B1553" s="59" t="s">
        <v>408</v>
      </c>
      <c r="C1553" s="60" t="n">
        <v>19393.22</v>
      </c>
      <c r="D1553" s="59" t="n">
        <f aca="false">COUNTIFS($A$2:$A$1931,A1553,$C$2:$C$1931,"&gt;"&amp;C1553)+COUNTIFS($A$2:A1553,A1553,$C$2:C1553,C1553)</f>
        <v>1</v>
      </c>
      <c r="E1553" s="59" t="str">
        <f aca="false">A1553&amp;"|"&amp;D1553</f>
        <v>BLR-Vijay Nagar Network|1</v>
      </c>
    </row>
    <row r="1554" customFormat="false" ht="15" hidden="false" customHeight="false" outlineLevel="0" collapsed="false">
      <c r="A1554" s="59" t="s">
        <v>41</v>
      </c>
      <c r="B1554" s="59" t="s">
        <v>431</v>
      </c>
      <c r="C1554" s="60" t="n">
        <v>9916.43</v>
      </c>
      <c r="D1554" s="59" t="n">
        <f aca="false">COUNTIFS($A$2:$A$1931,A1554,$C$2:$C$1931,"&gt;"&amp;C1554)+COUNTIFS($A$2:A1554,A1554,$C$2:C1554,C1554)</f>
        <v>2</v>
      </c>
      <c r="E1554" s="59" t="str">
        <f aca="false">A1554&amp;"|"&amp;D1554</f>
        <v>BLR-Vijay Nagar Network|2</v>
      </c>
    </row>
    <row r="1555" customFormat="false" ht="15" hidden="false" customHeight="false" outlineLevel="0" collapsed="false">
      <c r="A1555" s="59" t="s">
        <v>41</v>
      </c>
      <c r="B1555" s="59" t="s">
        <v>415</v>
      </c>
      <c r="C1555" s="60" t="n">
        <v>4676.45</v>
      </c>
      <c r="D1555" s="59" t="n">
        <f aca="false">COUNTIFS($A$2:$A$1931,A1555,$C$2:$C$1931,"&gt;"&amp;C1555)+COUNTIFS($A$2:A1555,A1555,$C$2:C1555,C1555)</f>
        <v>3</v>
      </c>
      <c r="E1555" s="59" t="str">
        <f aca="false">A1555&amp;"|"&amp;D1555</f>
        <v>BLR-Vijay Nagar Network|3</v>
      </c>
    </row>
    <row r="1556" customFormat="false" ht="15" hidden="false" customHeight="false" outlineLevel="0" collapsed="false">
      <c r="A1556" s="59" t="s">
        <v>41</v>
      </c>
      <c r="B1556" s="59" t="s">
        <v>426</v>
      </c>
      <c r="C1556" s="60" t="n">
        <v>3487.13</v>
      </c>
      <c r="D1556" s="59" t="n">
        <f aca="false">COUNTIFS($A$2:$A$1931,A1556,$C$2:$C$1931,"&gt;"&amp;C1556)+COUNTIFS($A$2:A1556,A1556,$C$2:C1556,C1556)</f>
        <v>4</v>
      </c>
      <c r="E1556" s="59" t="str">
        <f aca="false">A1556&amp;"|"&amp;D1556</f>
        <v>BLR-Vijay Nagar Network|4</v>
      </c>
    </row>
    <row r="1557" customFormat="false" ht="15" hidden="false" customHeight="false" outlineLevel="0" collapsed="false">
      <c r="A1557" s="59" t="s">
        <v>41</v>
      </c>
      <c r="B1557" s="59" t="s">
        <v>413</v>
      </c>
      <c r="C1557" s="60" t="n">
        <v>2758.34</v>
      </c>
      <c r="D1557" s="59" t="n">
        <f aca="false">COUNTIFS($A$2:$A$1931,A1557,$C$2:$C$1931,"&gt;"&amp;C1557)+COUNTIFS($A$2:A1557,A1557,$C$2:C1557,C1557)</f>
        <v>5</v>
      </c>
      <c r="E1557" s="59" t="str">
        <f aca="false">A1557&amp;"|"&amp;D1557</f>
        <v>BLR-Vijay Nagar Network|5</v>
      </c>
    </row>
    <row r="1558" customFormat="false" ht="15" hidden="false" customHeight="false" outlineLevel="0" collapsed="false">
      <c r="A1558" s="59" t="s">
        <v>41</v>
      </c>
      <c r="B1558" s="59" t="s">
        <v>424</v>
      </c>
      <c r="C1558" s="60" t="n">
        <v>2219.28</v>
      </c>
      <c r="D1558" s="59" t="n">
        <f aca="false">COUNTIFS($A$2:$A$1931,A1558,$C$2:$C$1931,"&gt;"&amp;C1558)+COUNTIFS($A$2:A1558,A1558,$C$2:C1558,C1558)</f>
        <v>6</v>
      </c>
      <c r="E1558" s="59" t="str">
        <f aca="false">A1558&amp;"|"&amp;D1558</f>
        <v>BLR-Vijay Nagar Network|6</v>
      </c>
    </row>
    <row r="1559" customFormat="false" ht="15" hidden="false" customHeight="false" outlineLevel="0" collapsed="false">
      <c r="A1559" s="59" t="s">
        <v>41</v>
      </c>
      <c r="B1559" s="59" t="s">
        <v>417</v>
      </c>
      <c r="C1559" s="60" t="n">
        <v>1140.64</v>
      </c>
      <c r="D1559" s="59" t="n">
        <f aca="false">COUNTIFS($A$2:$A$1931,A1559,$C$2:$C$1931,"&gt;"&amp;C1559)+COUNTIFS($A$2:A1559,A1559,$C$2:C1559,C1559)</f>
        <v>7</v>
      </c>
      <c r="E1559" s="59" t="str">
        <f aca="false">A1559&amp;"|"&amp;D1559</f>
        <v>BLR-Vijay Nagar Network|7</v>
      </c>
    </row>
    <row r="1560" customFormat="false" ht="15" hidden="false" customHeight="false" outlineLevel="0" collapsed="false">
      <c r="A1560" s="59" t="s">
        <v>41</v>
      </c>
      <c r="B1560" s="59" t="s">
        <v>409</v>
      </c>
      <c r="C1560" s="60" t="n">
        <v>810.57</v>
      </c>
      <c r="D1560" s="59" t="n">
        <f aca="false">COUNTIFS($A$2:$A$1931,A1560,$C$2:$C$1931,"&gt;"&amp;C1560)+COUNTIFS($A$2:A1560,A1560,$C$2:C1560,C1560)</f>
        <v>8</v>
      </c>
      <c r="E1560" s="59" t="str">
        <f aca="false">A1560&amp;"|"&amp;D1560</f>
        <v>BLR-Vijay Nagar Network|8</v>
      </c>
    </row>
    <row r="1561" customFormat="false" ht="15" hidden="false" customHeight="false" outlineLevel="0" collapsed="false">
      <c r="A1561" s="59" t="s">
        <v>41</v>
      </c>
      <c r="B1561" s="59" t="s">
        <v>412</v>
      </c>
      <c r="C1561" s="60" t="n">
        <v>451.74</v>
      </c>
      <c r="D1561" s="59" t="n">
        <f aca="false">COUNTIFS($A$2:$A$1931,A1561,$C$2:$C$1931,"&gt;"&amp;C1561)+COUNTIFS($A$2:A1561,A1561,$C$2:C1561,C1561)</f>
        <v>9</v>
      </c>
      <c r="E1561" s="59" t="str">
        <f aca="false">A1561&amp;"|"&amp;D1561</f>
        <v>BLR-Vijay Nagar Network|9</v>
      </c>
    </row>
    <row r="1562" customFormat="false" ht="15" hidden="false" customHeight="false" outlineLevel="0" collapsed="false">
      <c r="A1562" s="59" t="s">
        <v>41</v>
      </c>
      <c r="B1562" s="59" t="s">
        <v>432</v>
      </c>
      <c r="C1562" s="60" t="n">
        <v>103.2</v>
      </c>
      <c r="D1562" s="59" t="n">
        <f aca="false">COUNTIFS($A$2:$A$1931,A1562,$C$2:$C$1931,"&gt;"&amp;C1562)+COUNTIFS($A$2:A1562,A1562,$C$2:C1562,C1562)</f>
        <v>10</v>
      </c>
      <c r="E1562" s="59" t="str">
        <f aca="false">A1562&amp;"|"&amp;D1562</f>
        <v>BLR-Vijay Nagar Network|10</v>
      </c>
    </row>
    <row r="1563" customFormat="false" ht="15" hidden="false" customHeight="false" outlineLevel="0" collapsed="false">
      <c r="A1563" s="59" t="s">
        <v>41</v>
      </c>
      <c r="B1563" s="59" t="s">
        <v>407</v>
      </c>
      <c r="C1563" s="60" t="n">
        <v>64.13</v>
      </c>
      <c r="D1563" s="59" t="n">
        <f aca="false">COUNTIFS($A$2:$A$1931,A1563,$C$2:$C$1931,"&gt;"&amp;C1563)+COUNTIFS($A$2:A1563,A1563,$C$2:C1563,C1563)</f>
        <v>11</v>
      </c>
      <c r="E1563" s="59" t="str">
        <f aca="false">A1563&amp;"|"&amp;D1563</f>
        <v>BLR-Vijay Nagar Network|11</v>
      </c>
    </row>
    <row r="1564" customFormat="false" ht="15" hidden="false" customHeight="false" outlineLevel="0" collapsed="false">
      <c r="A1564" s="59" t="s">
        <v>41</v>
      </c>
      <c r="B1564" s="59" t="s">
        <v>423</v>
      </c>
      <c r="C1564" s="60" t="n">
        <v>9.95</v>
      </c>
      <c r="D1564" s="59" t="n">
        <f aca="false">COUNTIFS($A$2:$A$1931,A1564,$C$2:$C$1931,"&gt;"&amp;C1564)+COUNTIFS($A$2:A1564,A1564,$C$2:C1564,C1564)</f>
        <v>12</v>
      </c>
      <c r="E1564" s="59" t="str">
        <f aca="false">A1564&amp;"|"&amp;D1564</f>
        <v>BLR-Vijay Nagar Network|12</v>
      </c>
    </row>
    <row r="1565" customFormat="false" ht="15" hidden="false" customHeight="false" outlineLevel="0" collapsed="false">
      <c r="A1565" s="59" t="s">
        <v>274</v>
      </c>
      <c r="B1565" s="59" t="s">
        <v>430</v>
      </c>
      <c r="C1565" s="60" t="n">
        <v>1303.1</v>
      </c>
      <c r="D1565" s="59" t="n">
        <f aca="false">COUNTIFS($A$2:$A$1931,A1565,$C$2:$C$1931,"&gt;"&amp;C1565)+COUNTIFS($A$2:A1565,A1565,$C$2:C1565,C1565)</f>
        <v>1</v>
      </c>
      <c r="E1565" s="59" t="str">
        <f aca="false">A1565&amp;"|"&amp;D1565</f>
        <v>BLR-Vijay Nagar SS|1</v>
      </c>
    </row>
    <row r="1566" customFormat="false" ht="15" hidden="false" customHeight="false" outlineLevel="0" collapsed="false">
      <c r="A1566" s="59" t="s">
        <v>274</v>
      </c>
      <c r="B1566" s="59" t="s">
        <v>411</v>
      </c>
      <c r="C1566" s="60" t="n">
        <v>424.05</v>
      </c>
      <c r="D1566" s="59" t="n">
        <f aca="false">COUNTIFS($A$2:$A$1931,A1566,$C$2:$C$1931,"&gt;"&amp;C1566)+COUNTIFS($A$2:A1566,A1566,$C$2:C1566,C1566)</f>
        <v>2</v>
      </c>
      <c r="E1566" s="59" t="str">
        <f aca="false">A1566&amp;"|"&amp;D1566</f>
        <v>BLR-Vijay Nagar SS|2</v>
      </c>
    </row>
    <row r="1567" customFormat="false" ht="15" hidden="false" customHeight="false" outlineLevel="0" collapsed="false">
      <c r="A1567" s="59" t="s">
        <v>274</v>
      </c>
      <c r="B1567" s="59" t="s">
        <v>418</v>
      </c>
      <c r="C1567" s="60" t="n">
        <v>393.68</v>
      </c>
      <c r="D1567" s="59" t="n">
        <f aca="false">COUNTIFS($A$2:$A$1931,A1567,$C$2:$C$1931,"&gt;"&amp;C1567)+COUNTIFS($A$2:A1567,A1567,$C$2:C1567,C1567)</f>
        <v>3</v>
      </c>
      <c r="E1567" s="59" t="str">
        <f aca="false">A1567&amp;"|"&amp;D1567</f>
        <v>BLR-Vijay Nagar SS|3</v>
      </c>
    </row>
    <row r="1568" customFormat="false" ht="15" hidden="false" customHeight="false" outlineLevel="0" collapsed="false">
      <c r="A1568" s="59" t="s">
        <v>274</v>
      </c>
      <c r="B1568" s="59" t="s">
        <v>415</v>
      </c>
      <c r="C1568" s="60" t="n">
        <v>274.31</v>
      </c>
      <c r="D1568" s="59" t="n">
        <f aca="false">COUNTIFS($A$2:$A$1931,A1568,$C$2:$C$1931,"&gt;"&amp;C1568)+COUNTIFS($A$2:A1568,A1568,$C$2:C1568,C1568)</f>
        <v>4</v>
      </c>
      <c r="E1568" s="59" t="str">
        <f aca="false">A1568&amp;"|"&amp;D1568</f>
        <v>BLR-Vijay Nagar SS|4</v>
      </c>
    </row>
    <row r="1569" customFormat="false" ht="15" hidden="false" customHeight="false" outlineLevel="0" collapsed="false">
      <c r="A1569" s="59" t="s">
        <v>274</v>
      </c>
      <c r="B1569" s="59" t="s">
        <v>437</v>
      </c>
      <c r="C1569" s="60" t="n">
        <v>111.83</v>
      </c>
      <c r="D1569" s="59" t="n">
        <f aca="false">COUNTIFS($A$2:$A$1931,A1569,$C$2:$C$1931,"&gt;"&amp;C1569)+COUNTIFS($A$2:A1569,A1569,$C$2:C1569,C1569)</f>
        <v>5</v>
      </c>
      <c r="E1569" s="59" t="str">
        <f aca="false">A1569&amp;"|"&amp;D1569</f>
        <v>BLR-Vijay Nagar SS|5</v>
      </c>
    </row>
    <row r="1570" customFormat="false" ht="15" hidden="false" customHeight="false" outlineLevel="0" collapsed="false">
      <c r="A1570" s="59" t="s">
        <v>274</v>
      </c>
      <c r="B1570" s="59" t="s">
        <v>428</v>
      </c>
      <c r="C1570" s="60" t="n">
        <v>111.46</v>
      </c>
      <c r="D1570" s="59" t="n">
        <f aca="false">COUNTIFS($A$2:$A$1931,A1570,$C$2:$C$1931,"&gt;"&amp;C1570)+COUNTIFS($A$2:A1570,A1570,$C$2:C1570,C1570)</f>
        <v>6</v>
      </c>
      <c r="E1570" s="59" t="str">
        <f aca="false">A1570&amp;"|"&amp;D1570</f>
        <v>BLR-Vijay Nagar SS|6</v>
      </c>
    </row>
    <row r="1571" customFormat="false" ht="15" hidden="false" customHeight="false" outlineLevel="0" collapsed="false">
      <c r="A1571" s="59" t="s">
        <v>274</v>
      </c>
      <c r="B1571" s="59" t="s">
        <v>434</v>
      </c>
      <c r="C1571" s="60" t="n">
        <v>72.42</v>
      </c>
      <c r="D1571" s="59" t="n">
        <f aca="false">COUNTIFS($A$2:$A$1931,A1571,$C$2:$C$1931,"&gt;"&amp;C1571)+COUNTIFS($A$2:A1571,A1571,$C$2:C1571,C1571)</f>
        <v>7</v>
      </c>
      <c r="E1571" s="59" t="str">
        <f aca="false">A1571&amp;"|"&amp;D1571</f>
        <v>BLR-Vijay Nagar SS|7</v>
      </c>
    </row>
    <row r="1572" customFormat="false" ht="15" hidden="false" customHeight="false" outlineLevel="0" collapsed="false">
      <c r="A1572" s="59" t="s">
        <v>274</v>
      </c>
      <c r="B1572" s="59" t="s">
        <v>447</v>
      </c>
      <c r="C1572" s="60" t="n">
        <v>70.42</v>
      </c>
      <c r="D1572" s="59" t="n">
        <f aca="false">COUNTIFS($A$2:$A$1931,A1572,$C$2:$C$1931,"&gt;"&amp;C1572)+COUNTIFS($A$2:A1572,A1572,$C$2:C1572,C1572)</f>
        <v>8</v>
      </c>
      <c r="E1572" s="59" t="str">
        <f aca="false">A1572&amp;"|"&amp;D1572</f>
        <v>BLR-Vijay Nagar SS|8</v>
      </c>
    </row>
    <row r="1573" customFormat="false" ht="15" hidden="false" customHeight="false" outlineLevel="0" collapsed="false">
      <c r="A1573" s="59" t="s">
        <v>274</v>
      </c>
      <c r="B1573" s="59" t="s">
        <v>409</v>
      </c>
      <c r="C1573" s="60" t="n">
        <v>46.98</v>
      </c>
      <c r="D1573" s="59" t="n">
        <f aca="false">COUNTIFS($A$2:$A$1931,A1573,$C$2:$C$1931,"&gt;"&amp;C1573)+COUNTIFS($A$2:A1573,A1573,$C$2:C1573,C1573)</f>
        <v>9</v>
      </c>
      <c r="E1573" s="59" t="str">
        <f aca="false">A1573&amp;"|"&amp;D1573</f>
        <v>BLR-Vijay Nagar SS|9</v>
      </c>
    </row>
    <row r="1574" customFormat="false" ht="15" hidden="false" customHeight="false" outlineLevel="0" collapsed="false">
      <c r="A1574" s="59" t="s">
        <v>274</v>
      </c>
      <c r="B1574" s="59" t="s">
        <v>413</v>
      </c>
      <c r="C1574" s="60" t="n">
        <v>29.95</v>
      </c>
      <c r="D1574" s="59" t="n">
        <f aca="false">COUNTIFS($A$2:$A$1931,A1574,$C$2:$C$1931,"&gt;"&amp;C1574)+COUNTIFS($A$2:A1574,A1574,$C$2:C1574,C1574)</f>
        <v>10</v>
      </c>
      <c r="E1574" s="59" t="str">
        <f aca="false">A1574&amp;"|"&amp;D1574</f>
        <v>BLR-Vijay Nagar SS|10</v>
      </c>
    </row>
    <row r="1575" customFormat="false" ht="15" hidden="false" customHeight="false" outlineLevel="0" collapsed="false">
      <c r="A1575" s="59" t="s">
        <v>274</v>
      </c>
      <c r="B1575" s="59" t="s">
        <v>431</v>
      </c>
      <c r="C1575" s="60" t="n">
        <v>22.02</v>
      </c>
      <c r="D1575" s="59" t="n">
        <f aca="false">COUNTIFS($A$2:$A$1931,A1575,$C$2:$C$1931,"&gt;"&amp;C1575)+COUNTIFS($A$2:A1575,A1575,$C$2:C1575,C1575)</f>
        <v>11</v>
      </c>
      <c r="E1575" s="59" t="str">
        <f aca="false">A1575&amp;"|"&amp;D1575</f>
        <v>BLR-Vijay Nagar SS|11</v>
      </c>
    </row>
    <row r="1576" customFormat="false" ht="15" hidden="false" customHeight="false" outlineLevel="0" collapsed="false">
      <c r="A1576" s="59" t="s">
        <v>290</v>
      </c>
      <c r="B1576" s="59" t="s">
        <v>408</v>
      </c>
      <c r="C1576" s="60" t="n">
        <v>3332.25</v>
      </c>
      <c r="D1576" s="59" t="n">
        <f aca="false">COUNTIFS($A$2:$A$1931,A1576,$C$2:$C$1931,"&gt;"&amp;C1576)+COUNTIFS($A$2:A1576,A1576,$C$2:C1576,C1576)</f>
        <v>1</v>
      </c>
      <c r="E1576" s="59" t="str">
        <f aca="false">A1576&amp;"|"&amp;D1576</f>
        <v>BLR-Whitefield Network-2|1</v>
      </c>
    </row>
    <row r="1577" customFormat="false" ht="15" hidden="false" customHeight="false" outlineLevel="0" collapsed="false">
      <c r="A1577" s="59" t="s">
        <v>290</v>
      </c>
      <c r="B1577" s="59" t="s">
        <v>421</v>
      </c>
      <c r="C1577" s="60" t="n">
        <v>330.67</v>
      </c>
      <c r="D1577" s="59" t="n">
        <f aca="false">COUNTIFS($A$2:$A$1931,A1577,$C$2:$C$1931,"&gt;"&amp;C1577)+COUNTIFS($A$2:A1577,A1577,$C$2:C1577,C1577)</f>
        <v>2</v>
      </c>
      <c r="E1577" s="59" t="str">
        <f aca="false">A1577&amp;"|"&amp;D1577</f>
        <v>BLR-Whitefield Network-2|2</v>
      </c>
    </row>
    <row r="1578" customFormat="false" ht="15" hidden="false" customHeight="false" outlineLevel="0" collapsed="false">
      <c r="A1578" s="59" t="s">
        <v>290</v>
      </c>
      <c r="B1578" s="59" t="s">
        <v>413</v>
      </c>
      <c r="C1578" s="60" t="n">
        <v>305.08</v>
      </c>
      <c r="D1578" s="59" t="n">
        <f aca="false">COUNTIFS($A$2:$A$1931,A1578,$C$2:$C$1931,"&gt;"&amp;C1578)+COUNTIFS($A$2:A1578,A1578,$C$2:C1578,C1578)</f>
        <v>3</v>
      </c>
      <c r="E1578" s="59" t="str">
        <f aca="false">A1578&amp;"|"&amp;D1578</f>
        <v>BLR-Whitefield Network-2|3</v>
      </c>
    </row>
    <row r="1579" customFormat="false" ht="15" hidden="false" customHeight="false" outlineLevel="0" collapsed="false">
      <c r="A1579" s="59" t="s">
        <v>290</v>
      </c>
      <c r="B1579" s="59" t="s">
        <v>437</v>
      </c>
      <c r="C1579" s="60" t="n">
        <v>288.25</v>
      </c>
      <c r="D1579" s="59" t="n">
        <f aca="false">COUNTIFS($A$2:$A$1931,A1579,$C$2:$C$1931,"&gt;"&amp;C1579)+COUNTIFS($A$2:A1579,A1579,$C$2:C1579,C1579)</f>
        <v>4</v>
      </c>
      <c r="E1579" s="59" t="str">
        <f aca="false">A1579&amp;"|"&amp;D1579</f>
        <v>BLR-Whitefield Network-2|4</v>
      </c>
    </row>
    <row r="1580" customFormat="false" ht="15" hidden="false" customHeight="false" outlineLevel="0" collapsed="false">
      <c r="A1580" s="59" t="s">
        <v>290</v>
      </c>
      <c r="B1580" s="59" t="s">
        <v>423</v>
      </c>
      <c r="C1580" s="60" t="n">
        <v>226.24</v>
      </c>
      <c r="D1580" s="59" t="n">
        <f aca="false">COUNTIFS($A$2:$A$1931,A1580,$C$2:$C$1931,"&gt;"&amp;C1580)+COUNTIFS($A$2:A1580,A1580,$C$2:C1580,C1580)</f>
        <v>5</v>
      </c>
      <c r="E1580" s="59" t="str">
        <f aca="false">A1580&amp;"|"&amp;D1580</f>
        <v>BLR-Whitefield Network-2|5</v>
      </c>
    </row>
    <row r="1581" customFormat="false" ht="15" hidden="false" customHeight="false" outlineLevel="0" collapsed="false">
      <c r="A1581" s="59" t="s">
        <v>281</v>
      </c>
      <c r="B1581" s="59" t="s">
        <v>422</v>
      </c>
      <c r="C1581" s="60" t="n">
        <v>3676.1</v>
      </c>
      <c r="D1581" s="59" t="n">
        <f aca="false">COUNTIFS($A$2:$A$1931,A1581,$C$2:$C$1931,"&gt;"&amp;C1581)+COUNTIFS($A$2:A1581,A1581,$C$2:C1581,C1581)</f>
        <v>1</v>
      </c>
      <c r="E1581" s="59" t="str">
        <f aca="false">A1581&amp;"|"&amp;D1581</f>
        <v>BLR-Whitefield New|1</v>
      </c>
    </row>
    <row r="1582" customFormat="false" ht="15" hidden="false" customHeight="false" outlineLevel="0" collapsed="false">
      <c r="A1582" s="59" t="s">
        <v>281</v>
      </c>
      <c r="B1582" s="59" t="s">
        <v>418</v>
      </c>
      <c r="C1582" s="60" t="n">
        <v>2308.98</v>
      </c>
      <c r="D1582" s="59" t="n">
        <f aca="false">COUNTIFS($A$2:$A$1931,A1582,$C$2:$C$1931,"&gt;"&amp;C1582)+COUNTIFS($A$2:A1582,A1582,$C$2:C1582,C1582)</f>
        <v>2</v>
      </c>
      <c r="E1582" s="59" t="str">
        <f aca="false">A1582&amp;"|"&amp;D1582</f>
        <v>BLR-Whitefield New|2</v>
      </c>
    </row>
    <row r="1583" customFormat="false" ht="15" hidden="false" customHeight="false" outlineLevel="0" collapsed="false">
      <c r="A1583" s="59" t="s">
        <v>281</v>
      </c>
      <c r="B1583" s="59" t="s">
        <v>424</v>
      </c>
      <c r="C1583" s="60" t="n">
        <v>1601.84</v>
      </c>
      <c r="D1583" s="59" t="n">
        <f aca="false">COUNTIFS($A$2:$A$1931,A1583,$C$2:$C$1931,"&gt;"&amp;C1583)+COUNTIFS($A$2:A1583,A1583,$C$2:C1583,C1583)</f>
        <v>3</v>
      </c>
      <c r="E1583" s="59" t="str">
        <f aca="false">A1583&amp;"|"&amp;D1583</f>
        <v>BLR-Whitefield New|3</v>
      </c>
    </row>
    <row r="1584" customFormat="false" ht="15" hidden="false" customHeight="false" outlineLevel="0" collapsed="false">
      <c r="A1584" s="59" t="s">
        <v>281</v>
      </c>
      <c r="B1584" s="59" t="s">
        <v>426</v>
      </c>
      <c r="C1584" s="60" t="n">
        <v>404.81</v>
      </c>
      <c r="D1584" s="59" t="n">
        <f aca="false">COUNTIFS($A$2:$A$1931,A1584,$C$2:$C$1931,"&gt;"&amp;C1584)+COUNTIFS($A$2:A1584,A1584,$C$2:C1584,C1584)</f>
        <v>4</v>
      </c>
      <c r="E1584" s="59" t="str">
        <f aca="false">A1584&amp;"|"&amp;D1584</f>
        <v>BLR-Whitefield New|4</v>
      </c>
    </row>
    <row r="1585" customFormat="false" ht="15" hidden="false" customHeight="false" outlineLevel="0" collapsed="false">
      <c r="A1585" s="59" t="s">
        <v>281</v>
      </c>
      <c r="B1585" s="59" t="s">
        <v>409</v>
      </c>
      <c r="C1585" s="60" t="n">
        <v>274.71</v>
      </c>
      <c r="D1585" s="59" t="n">
        <f aca="false">COUNTIFS($A$2:$A$1931,A1585,$C$2:$C$1931,"&gt;"&amp;C1585)+COUNTIFS($A$2:A1585,A1585,$C$2:C1585,C1585)</f>
        <v>5</v>
      </c>
      <c r="E1585" s="59" t="str">
        <f aca="false">A1585&amp;"|"&amp;D1585</f>
        <v>BLR-Whitefield New|5</v>
      </c>
    </row>
    <row r="1586" customFormat="false" ht="15" hidden="false" customHeight="false" outlineLevel="0" collapsed="false">
      <c r="A1586" s="59" t="s">
        <v>281</v>
      </c>
      <c r="B1586" s="59" t="s">
        <v>416</v>
      </c>
      <c r="C1586" s="60" t="n">
        <v>202.17</v>
      </c>
      <c r="D1586" s="59" t="n">
        <f aca="false">COUNTIFS($A$2:$A$1931,A1586,$C$2:$C$1931,"&gt;"&amp;C1586)+COUNTIFS($A$2:A1586,A1586,$C$2:C1586,C1586)</f>
        <v>6</v>
      </c>
      <c r="E1586" s="59" t="str">
        <f aca="false">A1586&amp;"|"&amp;D1586</f>
        <v>BLR-Whitefield New|6</v>
      </c>
    </row>
    <row r="1587" customFormat="false" ht="15" hidden="false" customHeight="false" outlineLevel="0" collapsed="false">
      <c r="A1587" s="59" t="s">
        <v>281</v>
      </c>
      <c r="B1587" s="59" t="s">
        <v>423</v>
      </c>
      <c r="C1587" s="60" t="n">
        <v>1.8</v>
      </c>
      <c r="D1587" s="59" t="n">
        <f aca="false">COUNTIFS($A$2:$A$1931,A1587,$C$2:$C$1931,"&gt;"&amp;C1587)+COUNTIFS($A$2:A1587,A1587,$C$2:C1587,C1587)</f>
        <v>7</v>
      </c>
      <c r="E1587" s="59" t="str">
        <f aca="false">A1587&amp;"|"&amp;D1587</f>
        <v>BLR-Whitefield New|7</v>
      </c>
    </row>
    <row r="1588" customFormat="false" ht="15" hidden="false" customHeight="false" outlineLevel="0" collapsed="false">
      <c r="A1588" s="59" t="s">
        <v>239</v>
      </c>
      <c r="B1588" s="59" t="s">
        <v>413</v>
      </c>
      <c r="C1588" s="60" t="n">
        <v>5695.39</v>
      </c>
      <c r="D1588" s="59" t="n">
        <f aca="false">COUNTIFS($A$2:$A$1931,A1588,$C$2:$C$1931,"&gt;"&amp;C1588)+COUNTIFS($A$2:A1588,A1588,$C$2:C1588,C1588)</f>
        <v>1</v>
      </c>
      <c r="E1588" s="59" t="str">
        <f aca="false">A1588&amp;"|"&amp;D1588</f>
        <v>BLR-YESHWANTPUR|1</v>
      </c>
    </row>
    <row r="1589" customFormat="false" ht="15" hidden="false" customHeight="false" outlineLevel="0" collapsed="false">
      <c r="A1589" s="59" t="s">
        <v>239</v>
      </c>
      <c r="B1589" s="59" t="s">
        <v>415</v>
      </c>
      <c r="C1589" s="60" t="n">
        <v>4325.36</v>
      </c>
      <c r="D1589" s="59" t="n">
        <f aca="false">COUNTIFS($A$2:$A$1931,A1589,$C$2:$C$1931,"&gt;"&amp;C1589)+COUNTIFS($A$2:A1589,A1589,$C$2:C1589,C1589)</f>
        <v>2</v>
      </c>
      <c r="E1589" s="59" t="str">
        <f aca="false">A1589&amp;"|"&amp;D1589</f>
        <v>BLR-YESHWANTPUR|2</v>
      </c>
    </row>
    <row r="1590" customFormat="false" ht="15" hidden="false" customHeight="false" outlineLevel="0" collapsed="false">
      <c r="A1590" s="59" t="s">
        <v>239</v>
      </c>
      <c r="B1590" s="59" t="s">
        <v>409</v>
      </c>
      <c r="C1590" s="60" t="n">
        <v>3726.48</v>
      </c>
      <c r="D1590" s="59" t="n">
        <f aca="false">COUNTIFS($A$2:$A$1931,A1590,$C$2:$C$1931,"&gt;"&amp;C1590)+COUNTIFS($A$2:A1590,A1590,$C$2:C1590,C1590)</f>
        <v>3</v>
      </c>
      <c r="E1590" s="59" t="str">
        <f aca="false">A1590&amp;"|"&amp;D1590</f>
        <v>BLR-YESHWANTPUR|3</v>
      </c>
    </row>
    <row r="1591" customFormat="false" ht="15" hidden="false" customHeight="false" outlineLevel="0" collapsed="false">
      <c r="A1591" s="59" t="s">
        <v>239</v>
      </c>
      <c r="B1591" s="59" t="s">
        <v>408</v>
      </c>
      <c r="C1591" s="60" t="n">
        <v>1451.73</v>
      </c>
      <c r="D1591" s="59" t="n">
        <f aca="false">COUNTIFS($A$2:$A$1931,A1591,$C$2:$C$1931,"&gt;"&amp;C1591)+COUNTIFS($A$2:A1591,A1591,$C$2:C1591,C1591)</f>
        <v>4</v>
      </c>
      <c r="E1591" s="59" t="str">
        <f aca="false">A1591&amp;"|"&amp;D1591</f>
        <v>BLR-YESHWANTPUR|4</v>
      </c>
    </row>
    <row r="1592" customFormat="false" ht="15" hidden="false" customHeight="false" outlineLevel="0" collapsed="false">
      <c r="A1592" s="59" t="s">
        <v>239</v>
      </c>
      <c r="B1592" s="59" t="s">
        <v>418</v>
      </c>
      <c r="C1592" s="60" t="n">
        <v>739.03</v>
      </c>
      <c r="D1592" s="59" t="n">
        <f aca="false">COUNTIFS($A$2:$A$1931,A1592,$C$2:$C$1931,"&gt;"&amp;C1592)+COUNTIFS($A$2:A1592,A1592,$C$2:C1592,C1592)</f>
        <v>5</v>
      </c>
      <c r="E1592" s="59" t="str">
        <f aca="false">A1592&amp;"|"&amp;D1592</f>
        <v>BLR-YESHWANTPUR|5</v>
      </c>
    </row>
    <row r="1593" customFormat="false" ht="15" hidden="false" customHeight="false" outlineLevel="0" collapsed="false">
      <c r="A1593" s="59" t="s">
        <v>239</v>
      </c>
      <c r="B1593" s="59" t="s">
        <v>420</v>
      </c>
      <c r="C1593" s="60" t="n">
        <v>354.82</v>
      </c>
      <c r="D1593" s="59" t="n">
        <f aca="false">COUNTIFS($A$2:$A$1931,A1593,$C$2:$C$1931,"&gt;"&amp;C1593)+COUNTIFS($A$2:A1593,A1593,$C$2:C1593,C1593)</f>
        <v>6</v>
      </c>
      <c r="E1593" s="59" t="str">
        <f aca="false">A1593&amp;"|"&amp;D1593</f>
        <v>BLR-YESHWANTPUR|6</v>
      </c>
    </row>
    <row r="1594" customFormat="false" ht="15" hidden="false" customHeight="false" outlineLevel="0" collapsed="false">
      <c r="A1594" s="59" t="s">
        <v>209</v>
      </c>
      <c r="B1594" s="59" t="s">
        <v>413</v>
      </c>
      <c r="C1594" s="60" t="n">
        <v>5441.41</v>
      </c>
      <c r="D1594" s="59" t="n">
        <f aca="false">COUNTIFS($A$2:$A$1931,A1594,$C$2:$C$1931,"&gt;"&amp;C1594)+COUNTIFS($A$2:A1594,A1594,$C$2:C1594,C1594)</f>
        <v>1</v>
      </c>
      <c r="E1594" s="59" t="str">
        <f aca="false">A1594&amp;"|"&amp;D1594</f>
        <v>BLR-Yallapa Garden|1</v>
      </c>
    </row>
    <row r="1595" customFormat="false" ht="15" hidden="false" customHeight="false" outlineLevel="0" collapsed="false">
      <c r="A1595" s="59" t="s">
        <v>209</v>
      </c>
      <c r="B1595" s="59" t="s">
        <v>412</v>
      </c>
      <c r="C1595" s="60" t="n">
        <v>2644.68</v>
      </c>
      <c r="D1595" s="59" t="n">
        <f aca="false">COUNTIFS($A$2:$A$1931,A1595,$C$2:$C$1931,"&gt;"&amp;C1595)+COUNTIFS($A$2:A1595,A1595,$C$2:C1595,C1595)</f>
        <v>2</v>
      </c>
      <c r="E1595" s="59" t="str">
        <f aca="false">A1595&amp;"|"&amp;D1595</f>
        <v>BLR-Yallapa Garden|2</v>
      </c>
    </row>
    <row r="1596" customFormat="false" ht="15" hidden="false" customHeight="false" outlineLevel="0" collapsed="false">
      <c r="A1596" s="59" t="s">
        <v>209</v>
      </c>
      <c r="B1596" s="59" t="s">
        <v>431</v>
      </c>
      <c r="C1596" s="60" t="n">
        <v>1857.55</v>
      </c>
      <c r="D1596" s="59" t="n">
        <f aca="false">COUNTIFS($A$2:$A$1931,A1596,$C$2:$C$1931,"&gt;"&amp;C1596)+COUNTIFS($A$2:A1596,A1596,$C$2:C1596,C1596)</f>
        <v>3</v>
      </c>
      <c r="E1596" s="59" t="str">
        <f aca="false">A1596&amp;"|"&amp;D1596</f>
        <v>BLR-Yallapa Garden|3</v>
      </c>
    </row>
    <row r="1597" customFormat="false" ht="15" hidden="false" customHeight="false" outlineLevel="0" collapsed="false">
      <c r="A1597" s="59" t="s">
        <v>209</v>
      </c>
      <c r="B1597" s="59" t="s">
        <v>409</v>
      </c>
      <c r="C1597" s="60" t="n">
        <v>1801.04</v>
      </c>
      <c r="D1597" s="59" t="n">
        <f aca="false">COUNTIFS($A$2:$A$1931,A1597,$C$2:$C$1931,"&gt;"&amp;C1597)+COUNTIFS($A$2:A1597,A1597,$C$2:C1597,C1597)</f>
        <v>4</v>
      </c>
      <c r="E1597" s="59" t="str">
        <f aca="false">A1597&amp;"|"&amp;D1597</f>
        <v>BLR-Yallapa Garden|4</v>
      </c>
    </row>
    <row r="1598" customFormat="false" ht="15" hidden="false" customHeight="false" outlineLevel="0" collapsed="false">
      <c r="A1598" s="59" t="s">
        <v>209</v>
      </c>
      <c r="B1598" s="59" t="s">
        <v>410</v>
      </c>
      <c r="C1598" s="60" t="n">
        <v>1728.25</v>
      </c>
      <c r="D1598" s="59" t="n">
        <f aca="false">COUNTIFS($A$2:$A$1931,A1598,$C$2:$C$1931,"&gt;"&amp;C1598)+COUNTIFS($A$2:A1598,A1598,$C$2:C1598,C1598)</f>
        <v>5</v>
      </c>
      <c r="E1598" s="59" t="str">
        <f aca="false">A1598&amp;"|"&amp;D1598</f>
        <v>BLR-Yallapa Garden|5</v>
      </c>
    </row>
    <row r="1599" customFormat="false" ht="15" hidden="false" customHeight="false" outlineLevel="0" collapsed="false">
      <c r="A1599" s="59" t="s">
        <v>209</v>
      </c>
      <c r="B1599" s="59" t="s">
        <v>423</v>
      </c>
      <c r="C1599" s="60" t="n">
        <v>385.27</v>
      </c>
      <c r="D1599" s="59" t="n">
        <f aca="false">COUNTIFS($A$2:$A$1931,A1599,$C$2:$C$1931,"&gt;"&amp;C1599)+COUNTIFS($A$2:A1599,A1599,$C$2:C1599,C1599)</f>
        <v>6</v>
      </c>
      <c r="E1599" s="59" t="str">
        <f aca="false">A1599&amp;"|"&amp;D1599</f>
        <v>BLR-Yallapa Garden|6</v>
      </c>
    </row>
    <row r="1600" customFormat="false" ht="15" hidden="false" customHeight="false" outlineLevel="0" collapsed="false">
      <c r="A1600" s="59" t="s">
        <v>209</v>
      </c>
      <c r="B1600" s="59" t="s">
        <v>426</v>
      </c>
      <c r="C1600" s="60" t="n">
        <v>204.47</v>
      </c>
      <c r="D1600" s="59" t="n">
        <f aca="false">COUNTIFS($A$2:$A$1931,A1600,$C$2:$C$1931,"&gt;"&amp;C1600)+COUNTIFS($A$2:A1600,A1600,$C$2:C1600,C1600)</f>
        <v>7</v>
      </c>
      <c r="E1600" s="59" t="str">
        <f aca="false">A1600&amp;"|"&amp;D1600</f>
        <v>BLR-Yallapa Garden|7</v>
      </c>
    </row>
    <row r="1601" customFormat="false" ht="15" hidden="false" customHeight="false" outlineLevel="0" collapsed="false">
      <c r="A1601" s="59" t="s">
        <v>209</v>
      </c>
      <c r="B1601" s="59" t="s">
        <v>407</v>
      </c>
      <c r="C1601" s="60" t="n">
        <v>60.74</v>
      </c>
      <c r="D1601" s="59" t="n">
        <f aca="false">COUNTIFS($A$2:$A$1931,A1601,$C$2:$C$1931,"&gt;"&amp;C1601)+COUNTIFS($A$2:A1601,A1601,$C$2:C1601,C1601)</f>
        <v>8</v>
      </c>
      <c r="E1601" s="59" t="str">
        <f aca="false">A1601&amp;"|"&amp;D1601</f>
        <v>BLR-Yallapa Garden|8</v>
      </c>
    </row>
    <row r="1602" customFormat="false" ht="15" hidden="false" customHeight="false" outlineLevel="0" collapsed="false">
      <c r="A1602" s="59" t="s">
        <v>215</v>
      </c>
      <c r="B1602" s="59" t="s">
        <v>412</v>
      </c>
      <c r="C1602" s="60" t="n">
        <v>4377.69</v>
      </c>
      <c r="D1602" s="59" t="n">
        <f aca="false">COUNTIFS($A$2:$A$1931,A1602,$C$2:$C$1931,"&gt;"&amp;C1602)+COUNTIFS($A$2:A1602,A1602,$C$2:C1602,C1602)</f>
        <v>1</v>
      </c>
      <c r="E1602" s="59" t="str">
        <f aca="false">A1602&amp;"|"&amp;D1602</f>
        <v>BLR-Yelahanka Network|1</v>
      </c>
    </row>
    <row r="1603" customFormat="false" ht="15" hidden="false" customHeight="false" outlineLevel="0" collapsed="false">
      <c r="A1603" s="59" t="s">
        <v>215</v>
      </c>
      <c r="B1603" s="59" t="s">
        <v>408</v>
      </c>
      <c r="C1603" s="60" t="n">
        <v>1328.09</v>
      </c>
      <c r="D1603" s="59" t="n">
        <f aca="false">COUNTIFS($A$2:$A$1931,A1603,$C$2:$C$1931,"&gt;"&amp;C1603)+COUNTIFS($A$2:A1603,A1603,$C$2:C1603,C1603)</f>
        <v>2</v>
      </c>
      <c r="E1603" s="59" t="str">
        <f aca="false">A1603&amp;"|"&amp;D1603</f>
        <v>BLR-Yelahanka Network|2</v>
      </c>
    </row>
    <row r="1604" customFormat="false" ht="15" hidden="false" customHeight="false" outlineLevel="0" collapsed="false">
      <c r="A1604" s="59" t="s">
        <v>215</v>
      </c>
      <c r="B1604" s="59" t="s">
        <v>424</v>
      </c>
      <c r="C1604" s="60" t="n">
        <v>415.49</v>
      </c>
      <c r="D1604" s="59" t="n">
        <f aca="false">COUNTIFS($A$2:$A$1931,A1604,$C$2:$C$1931,"&gt;"&amp;C1604)+COUNTIFS($A$2:A1604,A1604,$C$2:C1604,C1604)</f>
        <v>3</v>
      </c>
      <c r="E1604" s="59" t="str">
        <f aca="false">A1604&amp;"|"&amp;D1604</f>
        <v>BLR-Yelahanka Network|3</v>
      </c>
    </row>
    <row r="1605" customFormat="false" ht="15" hidden="false" customHeight="false" outlineLevel="0" collapsed="false">
      <c r="A1605" s="59" t="s">
        <v>215</v>
      </c>
      <c r="B1605" s="59" t="s">
        <v>418</v>
      </c>
      <c r="C1605" s="60" t="n">
        <v>106.09</v>
      </c>
      <c r="D1605" s="59" t="n">
        <f aca="false">COUNTIFS($A$2:$A$1931,A1605,$C$2:$C$1931,"&gt;"&amp;C1605)+COUNTIFS($A$2:A1605,A1605,$C$2:C1605,C1605)</f>
        <v>4</v>
      </c>
      <c r="E1605" s="59" t="str">
        <f aca="false">A1605&amp;"|"&amp;D1605</f>
        <v>BLR-Yelahanka Network|4</v>
      </c>
    </row>
    <row r="1606" customFormat="false" ht="15" hidden="false" customHeight="false" outlineLevel="0" collapsed="false">
      <c r="A1606" s="59" t="s">
        <v>215</v>
      </c>
      <c r="B1606" s="59" t="s">
        <v>423</v>
      </c>
      <c r="C1606" s="60" t="n">
        <v>6.5</v>
      </c>
      <c r="D1606" s="59" t="n">
        <f aca="false">COUNTIFS($A$2:$A$1931,A1606,$C$2:$C$1931,"&gt;"&amp;C1606)+COUNTIFS($A$2:A1606,A1606,$C$2:C1606,C1606)</f>
        <v>5</v>
      </c>
      <c r="E1606" s="59" t="str">
        <f aca="false">A1606&amp;"|"&amp;D1606</f>
        <v>BLR-Yelahanka Network|5</v>
      </c>
    </row>
    <row r="1607" customFormat="false" ht="15" hidden="false" customHeight="false" outlineLevel="0" collapsed="false">
      <c r="A1607" s="59" t="s">
        <v>205</v>
      </c>
      <c r="B1607" s="59" t="s">
        <v>413</v>
      </c>
      <c r="C1607" s="60" t="n">
        <v>2437.42</v>
      </c>
      <c r="D1607" s="59" t="n">
        <f aca="false">COUNTIFS($A$2:$A$1931,A1607,$C$2:$C$1931,"&gt;"&amp;C1607)+COUNTIFS($A$2:A1607,A1607,$C$2:C1607,C1607)</f>
        <v>1</v>
      </c>
      <c r="E1607" s="59" t="str">
        <f aca="false">A1607&amp;"|"&amp;D1607</f>
        <v>BLR-Yelahanka new town New|1</v>
      </c>
    </row>
    <row r="1608" customFormat="false" ht="15" hidden="false" customHeight="false" outlineLevel="0" collapsed="false">
      <c r="A1608" s="59" t="s">
        <v>205</v>
      </c>
      <c r="B1608" s="59" t="s">
        <v>412</v>
      </c>
      <c r="C1608" s="60" t="n">
        <v>674.01</v>
      </c>
      <c r="D1608" s="59" t="n">
        <f aca="false">COUNTIFS($A$2:$A$1931,A1608,$C$2:$C$1931,"&gt;"&amp;C1608)+COUNTIFS($A$2:A1608,A1608,$C$2:C1608,C1608)</f>
        <v>2</v>
      </c>
      <c r="E1608" s="59" t="str">
        <f aca="false">A1608&amp;"|"&amp;D1608</f>
        <v>BLR-Yelahanka new town New|2</v>
      </c>
    </row>
    <row r="1609" customFormat="false" ht="15" hidden="false" customHeight="false" outlineLevel="0" collapsed="false">
      <c r="A1609" s="59" t="s">
        <v>205</v>
      </c>
      <c r="B1609" s="59" t="s">
        <v>431</v>
      </c>
      <c r="C1609" s="60" t="n">
        <v>262.7</v>
      </c>
      <c r="D1609" s="59" t="n">
        <f aca="false">COUNTIFS($A$2:$A$1931,A1609,$C$2:$C$1931,"&gt;"&amp;C1609)+COUNTIFS($A$2:A1609,A1609,$C$2:C1609,C1609)</f>
        <v>3</v>
      </c>
      <c r="E1609" s="59" t="str">
        <f aca="false">A1609&amp;"|"&amp;D1609</f>
        <v>BLR-Yelahanka new town New|3</v>
      </c>
    </row>
    <row r="1610" customFormat="false" ht="15" hidden="false" customHeight="false" outlineLevel="0" collapsed="false">
      <c r="A1610" s="59" t="s">
        <v>205</v>
      </c>
      <c r="B1610" s="59" t="s">
        <v>408</v>
      </c>
      <c r="C1610" s="60" t="n">
        <v>223.58</v>
      </c>
      <c r="D1610" s="59" t="n">
        <f aca="false">COUNTIFS($A$2:$A$1931,A1610,$C$2:$C$1931,"&gt;"&amp;C1610)+COUNTIFS($A$2:A1610,A1610,$C$2:C1610,C1610)</f>
        <v>4</v>
      </c>
      <c r="E1610" s="59" t="str">
        <f aca="false">A1610&amp;"|"&amp;D1610</f>
        <v>BLR-Yelahanka new town New|4</v>
      </c>
    </row>
    <row r="1611" customFormat="false" ht="15" hidden="false" customHeight="false" outlineLevel="0" collapsed="false">
      <c r="A1611" s="59" t="s">
        <v>147</v>
      </c>
      <c r="B1611" s="59" t="s">
        <v>408</v>
      </c>
      <c r="C1611" s="60" t="n">
        <v>9302.44</v>
      </c>
      <c r="D1611" s="59" t="n">
        <f aca="false">COUNTIFS($A$2:$A$1931,A1611,$C$2:$C$1931,"&gt;"&amp;C1611)+COUNTIFS($A$2:A1611,A1611,$C$2:C1611,C1611)</f>
        <v>1</v>
      </c>
      <c r="E1611" s="59" t="str">
        <f aca="false">A1611&amp;"|"&amp;D1611</f>
        <v>BLR-Yelenahalli|1</v>
      </c>
    </row>
    <row r="1612" customFormat="false" ht="15" hidden="false" customHeight="false" outlineLevel="0" collapsed="false">
      <c r="A1612" s="59" t="s">
        <v>147</v>
      </c>
      <c r="B1612" s="59" t="s">
        <v>410</v>
      </c>
      <c r="C1612" s="60" t="n">
        <v>1397.25</v>
      </c>
      <c r="D1612" s="59" t="n">
        <f aca="false">COUNTIFS($A$2:$A$1931,A1612,$C$2:$C$1931,"&gt;"&amp;C1612)+COUNTIFS($A$2:A1612,A1612,$C$2:C1612,C1612)</f>
        <v>2</v>
      </c>
      <c r="E1612" s="59" t="str">
        <f aca="false">A1612&amp;"|"&amp;D1612</f>
        <v>BLR-Yelenahalli|2</v>
      </c>
    </row>
    <row r="1613" customFormat="false" ht="15" hidden="false" customHeight="false" outlineLevel="0" collapsed="false">
      <c r="A1613" s="59" t="s">
        <v>147</v>
      </c>
      <c r="B1613" s="59" t="s">
        <v>412</v>
      </c>
      <c r="C1613" s="60" t="n">
        <v>1259.68</v>
      </c>
      <c r="D1613" s="59" t="n">
        <f aca="false">COUNTIFS($A$2:$A$1931,A1613,$C$2:$C$1931,"&gt;"&amp;C1613)+COUNTIFS($A$2:A1613,A1613,$C$2:C1613,C1613)</f>
        <v>3</v>
      </c>
      <c r="E1613" s="59" t="str">
        <f aca="false">A1613&amp;"|"&amp;D1613</f>
        <v>BLR-Yelenahalli|3</v>
      </c>
    </row>
    <row r="1614" customFormat="false" ht="15" hidden="false" customHeight="false" outlineLevel="0" collapsed="false">
      <c r="A1614" s="59" t="s">
        <v>147</v>
      </c>
      <c r="B1614" s="59" t="s">
        <v>424</v>
      </c>
      <c r="C1614" s="60" t="n">
        <v>669.98</v>
      </c>
      <c r="D1614" s="59" t="n">
        <f aca="false">COUNTIFS($A$2:$A$1931,A1614,$C$2:$C$1931,"&gt;"&amp;C1614)+COUNTIFS($A$2:A1614,A1614,$C$2:C1614,C1614)</f>
        <v>4</v>
      </c>
      <c r="E1614" s="59" t="str">
        <f aca="false">A1614&amp;"|"&amp;D1614</f>
        <v>BLR-Yelenahalli|4</v>
      </c>
    </row>
    <row r="1615" customFormat="false" ht="15" hidden="false" customHeight="false" outlineLevel="0" collapsed="false">
      <c r="A1615" s="59" t="s">
        <v>147</v>
      </c>
      <c r="B1615" s="59" t="s">
        <v>418</v>
      </c>
      <c r="C1615" s="60" t="n">
        <v>263.12</v>
      </c>
      <c r="D1615" s="59" t="n">
        <f aca="false">COUNTIFS($A$2:$A$1931,A1615,$C$2:$C$1931,"&gt;"&amp;C1615)+COUNTIFS($A$2:A1615,A1615,$C$2:C1615,C1615)</f>
        <v>5</v>
      </c>
      <c r="E1615" s="59" t="str">
        <f aca="false">A1615&amp;"|"&amp;D1615</f>
        <v>BLR-Yelenahalli|5</v>
      </c>
    </row>
    <row r="1616" customFormat="false" ht="15" hidden="false" customHeight="false" outlineLevel="0" collapsed="false">
      <c r="A1616" s="59" t="s">
        <v>242</v>
      </c>
      <c r="B1616" s="59" t="s">
        <v>408</v>
      </c>
      <c r="C1616" s="60" t="n">
        <v>72.38</v>
      </c>
      <c r="D1616" s="59" t="n">
        <f aca="false">COUNTIFS($A$2:$A$1931,A1616,$C$2:$C$1931,"&gt;"&amp;C1616)+COUNTIFS($A$2:A1616,A1616,$C$2:C1616,C1616)</f>
        <v>1</v>
      </c>
      <c r="E1616" s="59" t="str">
        <f aca="false">A1616&amp;"|"&amp;D1616</f>
        <v>COI-Nehru Nagar|1</v>
      </c>
    </row>
    <row r="1617" customFormat="false" ht="15" hidden="false" customHeight="false" outlineLevel="0" collapsed="false">
      <c r="A1617" s="59" t="s">
        <v>170</v>
      </c>
      <c r="B1617" s="59" t="s">
        <v>408</v>
      </c>
      <c r="C1617" s="60" t="n">
        <v>2642.87</v>
      </c>
      <c r="D1617" s="59" t="n">
        <f aca="false">COUNTIFS($A$2:$A$1931,A1617,$C$2:$C$1931,"&gt;"&amp;C1617)+COUNTIFS($A$2:A1617,A1617,$C$2:C1617,C1617)</f>
        <v>1</v>
      </c>
      <c r="E1617" s="59" t="str">
        <f aca="false">A1617&amp;"|"&amp;D1617</f>
        <v>COI-Parashakti nagar|1</v>
      </c>
    </row>
    <row r="1618" customFormat="false" ht="15" hidden="false" customHeight="false" outlineLevel="0" collapsed="false">
      <c r="A1618" s="59" t="s">
        <v>170</v>
      </c>
      <c r="B1618" s="59" t="s">
        <v>413</v>
      </c>
      <c r="C1618" s="60" t="n">
        <v>2145.86</v>
      </c>
      <c r="D1618" s="59" t="n">
        <f aca="false">COUNTIFS($A$2:$A$1931,A1618,$C$2:$C$1931,"&gt;"&amp;C1618)+COUNTIFS($A$2:A1618,A1618,$C$2:C1618,C1618)</f>
        <v>2</v>
      </c>
      <c r="E1618" s="59" t="str">
        <f aca="false">A1618&amp;"|"&amp;D1618</f>
        <v>COI-Parashakti nagar|2</v>
      </c>
    </row>
    <row r="1619" customFormat="false" ht="15" hidden="false" customHeight="false" outlineLevel="0" collapsed="false">
      <c r="A1619" s="59" t="s">
        <v>170</v>
      </c>
      <c r="B1619" s="59" t="s">
        <v>412</v>
      </c>
      <c r="C1619" s="60" t="n">
        <v>869.2</v>
      </c>
      <c r="D1619" s="59" t="n">
        <f aca="false">COUNTIFS($A$2:$A$1931,A1619,$C$2:$C$1931,"&gt;"&amp;C1619)+COUNTIFS($A$2:A1619,A1619,$C$2:C1619,C1619)</f>
        <v>3</v>
      </c>
      <c r="E1619" s="59" t="str">
        <f aca="false">A1619&amp;"|"&amp;D1619</f>
        <v>COI-Parashakti nagar|3</v>
      </c>
    </row>
    <row r="1620" customFormat="false" ht="15" hidden="false" customHeight="false" outlineLevel="0" collapsed="false">
      <c r="A1620" s="59" t="s">
        <v>170</v>
      </c>
      <c r="B1620" s="59" t="s">
        <v>410</v>
      </c>
      <c r="C1620" s="60" t="n">
        <v>562.1</v>
      </c>
      <c r="D1620" s="59" t="n">
        <f aca="false">COUNTIFS($A$2:$A$1931,A1620,$C$2:$C$1931,"&gt;"&amp;C1620)+COUNTIFS($A$2:A1620,A1620,$C$2:C1620,C1620)</f>
        <v>4</v>
      </c>
      <c r="E1620" s="59" t="str">
        <f aca="false">A1620&amp;"|"&amp;D1620</f>
        <v>COI-Parashakti nagar|4</v>
      </c>
    </row>
    <row r="1621" customFormat="false" ht="15" hidden="false" customHeight="false" outlineLevel="0" collapsed="false">
      <c r="A1621" s="59" t="s">
        <v>170</v>
      </c>
      <c r="B1621" s="59" t="s">
        <v>431</v>
      </c>
      <c r="C1621" s="60" t="n">
        <v>375.63</v>
      </c>
      <c r="D1621" s="59" t="n">
        <f aca="false">COUNTIFS($A$2:$A$1931,A1621,$C$2:$C$1931,"&gt;"&amp;C1621)+COUNTIFS($A$2:A1621,A1621,$C$2:C1621,C1621)</f>
        <v>5</v>
      </c>
      <c r="E1621" s="59" t="str">
        <f aca="false">A1621&amp;"|"&amp;D1621</f>
        <v>COI-Parashakti nagar|5</v>
      </c>
    </row>
    <row r="1622" customFormat="false" ht="15" hidden="false" customHeight="false" outlineLevel="0" collapsed="false">
      <c r="A1622" s="59" t="s">
        <v>170</v>
      </c>
      <c r="B1622" s="59" t="s">
        <v>415</v>
      </c>
      <c r="C1622" s="60" t="n">
        <v>271.59</v>
      </c>
      <c r="D1622" s="59" t="n">
        <f aca="false">COUNTIFS($A$2:$A$1931,A1622,$C$2:$C$1931,"&gt;"&amp;C1622)+COUNTIFS($A$2:A1622,A1622,$C$2:C1622,C1622)</f>
        <v>6</v>
      </c>
      <c r="E1622" s="59" t="str">
        <f aca="false">A1622&amp;"|"&amp;D1622</f>
        <v>COI-Parashakti nagar|6</v>
      </c>
    </row>
    <row r="1623" customFormat="false" ht="15" hidden="false" customHeight="false" outlineLevel="0" collapsed="false">
      <c r="A1623" s="59" t="s">
        <v>170</v>
      </c>
      <c r="B1623" s="59" t="s">
        <v>440</v>
      </c>
      <c r="C1623" s="60" t="n">
        <v>46.38</v>
      </c>
      <c r="D1623" s="59" t="n">
        <f aca="false">COUNTIFS($A$2:$A$1931,A1623,$C$2:$C$1931,"&gt;"&amp;C1623)+COUNTIFS($A$2:A1623,A1623,$C$2:C1623,C1623)</f>
        <v>7</v>
      </c>
      <c r="E1623" s="59" t="str">
        <f aca="false">A1623&amp;"|"&amp;D1623</f>
        <v>COI-Parashakti nagar|7</v>
      </c>
    </row>
    <row r="1624" customFormat="false" ht="15" hidden="false" customHeight="false" outlineLevel="0" collapsed="false">
      <c r="A1624" s="59" t="s">
        <v>229</v>
      </c>
      <c r="B1624" s="59" t="s">
        <v>410</v>
      </c>
      <c r="C1624" s="60" t="n">
        <v>3678.17</v>
      </c>
      <c r="D1624" s="59" t="n">
        <f aca="false">COUNTIFS($A$2:$A$1931,A1624,$C$2:$C$1931,"&gt;"&amp;C1624)+COUNTIFS($A$2:A1624,A1624,$C$2:C1624,C1624)</f>
        <v>1</v>
      </c>
      <c r="E1624" s="59" t="str">
        <f aca="false">A1624&amp;"|"&amp;D1624</f>
        <v>COI-Peelamedu|1</v>
      </c>
    </row>
    <row r="1625" customFormat="false" ht="15" hidden="false" customHeight="false" outlineLevel="0" collapsed="false">
      <c r="A1625" s="59" t="s">
        <v>229</v>
      </c>
      <c r="B1625" s="59" t="s">
        <v>431</v>
      </c>
      <c r="C1625" s="60" t="n">
        <v>1970.57</v>
      </c>
      <c r="D1625" s="59" t="n">
        <f aca="false">COUNTIFS($A$2:$A$1931,A1625,$C$2:$C$1931,"&gt;"&amp;C1625)+COUNTIFS($A$2:A1625,A1625,$C$2:C1625,C1625)</f>
        <v>2</v>
      </c>
      <c r="E1625" s="59" t="str">
        <f aca="false">A1625&amp;"|"&amp;D1625</f>
        <v>COI-Peelamedu|2</v>
      </c>
    </row>
    <row r="1626" customFormat="false" ht="15" hidden="false" customHeight="false" outlineLevel="0" collapsed="false">
      <c r="A1626" s="59" t="s">
        <v>229</v>
      </c>
      <c r="B1626" s="59" t="s">
        <v>409</v>
      </c>
      <c r="C1626" s="60" t="n">
        <v>1273.09</v>
      </c>
      <c r="D1626" s="59" t="n">
        <f aca="false">COUNTIFS($A$2:$A$1931,A1626,$C$2:$C$1931,"&gt;"&amp;C1626)+COUNTIFS($A$2:A1626,A1626,$C$2:C1626,C1626)</f>
        <v>3</v>
      </c>
      <c r="E1626" s="59" t="str">
        <f aca="false">A1626&amp;"|"&amp;D1626</f>
        <v>COI-Peelamedu|3</v>
      </c>
    </row>
    <row r="1627" customFormat="false" ht="15" hidden="false" customHeight="false" outlineLevel="0" collapsed="false">
      <c r="A1627" s="59" t="s">
        <v>229</v>
      </c>
      <c r="B1627" s="59" t="s">
        <v>420</v>
      </c>
      <c r="C1627" s="60" t="n">
        <v>1242.43</v>
      </c>
      <c r="D1627" s="59" t="n">
        <f aca="false">COUNTIFS($A$2:$A$1931,A1627,$C$2:$C$1931,"&gt;"&amp;C1627)+COUNTIFS($A$2:A1627,A1627,$C$2:C1627,C1627)</f>
        <v>4</v>
      </c>
      <c r="E1627" s="59" t="str">
        <f aca="false">A1627&amp;"|"&amp;D1627</f>
        <v>COI-Peelamedu|4</v>
      </c>
    </row>
    <row r="1628" customFormat="false" ht="15" hidden="false" customHeight="false" outlineLevel="0" collapsed="false">
      <c r="A1628" s="59" t="s">
        <v>229</v>
      </c>
      <c r="B1628" s="59" t="s">
        <v>426</v>
      </c>
      <c r="C1628" s="60" t="n">
        <v>901.5</v>
      </c>
      <c r="D1628" s="59" t="n">
        <f aca="false">COUNTIFS($A$2:$A$1931,A1628,$C$2:$C$1931,"&gt;"&amp;C1628)+COUNTIFS($A$2:A1628,A1628,$C$2:C1628,C1628)</f>
        <v>5</v>
      </c>
      <c r="E1628" s="59" t="str">
        <f aca="false">A1628&amp;"|"&amp;D1628</f>
        <v>COI-Peelamedu|5</v>
      </c>
    </row>
    <row r="1629" customFormat="false" ht="15" hidden="false" customHeight="false" outlineLevel="0" collapsed="false">
      <c r="A1629" s="59" t="s">
        <v>229</v>
      </c>
      <c r="B1629" s="59" t="s">
        <v>416</v>
      </c>
      <c r="C1629" s="60" t="n">
        <v>768.35</v>
      </c>
      <c r="D1629" s="59" t="n">
        <f aca="false">COUNTIFS($A$2:$A$1931,A1629,$C$2:$C$1931,"&gt;"&amp;C1629)+COUNTIFS($A$2:A1629,A1629,$C$2:C1629,C1629)</f>
        <v>6</v>
      </c>
      <c r="E1629" s="59" t="str">
        <f aca="false">A1629&amp;"|"&amp;D1629</f>
        <v>COI-Peelamedu|6</v>
      </c>
    </row>
    <row r="1630" customFormat="false" ht="15" hidden="false" customHeight="false" outlineLevel="0" collapsed="false">
      <c r="A1630" s="59" t="s">
        <v>229</v>
      </c>
      <c r="B1630" s="59" t="s">
        <v>415</v>
      </c>
      <c r="C1630" s="60" t="n">
        <v>479.58</v>
      </c>
      <c r="D1630" s="59" t="n">
        <f aca="false">COUNTIFS($A$2:$A$1931,A1630,$C$2:$C$1931,"&gt;"&amp;C1630)+COUNTIFS($A$2:A1630,A1630,$C$2:C1630,C1630)</f>
        <v>7</v>
      </c>
      <c r="E1630" s="59" t="str">
        <f aca="false">A1630&amp;"|"&amp;D1630</f>
        <v>COI-Peelamedu|7</v>
      </c>
    </row>
    <row r="1631" customFormat="false" ht="15" hidden="false" customHeight="false" outlineLevel="0" collapsed="false">
      <c r="A1631" s="59" t="s">
        <v>229</v>
      </c>
      <c r="B1631" s="59" t="s">
        <v>437</v>
      </c>
      <c r="C1631" s="60" t="n">
        <v>456.37</v>
      </c>
      <c r="D1631" s="59" t="n">
        <f aca="false">COUNTIFS($A$2:$A$1931,A1631,$C$2:$C$1931,"&gt;"&amp;C1631)+COUNTIFS($A$2:A1631,A1631,$C$2:C1631,C1631)</f>
        <v>8</v>
      </c>
      <c r="E1631" s="59" t="str">
        <f aca="false">A1631&amp;"|"&amp;D1631</f>
        <v>COI-Peelamedu|8</v>
      </c>
    </row>
    <row r="1632" customFormat="false" ht="15" hidden="false" customHeight="false" outlineLevel="0" collapsed="false">
      <c r="A1632" s="59" t="s">
        <v>229</v>
      </c>
      <c r="B1632" s="59" t="s">
        <v>413</v>
      </c>
      <c r="C1632" s="60" t="n">
        <v>402.79</v>
      </c>
      <c r="D1632" s="59" t="n">
        <f aca="false">COUNTIFS($A$2:$A$1931,A1632,$C$2:$C$1931,"&gt;"&amp;C1632)+COUNTIFS($A$2:A1632,A1632,$C$2:C1632,C1632)</f>
        <v>9</v>
      </c>
      <c r="E1632" s="59" t="str">
        <f aca="false">A1632&amp;"|"&amp;D1632</f>
        <v>COI-Peelamedu|9</v>
      </c>
    </row>
    <row r="1633" customFormat="false" ht="15" hidden="false" customHeight="false" outlineLevel="0" collapsed="false">
      <c r="A1633" s="59" t="s">
        <v>229</v>
      </c>
      <c r="B1633" s="59" t="s">
        <v>418</v>
      </c>
      <c r="C1633" s="60" t="n">
        <v>318.53</v>
      </c>
      <c r="D1633" s="59" t="n">
        <f aca="false">COUNTIFS($A$2:$A$1931,A1633,$C$2:$C$1931,"&gt;"&amp;C1633)+COUNTIFS($A$2:A1633,A1633,$C$2:C1633,C1633)</f>
        <v>10</v>
      </c>
      <c r="E1633" s="59" t="str">
        <f aca="false">A1633&amp;"|"&amp;D1633</f>
        <v>COI-Peelamedu|10</v>
      </c>
    </row>
    <row r="1634" customFormat="false" ht="15" hidden="false" customHeight="false" outlineLevel="0" collapsed="false">
      <c r="A1634" s="59" t="s">
        <v>229</v>
      </c>
      <c r="B1634" s="59" t="s">
        <v>419</v>
      </c>
      <c r="C1634" s="60" t="n">
        <v>277.22</v>
      </c>
      <c r="D1634" s="59" t="n">
        <f aca="false">COUNTIFS($A$2:$A$1931,A1634,$C$2:$C$1931,"&gt;"&amp;C1634)+COUNTIFS($A$2:A1634,A1634,$C$2:C1634,C1634)</f>
        <v>11</v>
      </c>
      <c r="E1634" s="59" t="str">
        <f aca="false">A1634&amp;"|"&amp;D1634</f>
        <v>COI-Peelamedu|11</v>
      </c>
    </row>
    <row r="1635" customFormat="false" ht="15" hidden="false" customHeight="false" outlineLevel="0" collapsed="false">
      <c r="A1635" s="59" t="s">
        <v>229</v>
      </c>
      <c r="B1635" s="59" t="s">
        <v>424</v>
      </c>
      <c r="C1635" s="60" t="n">
        <v>125.95</v>
      </c>
      <c r="D1635" s="59" t="n">
        <f aca="false">COUNTIFS($A$2:$A$1931,A1635,$C$2:$C$1931,"&gt;"&amp;C1635)+COUNTIFS($A$2:A1635,A1635,$C$2:C1635,C1635)</f>
        <v>12</v>
      </c>
      <c r="E1635" s="59" t="str">
        <f aca="false">A1635&amp;"|"&amp;D1635</f>
        <v>COI-Peelamedu|12</v>
      </c>
    </row>
    <row r="1636" customFormat="false" ht="15" hidden="false" customHeight="false" outlineLevel="0" collapsed="false">
      <c r="A1636" s="59" t="s">
        <v>229</v>
      </c>
      <c r="B1636" s="59" t="s">
        <v>412</v>
      </c>
      <c r="C1636" s="60" t="n">
        <v>88.96</v>
      </c>
      <c r="D1636" s="59" t="n">
        <f aca="false">COUNTIFS($A$2:$A$1931,A1636,$C$2:$C$1931,"&gt;"&amp;C1636)+COUNTIFS($A$2:A1636,A1636,$C$2:C1636,C1636)</f>
        <v>13</v>
      </c>
      <c r="E1636" s="59" t="str">
        <f aca="false">A1636&amp;"|"&amp;D1636</f>
        <v>COI-Peelamedu|13</v>
      </c>
    </row>
    <row r="1637" customFormat="false" ht="15" hidden="false" customHeight="false" outlineLevel="0" collapsed="false">
      <c r="A1637" s="59" t="s">
        <v>229</v>
      </c>
      <c r="B1637" s="59" t="s">
        <v>423</v>
      </c>
      <c r="C1637" s="60" t="n">
        <v>50.5</v>
      </c>
      <c r="D1637" s="59" t="n">
        <f aca="false">COUNTIFS($A$2:$A$1931,A1637,$C$2:$C$1931,"&gt;"&amp;C1637)+COUNTIFS($A$2:A1637,A1637,$C$2:C1637,C1637)</f>
        <v>14</v>
      </c>
      <c r="E1637" s="59" t="str">
        <f aca="false">A1637&amp;"|"&amp;D1637</f>
        <v>COI-Peelamedu|14</v>
      </c>
    </row>
    <row r="1638" customFormat="false" ht="15" hidden="false" customHeight="false" outlineLevel="0" collapsed="false">
      <c r="A1638" s="59" t="s">
        <v>229</v>
      </c>
      <c r="B1638" s="59" t="s">
        <v>440</v>
      </c>
      <c r="C1638" s="60" t="n">
        <v>22.01</v>
      </c>
      <c r="D1638" s="59" t="n">
        <f aca="false">COUNTIFS($A$2:$A$1931,A1638,$C$2:$C$1931,"&gt;"&amp;C1638)+COUNTIFS($A$2:A1638,A1638,$C$2:C1638,C1638)</f>
        <v>15</v>
      </c>
      <c r="E1638" s="59" t="str">
        <f aca="false">A1638&amp;"|"&amp;D1638</f>
        <v>COI-Peelamedu|15</v>
      </c>
    </row>
    <row r="1639" customFormat="false" ht="15" hidden="false" customHeight="false" outlineLevel="0" collapsed="false">
      <c r="A1639" s="59" t="s">
        <v>229</v>
      </c>
      <c r="B1639" s="59" t="s">
        <v>407</v>
      </c>
      <c r="C1639" s="60" t="n">
        <v>19.31</v>
      </c>
      <c r="D1639" s="59" t="n">
        <f aca="false">COUNTIFS($A$2:$A$1931,A1639,$C$2:$C$1931,"&gt;"&amp;C1639)+COUNTIFS($A$2:A1639,A1639,$C$2:C1639,C1639)</f>
        <v>16</v>
      </c>
      <c r="E1639" s="59" t="str">
        <f aca="false">A1639&amp;"|"&amp;D1639</f>
        <v>COI-Peelamedu|16</v>
      </c>
    </row>
    <row r="1640" customFormat="false" ht="15" hidden="false" customHeight="false" outlineLevel="0" collapsed="false">
      <c r="A1640" s="59" t="s">
        <v>200</v>
      </c>
      <c r="B1640" s="59" t="s">
        <v>417</v>
      </c>
      <c r="C1640" s="60" t="n">
        <v>488.26</v>
      </c>
      <c r="D1640" s="59" t="n">
        <f aca="false">COUNTIFS($A$2:$A$1931,A1640,$C$2:$C$1931,"&gt;"&amp;C1640)+COUNTIFS($A$2:A1640,A1640,$C$2:C1640,C1640)</f>
        <v>1</v>
      </c>
      <c r="E1640" s="59" t="str">
        <f aca="false">A1640&amp;"|"&amp;D1640</f>
        <v>COI-R S Puram|1</v>
      </c>
    </row>
    <row r="1641" customFormat="false" ht="15" hidden="false" customHeight="false" outlineLevel="0" collapsed="false">
      <c r="A1641" s="59" t="s">
        <v>200</v>
      </c>
      <c r="B1641" s="59" t="s">
        <v>410</v>
      </c>
      <c r="C1641" s="60" t="n">
        <v>89.8</v>
      </c>
      <c r="D1641" s="59" t="n">
        <f aca="false">COUNTIFS($A$2:$A$1931,A1641,$C$2:$C$1931,"&gt;"&amp;C1641)+COUNTIFS($A$2:A1641,A1641,$C$2:C1641,C1641)</f>
        <v>2</v>
      </c>
      <c r="E1641" s="59" t="str">
        <f aca="false">A1641&amp;"|"&amp;D1641</f>
        <v>COI-R S Puram|2</v>
      </c>
    </row>
    <row r="1642" customFormat="false" ht="15" hidden="false" customHeight="false" outlineLevel="0" collapsed="false">
      <c r="A1642" s="59" t="s">
        <v>200</v>
      </c>
      <c r="B1642" s="59" t="s">
        <v>424</v>
      </c>
      <c r="C1642" s="60" t="n">
        <v>56</v>
      </c>
      <c r="D1642" s="59" t="n">
        <f aca="false">COUNTIFS($A$2:$A$1931,A1642,$C$2:$C$1931,"&gt;"&amp;C1642)+COUNTIFS($A$2:A1642,A1642,$C$2:C1642,C1642)</f>
        <v>3</v>
      </c>
      <c r="E1642" s="59" t="str">
        <f aca="false">A1642&amp;"|"&amp;D1642</f>
        <v>COI-R S Puram|3</v>
      </c>
    </row>
    <row r="1643" customFormat="false" ht="15" hidden="false" customHeight="false" outlineLevel="0" collapsed="false">
      <c r="A1643" s="59" t="s">
        <v>250</v>
      </c>
      <c r="B1643" s="59" t="s">
        <v>412</v>
      </c>
      <c r="C1643" s="60" t="n">
        <v>2837.35</v>
      </c>
      <c r="D1643" s="59" t="n">
        <f aca="false">COUNTIFS($A$2:$A$1931,A1643,$C$2:$C$1931,"&gt;"&amp;C1643)+COUNTIFS($A$2:A1643,A1643,$C$2:C1643,C1643)</f>
        <v>1</v>
      </c>
      <c r="E1643" s="59" t="str">
        <f aca="false">A1643&amp;"|"&amp;D1643</f>
        <v>COI-Race Course|1</v>
      </c>
    </row>
    <row r="1644" customFormat="false" ht="15" hidden="false" customHeight="false" outlineLevel="0" collapsed="false">
      <c r="A1644" s="59" t="s">
        <v>250</v>
      </c>
      <c r="B1644" s="59" t="s">
        <v>411</v>
      </c>
      <c r="C1644" s="60" t="n">
        <v>1074.04</v>
      </c>
      <c r="D1644" s="59" t="n">
        <f aca="false">COUNTIFS($A$2:$A$1931,A1644,$C$2:$C$1931,"&gt;"&amp;C1644)+COUNTIFS($A$2:A1644,A1644,$C$2:C1644,C1644)</f>
        <v>2</v>
      </c>
      <c r="E1644" s="59" t="str">
        <f aca="false">A1644&amp;"|"&amp;D1644</f>
        <v>COI-Race Course|2</v>
      </c>
    </row>
    <row r="1645" customFormat="false" ht="15" hidden="false" customHeight="false" outlineLevel="0" collapsed="false">
      <c r="A1645" s="59" t="s">
        <v>250</v>
      </c>
      <c r="B1645" s="59" t="s">
        <v>435</v>
      </c>
      <c r="C1645" s="60" t="n">
        <v>729.08</v>
      </c>
      <c r="D1645" s="59" t="n">
        <f aca="false">COUNTIFS($A$2:$A$1931,A1645,$C$2:$C$1931,"&gt;"&amp;C1645)+COUNTIFS($A$2:A1645,A1645,$C$2:C1645,C1645)</f>
        <v>3</v>
      </c>
      <c r="E1645" s="59" t="str">
        <f aca="false">A1645&amp;"|"&amp;D1645</f>
        <v>COI-Race Course|3</v>
      </c>
    </row>
    <row r="1646" customFormat="false" ht="15" hidden="false" customHeight="false" outlineLevel="0" collapsed="false">
      <c r="A1646" s="59" t="s">
        <v>250</v>
      </c>
      <c r="B1646" s="59" t="s">
        <v>426</v>
      </c>
      <c r="C1646" s="60" t="n">
        <v>682.1</v>
      </c>
      <c r="D1646" s="59" t="n">
        <f aca="false">COUNTIFS($A$2:$A$1931,A1646,$C$2:$C$1931,"&gt;"&amp;C1646)+COUNTIFS($A$2:A1646,A1646,$C$2:C1646,C1646)</f>
        <v>4</v>
      </c>
      <c r="E1646" s="59" t="str">
        <f aca="false">A1646&amp;"|"&amp;D1646</f>
        <v>COI-Race Course|4</v>
      </c>
    </row>
    <row r="1647" customFormat="false" ht="15" hidden="false" customHeight="false" outlineLevel="0" collapsed="false">
      <c r="A1647" s="59" t="s">
        <v>250</v>
      </c>
      <c r="B1647" s="59" t="s">
        <v>417</v>
      </c>
      <c r="C1647" s="60" t="n">
        <v>505.86</v>
      </c>
      <c r="D1647" s="59" t="n">
        <f aca="false">COUNTIFS($A$2:$A$1931,A1647,$C$2:$C$1931,"&gt;"&amp;C1647)+COUNTIFS($A$2:A1647,A1647,$C$2:C1647,C1647)</f>
        <v>5</v>
      </c>
      <c r="E1647" s="59" t="str">
        <f aca="false">A1647&amp;"|"&amp;D1647</f>
        <v>COI-Race Course|5</v>
      </c>
    </row>
    <row r="1648" customFormat="false" ht="15" hidden="false" customHeight="false" outlineLevel="0" collapsed="false">
      <c r="A1648" s="59" t="s">
        <v>250</v>
      </c>
      <c r="B1648" s="59" t="s">
        <v>409</v>
      </c>
      <c r="C1648" s="60" t="n">
        <v>367.22</v>
      </c>
      <c r="D1648" s="59" t="n">
        <f aca="false">COUNTIFS($A$2:$A$1931,A1648,$C$2:$C$1931,"&gt;"&amp;C1648)+COUNTIFS($A$2:A1648,A1648,$C$2:C1648,C1648)</f>
        <v>6</v>
      </c>
      <c r="E1648" s="59" t="str">
        <f aca="false">A1648&amp;"|"&amp;D1648</f>
        <v>COI-Race Course|6</v>
      </c>
    </row>
    <row r="1649" customFormat="false" ht="15" hidden="false" customHeight="false" outlineLevel="0" collapsed="false">
      <c r="A1649" s="59" t="s">
        <v>250</v>
      </c>
      <c r="B1649" s="59" t="s">
        <v>431</v>
      </c>
      <c r="C1649" s="60" t="n">
        <v>193.94</v>
      </c>
      <c r="D1649" s="59" t="n">
        <f aca="false">COUNTIFS($A$2:$A$1931,A1649,$C$2:$C$1931,"&gt;"&amp;C1649)+COUNTIFS($A$2:A1649,A1649,$C$2:C1649,C1649)</f>
        <v>7</v>
      </c>
      <c r="E1649" s="59" t="str">
        <f aca="false">A1649&amp;"|"&amp;D1649</f>
        <v>COI-Race Course|7</v>
      </c>
    </row>
    <row r="1650" customFormat="false" ht="15" hidden="false" customHeight="false" outlineLevel="0" collapsed="false">
      <c r="A1650" s="59" t="s">
        <v>250</v>
      </c>
      <c r="B1650" s="59" t="s">
        <v>414</v>
      </c>
      <c r="C1650" s="60" t="n">
        <v>103.42</v>
      </c>
      <c r="D1650" s="59" t="n">
        <f aca="false">COUNTIFS($A$2:$A$1931,A1650,$C$2:$C$1931,"&gt;"&amp;C1650)+COUNTIFS($A$2:A1650,A1650,$C$2:C1650,C1650)</f>
        <v>8</v>
      </c>
      <c r="E1650" s="59" t="str">
        <f aca="false">A1650&amp;"|"&amp;D1650</f>
        <v>COI-Race Course|8</v>
      </c>
    </row>
    <row r="1651" customFormat="false" ht="15" hidden="false" customHeight="false" outlineLevel="0" collapsed="false">
      <c r="A1651" s="59" t="s">
        <v>250</v>
      </c>
      <c r="B1651" s="59" t="s">
        <v>410</v>
      </c>
      <c r="C1651" s="60" t="n">
        <v>68.94</v>
      </c>
      <c r="D1651" s="59" t="n">
        <f aca="false">COUNTIFS($A$2:$A$1931,A1651,$C$2:$C$1931,"&gt;"&amp;C1651)+COUNTIFS($A$2:A1651,A1651,$C$2:C1651,C1651)</f>
        <v>9</v>
      </c>
      <c r="E1651" s="59" t="str">
        <f aca="false">A1651&amp;"|"&amp;D1651</f>
        <v>COI-Race Course|9</v>
      </c>
    </row>
    <row r="1652" customFormat="false" ht="15" hidden="false" customHeight="false" outlineLevel="0" collapsed="false">
      <c r="A1652" s="59" t="s">
        <v>250</v>
      </c>
      <c r="B1652" s="59" t="s">
        <v>418</v>
      </c>
      <c r="C1652" s="60" t="n">
        <v>36.53</v>
      </c>
      <c r="D1652" s="59" t="n">
        <f aca="false">COUNTIFS($A$2:$A$1931,A1652,$C$2:$C$1931,"&gt;"&amp;C1652)+COUNTIFS($A$2:A1652,A1652,$C$2:C1652,C1652)</f>
        <v>10</v>
      </c>
      <c r="E1652" s="59" t="str">
        <f aca="false">A1652&amp;"|"&amp;D1652</f>
        <v>COI-Race Course|10</v>
      </c>
    </row>
    <row r="1653" customFormat="false" ht="15" hidden="false" customHeight="false" outlineLevel="0" collapsed="false">
      <c r="A1653" s="59" t="s">
        <v>250</v>
      </c>
      <c r="B1653" s="59" t="s">
        <v>420</v>
      </c>
      <c r="C1653" s="60" t="n">
        <v>26.29</v>
      </c>
      <c r="D1653" s="59" t="n">
        <f aca="false">COUNTIFS($A$2:$A$1931,A1653,$C$2:$C$1931,"&gt;"&amp;C1653)+COUNTIFS($A$2:A1653,A1653,$C$2:C1653,C1653)</f>
        <v>11</v>
      </c>
      <c r="E1653" s="59" t="str">
        <f aca="false">A1653&amp;"|"&amp;D1653</f>
        <v>COI-Race Course|11</v>
      </c>
    </row>
    <row r="1654" customFormat="false" ht="15" hidden="false" customHeight="false" outlineLevel="0" collapsed="false">
      <c r="A1654" s="59" t="s">
        <v>250</v>
      </c>
      <c r="B1654" s="59" t="s">
        <v>440</v>
      </c>
      <c r="C1654" s="60" t="n">
        <v>22.01</v>
      </c>
      <c r="D1654" s="59" t="n">
        <f aca="false">COUNTIFS($A$2:$A$1931,A1654,$C$2:$C$1931,"&gt;"&amp;C1654)+COUNTIFS($A$2:A1654,A1654,$C$2:C1654,C1654)</f>
        <v>12</v>
      </c>
      <c r="E1654" s="59" t="str">
        <f aca="false">A1654&amp;"|"&amp;D1654</f>
        <v>COI-Race Course|12</v>
      </c>
    </row>
    <row r="1655" customFormat="false" ht="15" hidden="false" customHeight="false" outlineLevel="0" collapsed="false">
      <c r="A1655" s="59" t="s">
        <v>261</v>
      </c>
      <c r="B1655" s="59" t="s">
        <v>413</v>
      </c>
      <c r="C1655" s="60" t="n">
        <v>3720.2</v>
      </c>
      <c r="D1655" s="59" t="n">
        <f aca="false">COUNTIFS($A$2:$A$1931,A1655,$C$2:$C$1931,"&gt;"&amp;C1655)+COUNTIFS($A$2:A1655,A1655,$C$2:C1655,C1655)</f>
        <v>1</v>
      </c>
      <c r="E1655" s="59" t="str">
        <f aca="false">A1655&amp;"|"&amp;D1655</f>
        <v>COI-Ramnathapuram|1</v>
      </c>
    </row>
    <row r="1656" customFormat="false" ht="15" hidden="false" customHeight="false" outlineLevel="0" collapsed="false">
      <c r="A1656" s="59" t="s">
        <v>261</v>
      </c>
      <c r="B1656" s="59" t="s">
        <v>419</v>
      </c>
      <c r="C1656" s="60" t="n">
        <v>3624.94</v>
      </c>
      <c r="D1656" s="59" t="n">
        <f aca="false">COUNTIFS($A$2:$A$1931,A1656,$C$2:$C$1931,"&gt;"&amp;C1656)+COUNTIFS($A$2:A1656,A1656,$C$2:C1656,C1656)</f>
        <v>2</v>
      </c>
      <c r="E1656" s="59" t="str">
        <f aca="false">A1656&amp;"|"&amp;D1656</f>
        <v>COI-Ramnathapuram|2</v>
      </c>
    </row>
    <row r="1657" customFormat="false" ht="15" hidden="false" customHeight="false" outlineLevel="0" collapsed="false">
      <c r="A1657" s="59" t="s">
        <v>261</v>
      </c>
      <c r="B1657" s="59" t="s">
        <v>426</v>
      </c>
      <c r="C1657" s="60" t="n">
        <v>2964.62</v>
      </c>
      <c r="D1657" s="59" t="n">
        <f aca="false">COUNTIFS($A$2:$A$1931,A1657,$C$2:$C$1931,"&gt;"&amp;C1657)+COUNTIFS($A$2:A1657,A1657,$C$2:C1657,C1657)</f>
        <v>3</v>
      </c>
      <c r="E1657" s="59" t="str">
        <f aca="false">A1657&amp;"|"&amp;D1657</f>
        <v>COI-Ramnathapuram|3</v>
      </c>
    </row>
    <row r="1658" customFormat="false" ht="15" hidden="false" customHeight="false" outlineLevel="0" collapsed="false">
      <c r="A1658" s="59" t="s">
        <v>261</v>
      </c>
      <c r="B1658" s="59" t="s">
        <v>415</v>
      </c>
      <c r="C1658" s="60" t="n">
        <v>1715.88</v>
      </c>
      <c r="D1658" s="59" t="n">
        <f aca="false">COUNTIFS($A$2:$A$1931,A1658,$C$2:$C$1931,"&gt;"&amp;C1658)+COUNTIFS($A$2:A1658,A1658,$C$2:C1658,C1658)</f>
        <v>4</v>
      </c>
      <c r="E1658" s="59" t="str">
        <f aca="false">A1658&amp;"|"&amp;D1658</f>
        <v>COI-Ramnathapuram|4</v>
      </c>
    </row>
    <row r="1659" customFormat="false" ht="15" hidden="false" customHeight="false" outlineLevel="0" collapsed="false">
      <c r="A1659" s="59" t="s">
        <v>261</v>
      </c>
      <c r="B1659" s="59" t="s">
        <v>408</v>
      </c>
      <c r="C1659" s="60" t="n">
        <v>1230.78</v>
      </c>
      <c r="D1659" s="59" t="n">
        <f aca="false">COUNTIFS($A$2:$A$1931,A1659,$C$2:$C$1931,"&gt;"&amp;C1659)+COUNTIFS($A$2:A1659,A1659,$C$2:C1659,C1659)</f>
        <v>5</v>
      </c>
      <c r="E1659" s="59" t="str">
        <f aca="false">A1659&amp;"|"&amp;D1659</f>
        <v>COI-Ramnathapuram|5</v>
      </c>
    </row>
    <row r="1660" customFormat="false" ht="15" hidden="false" customHeight="false" outlineLevel="0" collapsed="false">
      <c r="A1660" s="59" t="s">
        <v>261</v>
      </c>
      <c r="B1660" s="59" t="s">
        <v>417</v>
      </c>
      <c r="C1660" s="60" t="n">
        <v>515.22</v>
      </c>
      <c r="D1660" s="59" t="n">
        <f aca="false">COUNTIFS($A$2:$A$1931,A1660,$C$2:$C$1931,"&gt;"&amp;C1660)+COUNTIFS($A$2:A1660,A1660,$C$2:C1660,C1660)</f>
        <v>6</v>
      </c>
      <c r="E1660" s="59" t="str">
        <f aca="false">A1660&amp;"|"&amp;D1660</f>
        <v>COI-Ramnathapuram|6</v>
      </c>
    </row>
    <row r="1661" customFormat="false" ht="15" hidden="false" customHeight="false" outlineLevel="0" collapsed="false">
      <c r="A1661" s="59" t="s">
        <v>261</v>
      </c>
      <c r="B1661" s="59" t="s">
        <v>412</v>
      </c>
      <c r="C1661" s="60" t="n">
        <v>108.78</v>
      </c>
      <c r="D1661" s="59" t="n">
        <f aca="false">COUNTIFS($A$2:$A$1931,A1661,$C$2:$C$1931,"&gt;"&amp;C1661)+COUNTIFS($A$2:A1661,A1661,$C$2:C1661,C1661)</f>
        <v>7</v>
      </c>
      <c r="E1661" s="59" t="str">
        <f aca="false">A1661&amp;"|"&amp;D1661</f>
        <v>COI-Ramnathapuram|7</v>
      </c>
    </row>
    <row r="1662" customFormat="false" ht="15" hidden="false" customHeight="false" outlineLevel="0" collapsed="false">
      <c r="A1662" s="59" t="s">
        <v>146</v>
      </c>
      <c r="B1662" s="59" t="s">
        <v>408</v>
      </c>
      <c r="C1662" s="60" t="n">
        <v>2359.02</v>
      </c>
      <c r="D1662" s="59" t="n">
        <f aca="false">COUNTIFS($A$2:$A$1931,A1662,$C$2:$C$1931,"&gt;"&amp;C1662)+COUNTIFS($A$2:A1662,A1662,$C$2:C1662,C1662)</f>
        <v>1</v>
      </c>
      <c r="E1662" s="59" t="str">
        <f aca="false">A1662&amp;"|"&amp;D1662</f>
        <v>COI-Sai baba colony|1</v>
      </c>
    </row>
    <row r="1663" customFormat="false" ht="15" hidden="false" customHeight="false" outlineLevel="0" collapsed="false">
      <c r="A1663" s="59" t="s">
        <v>146</v>
      </c>
      <c r="B1663" s="59" t="s">
        <v>417</v>
      </c>
      <c r="C1663" s="60" t="n">
        <v>2234.16</v>
      </c>
      <c r="D1663" s="59" t="n">
        <f aca="false">COUNTIFS($A$2:$A$1931,A1663,$C$2:$C$1931,"&gt;"&amp;C1663)+COUNTIFS($A$2:A1663,A1663,$C$2:C1663,C1663)</f>
        <v>2</v>
      </c>
      <c r="E1663" s="59" t="str">
        <f aca="false">A1663&amp;"|"&amp;D1663</f>
        <v>COI-Sai baba colony|2</v>
      </c>
    </row>
    <row r="1664" customFormat="false" ht="15" hidden="false" customHeight="false" outlineLevel="0" collapsed="false">
      <c r="A1664" s="59" t="s">
        <v>146</v>
      </c>
      <c r="B1664" s="59" t="s">
        <v>424</v>
      </c>
      <c r="C1664" s="60" t="n">
        <v>1011.24</v>
      </c>
      <c r="D1664" s="59" t="n">
        <f aca="false">COUNTIFS($A$2:$A$1931,A1664,$C$2:$C$1931,"&gt;"&amp;C1664)+COUNTIFS($A$2:A1664,A1664,$C$2:C1664,C1664)</f>
        <v>3</v>
      </c>
      <c r="E1664" s="59" t="str">
        <f aca="false">A1664&amp;"|"&amp;D1664</f>
        <v>COI-Sai baba colony|3</v>
      </c>
    </row>
    <row r="1665" customFormat="false" ht="15" hidden="false" customHeight="false" outlineLevel="0" collapsed="false">
      <c r="A1665" s="59" t="s">
        <v>146</v>
      </c>
      <c r="B1665" s="59" t="s">
        <v>431</v>
      </c>
      <c r="C1665" s="60" t="n">
        <v>748.09</v>
      </c>
      <c r="D1665" s="59" t="n">
        <f aca="false">COUNTIFS($A$2:$A$1931,A1665,$C$2:$C$1931,"&gt;"&amp;C1665)+COUNTIFS($A$2:A1665,A1665,$C$2:C1665,C1665)</f>
        <v>4</v>
      </c>
      <c r="E1665" s="59" t="str">
        <f aca="false">A1665&amp;"|"&amp;D1665</f>
        <v>COI-Sai baba colony|4</v>
      </c>
    </row>
    <row r="1666" customFormat="false" ht="15" hidden="false" customHeight="false" outlineLevel="0" collapsed="false">
      <c r="A1666" s="59" t="s">
        <v>146</v>
      </c>
      <c r="B1666" s="59" t="s">
        <v>412</v>
      </c>
      <c r="C1666" s="60" t="n">
        <v>493.59</v>
      </c>
      <c r="D1666" s="59" t="n">
        <f aca="false">COUNTIFS($A$2:$A$1931,A1666,$C$2:$C$1931,"&gt;"&amp;C1666)+COUNTIFS($A$2:A1666,A1666,$C$2:C1666,C1666)</f>
        <v>5</v>
      </c>
      <c r="E1666" s="59" t="str">
        <f aca="false">A1666&amp;"|"&amp;D1666</f>
        <v>COI-Sai baba colony|5</v>
      </c>
    </row>
    <row r="1667" customFormat="false" ht="15" hidden="false" customHeight="false" outlineLevel="0" collapsed="false">
      <c r="A1667" s="59" t="s">
        <v>146</v>
      </c>
      <c r="B1667" s="59" t="s">
        <v>419</v>
      </c>
      <c r="C1667" s="60" t="n">
        <v>336</v>
      </c>
      <c r="D1667" s="59" t="n">
        <f aca="false">COUNTIFS($A$2:$A$1931,A1667,$C$2:$C$1931,"&gt;"&amp;C1667)+COUNTIFS($A$2:A1667,A1667,$C$2:C1667,C1667)</f>
        <v>6</v>
      </c>
      <c r="E1667" s="59" t="str">
        <f aca="false">A1667&amp;"|"&amp;D1667</f>
        <v>COI-Sai baba colony|6</v>
      </c>
    </row>
    <row r="1668" customFormat="false" ht="15" hidden="false" customHeight="false" outlineLevel="0" collapsed="false">
      <c r="A1668" s="59" t="s">
        <v>146</v>
      </c>
      <c r="B1668" s="59" t="s">
        <v>415</v>
      </c>
      <c r="C1668" s="60" t="n">
        <v>249.17</v>
      </c>
      <c r="D1668" s="59" t="n">
        <f aca="false">COUNTIFS($A$2:$A$1931,A1668,$C$2:$C$1931,"&gt;"&amp;C1668)+COUNTIFS($A$2:A1668,A1668,$C$2:C1668,C1668)</f>
        <v>7</v>
      </c>
      <c r="E1668" s="59" t="str">
        <f aca="false">A1668&amp;"|"&amp;D1668</f>
        <v>COI-Sai baba colony|7</v>
      </c>
    </row>
    <row r="1669" customFormat="false" ht="15" hidden="false" customHeight="false" outlineLevel="0" collapsed="false">
      <c r="A1669" s="59" t="s">
        <v>146</v>
      </c>
      <c r="B1669" s="59" t="s">
        <v>420</v>
      </c>
      <c r="C1669" s="60" t="n">
        <v>144.09</v>
      </c>
      <c r="D1669" s="59" t="n">
        <f aca="false">COUNTIFS($A$2:$A$1931,A1669,$C$2:$C$1931,"&gt;"&amp;C1669)+COUNTIFS($A$2:A1669,A1669,$C$2:C1669,C1669)</f>
        <v>8</v>
      </c>
      <c r="E1669" s="59" t="str">
        <f aca="false">A1669&amp;"|"&amp;D1669</f>
        <v>COI-Sai baba colony|8</v>
      </c>
    </row>
    <row r="1670" customFormat="false" ht="15" hidden="false" customHeight="false" outlineLevel="0" collapsed="false">
      <c r="A1670" s="59" t="s">
        <v>146</v>
      </c>
      <c r="B1670" s="59" t="s">
        <v>409</v>
      </c>
      <c r="C1670" s="60" t="n">
        <v>116.99</v>
      </c>
      <c r="D1670" s="59" t="n">
        <f aca="false">COUNTIFS($A$2:$A$1931,A1670,$C$2:$C$1931,"&gt;"&amp;C1670)+COUNTIFS($A$2:A1670,A1670,$C$2:C1670,C1670)</f>
        <v>9</v>
      </c>
      <c r="E1670" s="59" t="str">
        <f aca="false">A1670&amp;"|"&amp;D1670</f>
        <v>COI-Sai baba colony|9</v>
      </c>
    </row>
    <row r="1671" customFormat="false" ht="15" hidden="false" customHeight="false" outlineLevel="0" collapsed="false">
      <c r="A1671" s="59" t="s">
        <v>291</v>
      </c>
      <c r="B1671" s="59" t="s">
        <v>412</v>
      </c>
      <c r="C1671" s="60" t="n">
        <v>4387.83</v>
      </c>
      <c r="D1671" s="59" t="n">
        <f aca="false">COUNTIFS($A$2:$A$1931,A1671,$C$2:$C$1931,"&gt;"&amp;C1671)+COUNTIFS($A$2:A1671,A1671,$C$2:C1671,C1671)</f>
        <v>1</v>
      </c>
      <c r="E1671" s="59" t="str">
        <f aca="false">A1671&amp;"|"&amp;D1671</f>
        <v>COI-Singanallur|1</v>
      </c>
    </row>
    <row r="1672" customFormat="false" ht="15" hidden="false" customHeight="false" outlineLevel="0" collapsed="false">
      <c r="A1672" s="59" t="s">
        <v>291</v>
      </c>
      <c r="B1672" s="59" t="s">
        <v>431</v>
      </c>
      <c r="C1672" s="60" t="n">
        <v>1199.5</v>
      </c>
      <c r="D1672" s="59" t="n">
        <f aca="false">COUNTIFS($A$2:$A$1931,A1672,$C$2:$C$1931,"&gt;"&amp;C1672)+COUNTIFS($A$2:A1672,A1672,$C$2:C1672,C1672)</f>
        <v>2</v>
      </c>
      <c r="E1672" s="59" t="str">
        <f aca="false">A1672&amp;"|"&amp;D1672</f>
        <v>COI-Singanallur|2</v>
      </c>
    </row>
    <row r="1673" customFormat="false" ht="15" hidden="false" customHeight="false" outlineLevel="0" collapsed="false">
      <c r="A1673" s="59" t="s">
        <v>291</v>
      </c>
      <c r="B1673" s="59" t="s">
        <v>418</v>
      </c>
      <c r="C1673" s="60" t="n">
        <v>1068.44</v>
      </c>
      <c r="D1673" s="59" t="n">
        <f aca="false">COUNTIFS($A$2:$A$1931,A1673,$C$2:$C$1931,"&gt;"&amp;C1673)+COUNTIFS($A$2:A1673,A1673,$C$2:C1673,C1673)</f>
        <v>3</v>
      </c>
      <c r="E1673" s="59" t="str">
        <f aca="false">A1673&amp;"|"&amp;D1673</f>
        <v>COI-Singanallur|3</v>
      </c>
    </row>
    <row r="1674" customFormat="false" ht="15" hidden="false" customHeight="false" outlineLevel="0" collapsed="false">
      <c r="A1674" s="59" t="s">
        <v>291</v>
      </c>
      <c r="B1674" s="59" t="s">
        <v>424</v>
      </c>
      <c r="C1674" s="60" t="n">
        <v>361.69</v>
      </c>
      <c r="D1674" s="59" t="n">
        <f aca="false">COUNTIFS($A$2:$A$1931,A1674,$C$2:$C$1931,"&gt;"&amp;C1674)+COUNTIFS($A$2:A1674,A1674,$C$2:C1674,C1674)</f>
        <v>4</v>
      </c>
      <c r="E1674" s="59" t="str">
        <f aca="false">A1674&amp;"|"&amp;D1674</f>
        <v>COI-Singanallur|4</v>
      </c>
    </row>
    <row r="1675" customFormat="false" ht="15" hidden="false" customHeight="false" outlineLevel="0" collapsed="false">
      <c r="A1675" s="59" t="s">
        <v>155</v>
      </c>
      <c r="B1675" s="59" t="s">
        <v>408</v>
      </c>
      <c r="C1675" s="60" t="n">
        <v>3262.19</v>
      </c>
      <c r="D1675" s="59" t="n">
        <f aca="false">COUNTIFS($A$2:$A$1931,A1675,$C$2:$C$1931,"&gt;"&amp;C1675)+COUNTIFS($A$2:A1675,A1675,$C$2:C1675,C1675)</f>
        <v>1</v>
      </c>
      <c r="E1675" s="59" t="str">
        <f aca="false">A1675&amp;"|"&amp;D1675</f>
        <v>COI-Sundarapuram|1</v>
      </c>
    </row>
    <row r="1676" customFormat="false" ht="15" hidden="false" customHeight="false" outlineLevel="0" collapsed="false">
      <c r="A1676" s="59" t="s">
        <v>155</v>
      </c>
      <c r="B1676" s="59" t="s">
        <v>424</v>
      </c>
      <c r="C1676" s="60" t="n">
        <v>2718.65</v>
      </c>
      <c r="D1676" s="59" t="n">
        <f aca="false">COUNTIFS($A$2:$A$1931,A1676,$C$2:$C$1931,"&gt;"&amp;C1676)+COUNTIFS($A$2:A1676,A1676,$C$2:C1676,C1676)</f>
        <v>2</v>
      </c>
      <c r="E1676" s="59" t="str">
        <f aca="false">A1676&amp;"|"&amp;D1676</f>
        <v>COI-Sundarapuram|2</v>
      </c>
    </row>
    <row r="1677" customFormat="false" ht="15" hidden="false" customHeight="false" outlineLevel="0" collapsed="false">
      <c r="A1677" s="59" t="s">
        <v>155</v>
      </c>
      <c r="B1677" s="59" t="s">
        <v>431</v>
      </c>
      <c r="C1677" s="60" t="n">
        <v>1181.61</v>
      </c>
      <c r="D1677" s="59" t="n">
        <f aca="false">COUNTIFS($A$2:$A$1931,A1677,$C$2:$C$1931,"&gt;"&amp;C1677)+COUNTIFS($A$2:A1677,A1677,$C$2:C1677,C1677)</f>
        <v>3</v>
      </c>
      <c r="E1677" s="59" t="str">
        <f aca="false">A1677&amp;"|"&amp;D1677</f>
        <v>COI-Sundarapuram|3</v>
      </c>
    </row>
    <row r="1678" customFormat="false" ht="15" hidden="false" customHeight="false" outlineLevel="0" collapsed="false">
      <c r="A1678" s="59" t="s">
        <v>155</v>
      </c>
      <c r="B1678" s="59" t="s">
        <v>409</v>
      </c>
      <c r="C1678" s="60" t="n">
        <v>720.47</v>
      </c>
      <c r="D1678" s="59" t="n">
        <f aca="false">COUNTIFS($A$2:$A$1931,A1678,$C$2:$C$1931,"&gt;"&amp;C1678)+COUNTIFS($A$2:A1678,A1678,$C$2:C1678,C1678)</f>
        <v>4</v>
      </c>
      <c r="E1678" s="59" t="str">
        <f aca="false">A1678&amp;"|"&amp;D1678</f>
        <v>COI-Sundarapuram|4</v>
      </c>
    </row>
    <row r="1679" customFormat="false" ht="15" hidden="false" customHeight="false" outlineLevel="0" collapsed="false">
      <c r="A1679" s="59" t="s">
        <v>155</v>
      </c>
      <c r="B1679" s="59" t="s">
        <v>418</v>
      </c>
      <c r="C1679" s="60" t="n">
        <v>668.97</v>
      </c>
      <c r="D1679" s="59" t="n">
        <f aca="false">COUNTIFS($A$2:$A$1931,A1679,$C$2:$C$1931,"&gt;"&amp;C1679)+COUNTIFS($A$2:A1679,A1679,$C$2:C1679,C1679)</f>
        <v>5</v>
      </c>
      <c r="E1679" s="59" t="str">
        <f aca="false">A1679&amp;"|"&amp;D1679</f>
        <v>COI-Sundarapuram|5</v>
      </c>
    </row>
    <row r="1680" customFormat="false" ht="15" hidden="false" customHeight="false" outlineLevel="0" collapsed="false">
      <c r="A1680" s="59" t="s">
        <v>155</v>
      </c>
      <c r="B1680" s="59" t="s">
        <v>426</v>
      </c>
      <c r="C1680" s="60" t="n">
        <v>302.35</v>
      </c>
      <c r="D1680" s="59" t="n">
        <f aca="false">COUNTIFS($A$2:$A$1931,A1680,$C$2:$C$1931,"&gt;"&amp;C1680)+COUNTIFS($A$2:A1680,A1680,$C$2:C1680,C1680)</f>
        <v>6</v>
      </c>
      <c r="E1680" s="59" t="str">
        <f aca="false">A1680&amp;"|"&amp;D1680</f>
        <v>COI-Sundarapuram|6</v>
      </c>
    </row>
    <row r="1681" customFormat="false" ht="15" hidden="false" customHeight="false" outlineLevel="0" collapsed="false">
      <c r="A1681" s="59" t="s">
        <v>155</v>
      </c>
      <c r="B1681" s="59" t="s">
        <v>416</v>
      </c>
      <c r="C1681" s="60" t="n">
        <v>78.07</v>
      </c>
      <c r="D1681" s="59" t="n">
        <f aca="false">COUNTIFS($A$2:$A$1931,A1681,$C$2:$C$1931,"&gt;"&amp;C1681)+COUNTIFS($A$2:A1681,A1681,$C$2:C1681,C1681)</f>
        <v>7</v>
      </c>
      <c r="E1681" s="59" t="str">
        <f aca="false">A1681&amp;"|"&amp;D1681</f>
        <v>COI-Sundarapuram|7</v>
      </c>
    </row>
    <row r="1682" customFormat="false" ht="15" hidden="false" customHeight="false" outlineLevel="0" collapsed="false">
      <c r="A1682" s="59" t="s">
        <v>155</v>
      </c>
      <c r="B1682" s="59" t="s">
        <v>432</v>
      </c>
      <c r="C1682" s="60" t="n">
        <v>47.87</v>
      </c>
      <c r="D1682" s="59" t="n">
        <f aca="false">COUNTIFS($A$2:$A$1931,A1682,$C$2:$C$1931,"&gt;"&amp;C1682)+COUNTIFS($A$2:A1682,A1682,$C$2:C1682,C1682)</f>
        <v>8</v>
      </c>
      <c r="E1682" s="59" t="str">
        <f aca="false">A1682&amp;"|"&amp;D1682</f>
        <v>COI-Sundarapuram|8</v>
      </c>
    </row>
    <row r="1683" customFormat="false" ht="15" hidden="false" customHeight="false" outlineLevel="0" collapsed="false">
      <c r="A1683" s="59" t="s">
        <v>155</v>
      </c>
      <c r="B1683" s="59" t="s">
        <v>420</v>
      </c>
      <c r="C1683" s="60" t="n">
        <v>19.5</v>
      </c>
      <c r="D1683" s="59" t="n">
        <f aca="false">COUNTIFS($A$2:$A$1931,A1683,$C$2:$C$1931,"&gt;"&amp;C1683)+COUNTIFS($A$2:A1683,A1683,$C$2:C1683,C1683)</f>
        <v>9</v>
      </c>
      <c r="E1683" s="59" t="str">
        <f aca="false">A1683&amp;"|"&amp;D1683</f>
        <v>COI-Sundarapuram|9</v>
      </c>
    </row>
    <row r="1684" customFormat="false" ht="15" hidden="false" customHeight="false" outlineLevel="0" collapsed="false">
      <c r="A1684" s="59" t="s">
        <v>155</v>
      </c>
      <c r="B1684" s="59" t="s">
        <v>410</v>
      </c>
      <c r="C1684" s="60" t="n">
        <v>12.96</v>
      </c>
      <c r="D1684" s="59" t="n">
        <f aca="false">COUNTIFS($A$2:$A$1931,A1684,$C$2:$C$1931,"&gt;"&amp;C1684)+COUNTIFS($A$2:A1684,A1684,$C$2:C1684,C1684)</f>
        <v>10</v>
      </c>
      <c r="E1684" s="59" t="str">
        <f aca="false">A1684&amp;"|"&amp;D1684</f>
        <v>COI-Sundarapuram|10</v>
      </c>
    </row>
    <row r="1685" customFormat="false" ht="15" hidden="false" customHeight="false" outlineLevel="0" collapsed="false">
      <c r="A1685" s="59" t="s">
        <v>207</v>
      </c>
      <c r="B1685" s="59" t="s">
        <v>418</v>
      </c>
      <c r="C1685" s="60" t="n">
        <v>1625.83</v>
      </c>
      <c r="D1685" s="59" t="n">
        <f aca="false">COUNTIFS($A$2:$A$1931,A1685,$C$2:$C$1931,"&gt;"&amp;C1685)+COUNTIFS($A$2:A1685,A1685,$C$2:C1685,C1685)</f>
        <v>1</v>
      </c>
      <c r="E1685" s="59" t="str">
        <f aca="false">A1685&amp;"|"&amp;D1685</f>
        <v>COI-Vadavalli 1|1</v>
      </c>
    </row>
    <row r="1686" customFormat="false" ht="15" hidden="false" customHeight="false" outlineLevel="0" collapsed="false">
      <c r="A1686" s="59" t="s">
        <v>207</v>
      </c>
      <c r="B1686" s="59" t="s">
        <v>431</v>
      </c>
      <c r="C1686" s="60" t="n">
        <v>754.28</v>
      </c>
      <c r="D1686" s="59" t="n">
        <f aca="false">COUNTIFS($A$2:$A$1931,A1686,$C$2:$C$1931,"&gt;"&amp;C1686)+COUNTIFS($A$2:A1686,A1686,$C$2:C1686,C1686)</f>
        <v>2</v>
      </c>
      <c r="E1686" s="59" t="str">
        <f aca="false">A1686&amp;"|"&amp;D1686</f>
        <v>COI-Vadavalli 1|2</v>
      </c>
    </row>
    <row r="1687" customFormat="false" ht="15" hidden="false" customHeight="false" outlineLevel="0" collapsed="false">
      <c r="A1687" s="59" t="s">
        <v>207</v>
      </c>
      <c r="B1687" s="59" t="s">
        <v>410</v>
      </c>
      <c r="C1687" s="60" t="n">
        <v>348.58</v>
      </c>
      <c r="D1687" s="59" t="n">
        <f aca="false">COUNTIFS($A$2:$A$1931,A1687,$C$2:$C$1931,"&gt;"&amp;C1687)+COUNTIFS($A$2:A1687,A1687,$C$2:C1687,C1687)</f>
        <v>3</v>
      </c>
      <c r="E1687" s="59" t="str">
        <f aca="false">A1687&amp;"|"&amp;D1687</f>
        <v>COI-Vadavalli 1|3</v>
      </c>
    </row>
    <row r="1688" customFormat="false" ht="15" hidden="false" customHeight="false" outlineLevel="0" collapsed="false">
      <c r="A1688" s="59" t="s">
        <v>207</v>
      </c>
      <c r="B1688" s="59" t="s">
        <v>413</v>
      </c>
      <c r="C1688" s="60" t="n">
        <v>11.41</v>
      </c>
      <c r="D1688" s="59" t="n">
        <f aca="false">COUNTIFS($A$2:$A$1931,A1688,$C$2:$C$1931,"&gt;"&amp;C1688)+COUNTIFS($A$2:A1688,A1688,$C$2:C1688,C1688)</f>
        <v>4</v>
      </c>
      <c r="E1688" s="59" t="str">
        <f aca="false">A1688&amp;"|"&amp;D1688</f>
        <v>COI-Vadavalli 1|4</v>
      </c>
    </row>
    <row r="1689" customFormat="false" ht="15" hidden="false" customHeight="false" outlineLevel="0" collapsed="false">
      <c r="A1689" s="59" t="s">
        <v>208</v>
      </c>
      <c r="B1689" s="59" t="s">
        <v>410</v>
      </c>
      <c r="C1689" s="60" t="n">
        <v>961.62</v>
      </c>
      <c r="D1689" s="59" t="n">
        <f aca="false">COUNTIFS($A$2:$A$1931,A1689,$C$2:$C$1931,"&gt;"&amp;C1689)+COUNTIFS($A$2:A1689,A1689,$C$2:C1689,C1689)</f>
        <v>1</v>
      </c>
      <c r="E1689" s="59" t="str">
        <f aca="false">A1689&amp;"|"&amp;D1689</f>
        <v>DEV-Jayanagara|1</v>
      </c>
    </row>
    <row r="1690" customFormat="false" ht="15" hidden="false" customHeight="false" outlineLevel="0" collapsed="false">
      <c r="A1690" s="59" t="s">
        <v>208</v>
      </c>
      <c r="B1690" s="59" t="s">
        <v>426</v>
      </c>
      <c r="C1690" s="60" t="n">
        <v>653.25</v>
      </c>
      <c r="D1690" s="59" t="n">
        <f aca="false">COUNTIFS($A$2:$A$1931,A1690,$C$2:$C$1931,"&gt;"&amp;C1690)+COUNTIFS($A$2:A1690,A1690,$C$2:C1690,C1690)</f>
        <v>2</v>
      </c>
      <c r="E1690" s="59" t="str">
        <f aca="false">A1690&amp;"|"&amp;D1690</f>
        <v>DEV-Jayanagara|2</v>
      </c>
    </row>
    <row r="1691" customFormat="false" ht="15" hidden="false" customHeight="false" outlineLevel="0" collapsed="false">
      <c r="A1691" s="59" t="s">
        <v>208</v>
      </c>
      <c r="B1691" s="59" t="s">
        <v>424</v>
      </c>
      <c r="C1691" s="60" t="n">
        <v>478.57</v>
      </c>
      <c r="D1691" s="59" t="n">
        <f aca="false">COUNTIFS($A$2:$A$1931,A1691,$C$2:$C$1931,"&gt;"&amp;C1691)+COUNTIFS($A$2:A1691,A1691,$C$2:C1691,C1691)</f>
        <v>3</v>
      </c>
      <c r="E1691" s="59" t="str">
        <f aca="false">A1691&amp;"|"&amp;D1691</f>
        <v>DEV-Jayanagara|3</v>
      </c>
    </row>
    <row r="1692" customFormat="false" ht="15" hidden="false" customHeight="false" outlineLevel="0" collapsed="false">
      <c r="A1692" s="59" t="s">
        <v>208</v>
      </c>
      <c r="B1692" s="59" t="s">
        <v>420</v>
      </c>
      <c r="C1692" s="60" t="n">
        <v>457.66</v>
      </c>
      <c r="D1692" s="59" t="n">
        <f aca="false">COUNTIFS($A$2:$A$1931,A1692,$C$2:$C$1931,"&gt;"&amp;C1692)+COUNTIFS($A$2:A1692,A1692,$C$2:C1692,C1692)</f>
        <v>4</v>
      </c>
      <c r="E1692" s="59" t="str">
        <f aca="false">A1692&amp;"|"&amp;D1692</f>
        <v>DEV-Jayanagara|4</v>
      </c>
    </row>
    <row r="1693" customFormat="false" ht="15" hidden="false" customHeight="false" outlineLevel="0" collapsed="false">
      <c r="A1693" s="59" t="s">
        <v>208</v>
      </c>
      <c r="B1693" s="59" t="s">
        <v>408</v>
      </c>
      <c r="C1693" s="60" t="n">
        <v>150.97</v>
      </c>
      <c r="D1693" s="59" t="n">
        <f aca="false">COUNTIFS($A$2:$A$1931,A1693,$C$2:$C$1931,"&gt;"&amp;C1693)+COUNTIFS($A$2:A1693,A1693,$C$2:C1693,C1693)</f>
        <v>5</v>
      </c>
      <c r="E1693" s="59" t="str">
        <f aca="false">A1693&amp;"|"&amp;D1693</f>
        <v>DEV-Jayanagara|5</v>
      </c>
    </row>
    <row r="1694" customFormat="false" ht="15" hidden="false" customHeight="false" outlineLevel="0" collapsed="false">
      <c r="A1694" s="59" t="s">
        <v>208</v>
      </c>
      <c r="B1694" s="59" t="s">
        <v>418</v>
      </c>
      <c r="C1694" s="60" t="n">
        <v>124.12</v>
      </c>
      <c r="D1694" s="59" t="n">
        <f aca="false">COUNTIFS($A$2:$A$1931,A1694,$C$2:$C$1931,"&gt;"&amp;C1694)+COUNTIFS($A$2:A1694,A1694,$C$2:C1694,C1694)</f>
        <v>6</v>
      </c>
      <c r="E1694" s="59" t="str">
        <f aca="false">A1694&amp;"|"&amp;D1694</f>
        <v>DEV-Jayanagara|6</v>
      </c>
    </row>
    <row r="1695" customFormat="false" ht="15" hidden="false" customHeight="false" outlineLevel="0" collapsed="false">
      <c r="A1695" s="59" t="s">
        <v>208</v>
      </c>
      <c r="B1695" s="59" t="s">
        <v>412</v>
      </c>
      <c r="C1695" s="60" t="n">
        <v>94.23</v>
      </c>
      <c r="D1695" s="59" t="n">
        <f aca="false">COUNTIFS($A$2:$A$1931,A1695,$C$2:$C$1931,"&gt;"&amp;C1695)+COUNTIFS($A$2:A1695,A1695,$C$2:C1695,C1695)</f>
        <v>7</v>
      </c>
      <c r="E1695" s="59" t="str">
        <f aca="false">A1695&amp;"|"&amp;D1695</f>
        <v>DEV-Jayanagara|7</v>
      </c>
    </row>
    <row r="1696" customFormat="false" ht="15" hidden="false" customHeight="false" outlineLevel="0" collapsed="false">
      <c r="A1696" s="59" t="s">
        <v>203</v>
      </c>
      <c r="B1696" s="59" t="s">
        <v>409</v>
      </c>
      <c r="C1696" s="60" t="n">
        <v>858.07</v>
      </c>
      <c r="D1696" s="59" t="n">
        <f aca="false">COUNTIFS($A$2:$A$1931,A1696,$C$2:$C$1931,"&gt;"&amp;C1696)+COUNTIFS($A$2:A1696,A1696,$C$2:C1696,C1696)</f>
        <v>1</v>
      </c>
      <c r="E1696" s="59" t="str">
        <f aca="false">A1696&amp;"|"&amp;D1696</f>
        <v>DEV-MCC|1</v>
      </c>
    </row>
    <row r="1697" customFormat="false" ht="15" hidden="false" customHeight="false" outlineLevel="0" collapsed="false">
      <c r="A1697" s="59" t="s">
        <v>203</v>
      </c>
      <c r="B1697" s="59" t="s">
        <v>413</v>
      </c>
      <c r="C1697" s="60" t="n">
        <v>765.11</v>
      </c>
      <c r="D1697" s="59" t="n">
        <f aca="false">COUNTIFS($A$2:$A$1931,A1697,$C$2:$C$1931,"&gt;"&amp;C1697)+COUNTIFS($A$2:A1697,A1697,$C$2:C1697,C1697)</f>
        <v>2</v>
      </c>
      <c r="E1697" s="59" t="str">
        <f aca="false">A1697&amp;"|"&amp;D1697</f>
        <v>DEV-MCC|2</v>
      </c>
    </row>
    <row r="1698" customFormat="false" ht="15" hidden="false" customHeight="false" outlineLevel="0" collapsed="false">
      <c r="A1698" s="59" t="s">
        <v>203</v>
      </c>
      <c r="B1698" s="59" t="s">
        <v>415</v>
      </c>
      <c r="C1698" s="60" t="n">
        <v>635.24</v>
      </c>
      <c r="D1698" s="59" t="n">
        <f aca="false">COUNTIFS($A$2:$A$1931,A1698,$C$2:$C$1931,"&gt;"&amp;C1698)+COUNTIFS($A$2:A1698,A1698,$C$2:C1698,C1698)</f>
        <v>3</v>
      </c>
      <c r="E1698" s="59" t="str">
        <f aca="false">A1698&amp;"|"&amp;D1698</f>
        <v>DEV-MCC|3</v>
      </c>
    </row>
    <row r="1699" customFormat="false" ht="15" hidden="false" customHeight="false" outlineLevel="0" collapsed="false">
      <c r="A1699" s="59" t="s">
        <v>203</v>
      </c>
      <c r="B1699" s="59" t="s">
        <v>424</v>
      </c>
      <c r="C1699" s="60" t="n">
        <v>245.69</v>
      </c>
      <c r="D1699" s="59" t="n">
        <f aca="false">COUNTIFS($A$2:$A$1931,A1699,$C$2:$C$1931,"&gt;"&amp;C1699)+COUNTIFS($A$2:A1699,A1699,$C$2:C1699,C1699)</f>
        <v>4</v>
      </c>
      <c r="E1699" s="59" t="str">
        <f aca="false">A1699&amp;"|"&amp;D1699</f>
        <v>DEV-MCC|4</v>
      </c>
    </row>
    <row r="1700" customFormat="false" ht="15" hidden="false" customHeight="false" outlineLevel="0" collapsed="false">
      <c r="A1700" s="59" t="s">
        <v>203</v>
      </c>
      <c r="B1700" s="59" t="s">
        <v>426</v>
      </c>
      <c r="C1700" s="60" t="n">
        <v>59.59</v>
      </c>
      <c r="D1700" s="59" t="n">
        <f aca="false">COUNTIFS($A$2:$A$1931,A1700,$C$2:$C$1931,"&gt;"&amp;C1700)+COUNTIFS($A$2:A1700,A1700,$C$2:C1700,C1700)</f>
        <v>5</v>
      </c>
      <c r="E1700" s="59" t="str">
        <f aca="false">A1700&amp;"|"&amp;D1700</f>
        <v>DEV-MCC|5</v>
      </c>
    </row>
    <row r="1701" customFormat="false" ht="15" hidden="false" customHeight="false" outlineLevel="0" collapsed="false">
      <c r="A1701" s="59" t="s">
        <v>203</v>
      </c>
      <c r="B1701" s="59" t="s">
        <v>419</v>
      </c>
      <c r="C1701" s="60" t="n">
        <v>29.33</v>
      </c>
      <c r="D1701" s="59" t="n">
        <f aca="false">COUNTIFS($A$2:$A$1931,A1701,$C$2:$C$1931,"&gt;"&amp;C1701)+COUNTIFS($A$2:A1701,A1701,$C$2:C1701,C1701)</f>
        <v>6</v>
      </c>
      <c r="E1701" s="59" t="str">
        <f aca="false">A1701&amp;"|"&amp;D1701</f>
        <v>DEV-MCC|6</v>
      </c>
    </row>
    <row r="1702" customFormat="false" ht="15" hidden="false" customHeight="false" outlineLevel="0" collapsed="false">
      <c r="A1702" s="59" t="s">
        <v>258</v>
      </c>
      <c r="B1702" s="59" t="s">
        <v>416</v>
      </c>
      <c r="C1702" s="60" t="n">
        <v>768.89</v>
      </c>
      <c r="D1702" s="59" t="n">
        <f aca="false">COUNTIFS($A$2:$A$1931,A1702,$C$2:$C$1931,"&gt;"&amp;C1702)+COUNTIFS($A$2:A1702,A1702,$C$2:C1702,C1702)</f>
        <v>1</v>
      </c>
      <c r="E1702" s="59" t="str">
        <f aca="false">A1702&amp;"|"&amp;D1702</f>
        <v>HBL-Gokul Road|1</v>
      </c>
    </row>
    <row r="1703" customFormat="false" ht="15" hidden="false" customHeight="false" outlineLevel="0" collapsed="false">
      <c r="A1703" s="59" t="s">
        <v>258</v>
      </c>
      <c r="B1703" s="59" t="s">
        <v>410</v>
      </c>
      <c r="C1703" s="60" t="n">
        <v>416.8</v>
      </c>
      <c r="D1703" s="59" t="n">
        <f aca="false">COUNTIFS($A$2:$A$1931,A1703,$C$2:$C$1931,"&gt;"&amp;C1703)+COUNTIFS($A$2:A1703,A1703,$C$2:C1703,C1703)</f>
        <v>2</v>
      </c>
      <c r="E1703" s="59" t="str">
        <f aca="false">A1703&amp;"|"&amp;D1703</f>
        <v>HBL-Gokul Road|2</v>
      </c>
    </row>
    <row r="1704" customFormat="false" ht="15" hidden="false" customHeight="false" outlineLevel="0" collapsed="false">
      <c r="A1704" s="59" t="s">
        <v>258</v>
      </c>
      <c r="B1704" s="59" t="s">
        <v>424</v>
      </c>
      <c r="C1704" s="60" t="n">
        <v>409.78</v>
      </c>
      <c r="D1704" s="59" t="n">
        <f aca="false">COUNTIFS($A$2:$A$1931,A1704,$C$2:$C$1931,"&gt;"&amp;C1704)+COUNTIFS($A$2:A1704,A1704,$C$2:C1704,C1704)</f>
        <v>3</v>
      </c>
      <c r="E1704" s="59" t="str">
        <f aca="false">A1704&amp;"|"&amp;D1704</f>
        <v>HBL-Gokul Road|3</v>
      </c>
    </row>
    <row r="1705" customFormat="false" ht="15" hidden="false" customHeight="false" outlineLevel="0" collapsed="false">
      <c r="A1705" s="59" t="s">
        <v>258</v>
      </c>
      <c r="B1705" s="59" t="s">
        <v>419</v>
      </c>
      <c r="C1705" s="60" t="n">
        <v>244.89</v>
      </c>
      <c r="D1705" s="59" t="n">
        <f aca="false">COUNTIFS($A$2:$A$1931,A1705,$C$2:$C$1931,"&gt;"&amp;C1705)+COUNTIFS($A$2:A1705,A1705,$C$2:C1705,C1705)</f>
        <v>4</v>
      </c>
      <c r="E1705" s="59" t="str">
        <f aca="false">A1705&amp;"|"&amp;D1705</f>
        <v>HBL-Gokul Road|4</v>
      </c>
    </row>
    <row r="1706" customFormat="false" ht="15" hidden="false" customHeight="false" outlineLevel="0" collapsed="false">
      <c r="A1706" s="59" t="s">
        <v>258</v>
      </c>
      <c r="B1706" s="59" t="s">
        <v>413</v>
      </c>
      <c r="C1706" s="60" t="n">
        <v>159.99</v>
      </c>
      <c r="D1706" s="59" t="n">
        <f aca="false">COUNTIFS($A$2:$A$1931,A1706,$C$2:$C$1931,"&gt;"&amp;C1706)+COUNTIFS($A$2:A1706,A1706,$C$2:C1706,C1706)</f>
        <v>5</v>
      </c>
      <c r="E1706" s="59" t="str">
        <f aca="false">A1706&amp;"|"&amp;D1706</f>
        <v>HBL-Gokul Road|5</v>
      </c>
    </row>
    <row r="1707" customFormat="false" ht="15" hidden="false" customHeight="false" outlineLevel="0" collapsed="false">
      <c r="A1707" s="59" t="s">
        <v>258</v>
      </c>
      <c r="B1707" s="59" t="s">
        <v>415</v>
      </c>
      <c r="C1707" s="60" t="n">
        <v>104.58</v>
      </c>
      <c r="D1707" s="59" t="n">
        <f aca="false">COUNTIFS($A$2:$A$1931,A1707,$C$2:$C$1931,"&gt;"&amp;C1707)+COUNTIFS($A$2:A1707,A1707,$C$2:C1707,C1707)</f>
        <v>6</v>
      </c>
      <c r="E1707" s="59" t="str">
        <f aca="false">A1707&amp;"|"&amp;D1707</f>
        <v>HBL-Gokul Road|6</v>
      </c>
    </row>
    <row r="1708" customFormat="false" ht="15" hidden="false" customHeight="false" outlineLevel="0" collapsed="false">
      <c r="A1708" s="59" t="s">
        <v>258</v>
      </c>
      <c r="B1708" s="59" t="s">
        <v>426</v>
      </c>
      <c r="C1708" s="60" t="n">
        <v>77</v>
      </c>
      <c r="D1708" s="59" t="n">
        <f aca="false">COUNTIFS($A$2:$A$1931,A1708,$C$2:$C$1931,"&gt;"&amp;C1708)+COUNTIFS($A$2:A1708,A1708,$C$2:C1708,C1708)</f>
        <v>7</v>
      </c>
      <c r="E1708" s="59" t="str">
        <f aca="false">A1708&amp;"|"&amp;D1708</f>
        <v>HBL-Gokul Road|7</v>
      </c>
    </row>
    <row r="1709" customFormat="false" ht="15" hidden="false" customHeight="false" outlineLevel="0" collapsed="false">
      <c r="A1709" s="59" t="s">
        <v>258</v>
      </c>
      <c r="B1709" s="59" t="s">
        <v>423</v>
      </c>
      <c r="C1709" s="60" t="n">
        <v>58.97</v>
      </c>
      <c r="D1709" s="59" t="n">
        <f aca="false">COUNTIFS($A$2:$A$1931,A1709,$C$2:$C$1931,"&gt;"&amp;C1709)+COUNTIFS($A$2:A1709,A1709,$C$2:C1709,C1709)</f>
        <v>8</v>
      </c>
      <c r="E1709" s="59" t="str">
        <f aca="false">A1709&amp;"|"&amp;D1709</f>
        <v>HBL-Gokul Road|8</v>
      </c>
    </row>
    <row r="1710" customFormat="false" ht="15" hidden="false" customHeight="false" outlineLevel="0" collapsed="false">
      <c r="A1710" s="59" t="s">
        <v>258</v>
      </c>
      <c r="B1710" s="59" t="s">
        <v>412</v>
      </c>
      <c r="C1710" s="60" t="n">
        <v>37.46</v>
      </c>
      <c r="D1710" s="59" t="n">
        <f aca="false">COUNTIFS($A$2:$A$1931,A1710,$C$2:$C$1931,"&gt;"&amp;C1710)+COUNTIFS($A$2:A1710,A1710,$C$2:C1710,C1710)</f>
        <v>9</v>
      </c>
      <c r="E1710" s="59" t="str">
        <f aca="false">A1710&amp;"|"&amp;D1710</f>
        <v>HBL-Gokul Road|9</v>
      </c>
    </row>
    <row r="1711" customFormat="false" ht="15" hidden="false" customHeight="false" outlineLevel="0" collapsed="false">
      <c r="A1711" s="59" t="s">
        <v>258</v>
      </c>
      <c r="B1711" s="59" t="s">
        <v>409</v>
      </c>
      <c r="C1711" s="60" t="n">
        <v>29.45</v>
      </c>
      <c r="D1711" s="59" t="n">
        <f aca="false">COUNTIFS($A$2:$A$1931,A1711,$C$2:$C$1931,"&gt;"&amp;C1711)+COUNTIFS($A$2:A1711,A1711,$C$2:C1711,C1711)</f>
        <v>10</v>
      </c>
      <c r="E1711" s="59" t="str">
        <f aca="false">A1711&amp;"|"&amp;D1711</f>
        <v>HBL-Gokul Road|10</v>
      </c>
    </row>
    <row r="1712" customFormat="false" ht="15" hidden="false" customHeight="false" outlineLevel="0" collapsed="false">
      <c r="A1712" s="59" t="s">
        <v>100</v>
      </c>
      <c r="B1712" s="59" t="s">
        <v>417</v>
      </c>
      <c r="C1712" s="60" t="n">
        <v>423.47</v>
      </c>
      <c r="D1712" s="59" t="n">
        <f aca="false">COUNTIFS($A$2:$A$1931,A1712,$C$2:$C$1931,"&gt;"&amp;C1712)+COUNTIFS($A$2:A1712,A1712,$C$2:C1712,C1712)</f>
        <v>1</v>
      </c>
      <c r="E1712" s="59" t="str">
        <f aca="false">A1712&amp;"|"&amp;D1712</f>
        <v>HBL-Keshwapura|1</v>
      </c>
    </row>
    <row r="1713" customFormat="false" ht="15" hidden="false" customHeight="false" outlineLevel="0" collapsed="false">
      <c r="A1713" s="59" t="s">
        <v>100</v>
      </c>
      <c r="B1713" s="59" t="s">
        <v>408</v>
      </c>
      <c r="C1713" s="60" t="n">
        <v>368.1</v>
      </c>
      <c r="D1713" s="59" t="n">
        <f aca="false">COUNTIFS($A$2:$A$1931,A1713,$C$2:$C$1931,"&gt;"&amp;C1713)+COUNTIFS($A$2:A1713,A1713,$C$2:C1713,C1713)</f>
        <v>2</v>
      </c>
      <c r="E1713" s="59" t="str">
        <f aca="false">A1713&amp;"|"&amp;D1713</f>
        <v>HBL-Keshwapura|2</v>
      </c>
    </row>
    <row r="1714" customFormat="false" ht="15" hidden="false" customHeight="false" outlineLevel="0" collapsed="false">
      <c r="A1714" s="59" t="s">
        <v>100</v>
      </c>
      <c r="B1714" s="59" t="s">
        <v>412</v>
      </c>
      <c r="C1714" s="60" t="n">
        <v>329.21</v>
      </c>
      <c r="D1714" s="59" t="n">
        <f aca="false">COUNTIFS($A$2:$A$1931,A1714,$C$2:$C$1931,"&gt;"&amp;C1714)+COUNTIFS($A$2:A1714,A1714,$C$2:C1714,C1714)</f>
        <v>3</v>
      </c>
      <c r="E1714" s="59" t="str">
        <f aca="false">A1714&amp;"|"&amp;D1714</f>
        <v>HBL-Keshwapura|3</v>
      </c>
    </row>
    <row r="1715" customFormat="false" ht="15" hidden="false" customHeight="false" outlineLevel="0" collapsed="false">
      <c r="A1715" s="59" t="s">
        <v>100</v>
      </c>
      <c r="B1715" s="59" t="s">
        <v>407</v>
      </c>
      <c r="C1715" s="60" t="n">
        <v>244.39</v>
      </c>
      <c r="D1715" s="59" t="n">
        <f aca="false">COUNTIFS($A$2:$A$1931,A1715,$C$2:$C$1931,"&gt;"&amp;C1715)+COUNTIFS($A$2:A1715,A1715,$C$2:C1715,C1715)</f>
        <v>4</v>
      </c>
      <c r="E1715" s="59" t="str">
        <f aca="false">A1715&amp;"|"&amp;D1715</f>
        <v>HBL-Keshwapura|4</v>
      </c>
    </row>
    <row r="1716" customFormat="false" ht="15" hidden="false" customHeight="false" outlineLevel="0" collapsed="false">
      <c r="A1716" s="59" t="s">
        <v>100</v>
      </c>
      <c r="B1716" s="59" t="s">
        <v>420</v>
      </c>
      <c r="C1716" s="60" t="n">
        <v>179.86</v>
      </c>
      <c r="D1716" s="59" t="n">
        <f aca="false">COUNTIFS($A$2:$A$1931,A1716,$C$2:$C$1931,"&gt;"&amp;C1716)+COUNTIFS($A$2:A1716,A1716,$C$2:C1716,C1716)</f>
        <v>5</v>
      </c>
      <c r="E1716" s="59" t="str">
        <f aca="false">A1716&amp;"|"&amp;D1716</f>
        <v>HBL-Keshwapura|5</v>
      </c>
    </row>
    <row r="1717" customFormat="false" ht="15" hidden="false" customHeight="false" outlineLevel="0" collapsed="false">
      <c r="A1717" s="59" t="s">
        <v>100</v>
      </c>
      <c r="B1717" s="59" t="s">
        <v>411</v>
      </c>
      <c r="C1717" s="60" t="n">
        <v>55.08</v>
      </c>
      <c r="D1717" s="59" t="n">
        <f aca="false">COUNTIFS($A$2:$A$1931,A1717,$C$2:$C$1931,"&gt;"&amp;C1717)+COUNTIFS($A$2:A1717,A1717,$C$2:C1717,C1717)</f>
        <v>6</v>
      </c>
      <c r="E1717" s="59" t="str">
        <f aca="false">A1717&amp;"|"&amp;D1717</f>
        <v>HBL-Keshwapura|6</v>
      </c>
    </row>
    <row r="1718" customFormat="false" ht="15" hidden="false" customHeight="false" outlineLevel="0" collapsed="false">
      <c r="A1718" s="59" t="s">
        <v>237</v>
      </c>
      <c r="B1718" s="59" t="s">
        <v>410</v>
      </c>
      <c r="C1718" s="60" t="n">
        <v>2248.27</v>
      </c>
      <c r="D1718" s="59" t="n">
        <f aca="false">COUNTIFS($A$2:$A$1931,A1718,$C$2:$C$1931,"&gt;"&amp;C1718)+COUNTIFS($A$2:A1718,A1718,$C$2:C1718,C1718)</f>
        <v>1</v>
      </c>
      <c r="E1718" s="59" t="str">
        <f aca="false">A1718&amp;"|"&amp;D1718</f>
        <v>HBL-Saptapur|1</v>
      </c>
    </row>
    <row r="1719" customFormat="false" ht="15" hidden="false" customHeight="false" outlineLevel="0" collapsed="false">
      <c r="A1719" s="59" t="s">
        <v>237</v>
      </c>
      <c r="B1719" s="59" t="s">
        <v>415</v>
      </c>
      <c r="C1719" s="60" t="n">
        <v>1037.27</v>
      </c>
      <c r="D1719" s="59" t="n">
        <f aca="false">COUNTIFS($A$2:$A$1931,A1719,$C$2:$C$1931,"&gt;"&amp;C1719)+COUNTIFS($A$2:A1719,A1719,$C$2:C1719,C1719)</f>
        <v>2</v>
      </c>
      <c r="E1719" s="59" t="str">
        <f aca="false">A1719&amp;"|"&amp;D1719</f>
        <v>HBL-Saptapur|2</v>
      </c>
    </row>
    <row r="1720" customFormat="false" ht="15" hidden="false" customHeight="false" outlineLevel="0" collapsed="false">
      <c r="A1720" s="59" t="s">
        <v>237</v>
      </c>
      <c r="B1720" s="59" t="s">
        <v>412</v>
      </c>
      <c r="C1720" s="60" t="n">
        <v>916.87</v>
      </c>
      <c r="D1720" s="59" t="n">
        <f aca="false">COUNTIFS($A$2:$A$1931,A1720,$C$2:$C$1931,"&gt;"&amp;C1720)+COUNTIFS($A$2:A1720,A1720,$C$2:C1720,C1720)</f>
        <v>3</v>
      </c>
      <c r="E1720" s="59" t="str">
        <f aca="false">A1720&amp;"|"&amp;D1720</f>
        <v>HBL-Saptapur|3</v>
      </c>
    </row>
    <row r="1721" customFormat="false" ht="15" hidden="false" customHeight="false" outlineLevel="0" collapsed="false">
      <c r="A1721" s="59" t="s">
        <v>237</v>
      </c>
      <c r="B1721" s="59" t="s">
        <v>413</v>
      </c>
      <c r="C1721" s="60" t="n">
        <v>77.88</v>
      </c>
      <c r="D1721" s="59" t="n">
        <f aca="false">COUNTIFS($A$2:$A$1931,A1721,$C$2:$C$1931,"&gt;"&amp;C1721)+COUNTIFS($A$2:A1721,A1721,$C$2:C1721,C1721)</f>
        <v>4</v>
      </c>
      <c r="E1721" s="59" t="str">
        <f aca="false">A1721&amp;"|"&amp;D1721</f>
        <v>HBL-Saptapur|4</v>
      </c>
    </row>
    <row r="1722" customFormat="false" ht="15" hidden="false" customHeight="false" outlineLevel="0" collapsed="false">
      <c r="A1722" s="59" t="s">
        <v>237</v>
      </c>
      <c r="B1722" s="59" t="s">
        <v>419</v>
      </c>
      <c r="C1722" s="60" t="n">
        <v>24.57</v>
      </c>
      <c r="D1722" s="59" t="n">
        <f aca="false">COUNTIFS($A$2:$A$1931,A1722,$C$2:$C$1931,"&gt;"&amp;C1722)+COUNTIFS($A$2:A1722,A1722,$C$2:C1722,C1722)</f>
        <v>5</v>
      </c>
      <c r="E1722" s="59" t="str">
        <f aca="false">A1722&amp;"|"&amp;D1722</f>
        <v>HBL-Saptapur|5</v>
      </c>
    </row>
    <row r="1723" customFormat="false" ht="15" hidden="false" customHeight="false" outlineLevel="0" collapsed="false">
      <c r="A1723" s="59" t="s">
        <v>144</v>
      </c>
      <c r="B1723" s="59" t="s">
        <v>426</v>
      </c>
      <c r="C1723" s="60" t="n">
        <v>1769.98</v>
      </c>
      <c r="D1723" s="59" t="n">
        <f aca="false">COUNTIFS($A$2:$A$1931,A1723,$C$2:$C$1931,"&gt;"&amp;C1723)+COUNTIFS($A$2:A1723,A1723,$C$2:C1723,C1723)</f>
        <v>1</v>
      </c>
      <c r="E1723" s="59" t="str">
        <f aca="false">A1723&amp;"|"&amp;D1723</f>
        <v>HBL-Vidhya Nagar|1</v>
      </c>
    </row>
    <row r="1724" customFormat="false" ht="15" hidden="false" customHeight="false" outlineLevel="0" collapsed="false">
      <c r="A1724" s="59" t="s">
        <v>144</v>
      </c>
      <c r="B1724" s="59" t="s">
        <v>413</v>
      </c>
      <c r="C1724" s="60" t="n">
        <v>1133.91</v>
      </c>
      <c r="D1724" s="59" t="n">
        <f aca="false">COUNTIFS($A$2:$A$1931,A1724,$C$2:$C$1931,"&gt;"&amp;C1724)+COUNTIFS($A$2:A1724,A1724,$C$2:C1724,C1724)</f>
        <v>2</v>
      </c>
      <c r="E1724" s="59" t="str">
        <f aca="false">A1724&amp;"|"&amp;D1724</f>
        <v>HBL-Vidhya Nagar|2</v>
      </c>
    </row>
    <row r="1725" customFormat="false" ht="15" hidden="false" customHeight="false" outlineLevel="0" collapsed="false">
      <c r="A1725" s="59" t="s">
        <v>144</v>
      </c>
      <c r="B1725" s="59" t="s">
        <v>418</v>
      </c>
      <c r="C1725" s="60" t="n">
        <v>1015.47</v>
      </c>
      <c r="D1725" s="59" t="n">
        <f aca="false">COUNTIFS($A$2:$A$1931,A1725,$C$2:$C$1931,"&gt;"&amp;C1725)+COUNTIFS($A$2:A1725,A1725,$C$2:C1725,C1725)</f>
        <v>3</v>
      </c>
      <c r="E1725" s="59" t="str">
        <f aca="false">A1725&amp;"|"&amp;D1725</f>
        <v>HBL-Vidhya Nagar|3</v>
      </c>
    </row>
    <row r="1726" customFormat="false" ht="15" hidden="false" customHeight="false" outlineLevel="0" collapsed="false">
      <c r="A1726" s="59" t="s">
        <v>144</v>
      </c>
      <c r="B1726" s="59" t="s">
        <v>420</v>
      </c>
      <c r="C1726" s="60" t="n">
        <v>811.48</v>
      </c>
      <c r="D1726" s="59" t="n">
        <f aca="false">COUNTIFS($A$2:$A$1931,A1726,$C$2:$C$1931,"&gt;"&amp;C1726)+COUNTIFS($A$2:A1726,A1726,$C$2:C1726,C1726)</f>
        <v>4</v>
      </c>
      <c r="E1726" s="59" t="str">
        <f aca="false">A1726&amp;"|"&amp;D1726</f>
        <v>HBL-Vidhya Nagar|4</v>
      </c>
    </row>
    <row r="1727" customFormat="false" ht="15" hidden="false" customHeight="false" outlineLevel="0" collapsed="false">
      <c r="A1727" s="59" t="s">
        <v>144</v>
      </c>
      <c r="B1727" s="59" t="s">
        <v>408</v>
      </c>
      <c r="C1727" s="60" t="n">
        <v>741.9</v>
      </c>
      <c r="D1727" s="59" t="n">
        <f aca="false">COUNTIFS($A$2:$A$1931,A1727,$C$2:$C$1931,"&gt;"&amp;C1727)+COUNTIFS($A$2:A1727,A1727,$C$2:C1727,C1727)</f>
        <v>5</v>
      </c>
      <c r="E1727" s="59" t="str">
        <f aca="false">A1727&amp;"|"&amp;D1727</f>
        <v>HBL-Vidhya Nagar|5</v>
      </c>
    </row>
    <row r="1728" customFormat="false" ht="15" hidden="false" customHeight="false" outlineLevel="0" collapsed="false">
      <c r="A1728" s="59" t="s">
        <v>144</v>
      </c>
      <c r="B1728" s="59" t="s">
        <v>417</v>
      </c>
      <c r="C1728" s="60" t="n">
        <v>615.12</v>
      </c>
      <c r="D1728" s="59" t="n">
        <f aca="false">COUNTIFS($A$2:$A$1931,A1728,$C$2:$C$1931,"&gt;"&amp;C1728)+COUNTIFS($A$2:A1728,A1728,$C$2:C1728,C1728)</f>
        <v>6</v>
      </c>
      <c r="E1728" s="59" t="str">
        <f aca="false">A1728&amp;"|"&amp;D1728</f>
        <v>HBL-Vidhya Nagar|6</v>
      </c>
    </row>
    <row r="1729" customFormat="false" ht="15" hidden="false" customHeight="false" outlineLevel="0" collapsed="false">
      <c r="A1729" s="59" t="s">
        <v>144</v>
      </c>
      <c r="B1729" s="59" t="s">
        <v>415</v>
      </c>
      <c r="C1729" s="60" t="n">
        <v>441.48</v>
      </c>
      <c r="D1729" s="59" t="n">
        <f aca="false">COUNTIFS($A$2:$A$1931,A1729,$C$2:$C$1931,"&gt;"&amp;C1729)+COUNTIFS($A$2:A1729,A1729,$C$2:C1729,C1729)</f>
        <v>7</v>
      </c>
      <c r="E1729" s="59" t="str">
        <f aca="false">A1729&amp;"|"&amp;D1729</f>
        <v>HBL-Vidhya Nagar|7</v>
      </c>
    </row>
    <row r="1730" customFormat="false" ht="15" hidden="false" customHeight="false" outlineLevel="0" collapsed="false">
      <c r="A1730" s="59" t="s">
        <v>144</v>
      </c>
      <c r="B1730" s="59" t="s">
        <v>409</v>
      </c>
      <c r="C1730" s="60" t="n">
        <v>302.42</v>
      </c>
      <c r="D1730" s="59" t="n">
        <f aca="false">COUNTIFS($A$2:$A$1931,A1730,$C$2:$C$1931,"&gt;"&amp;C1730)+COUNTIFS($A$2:A1730,A1730,$C$2:C1730,C1730)</f>
        <v>8</v>
      </c>
      <c r="E1730" s="59" t="str">
        <f aca="false">A1730&amp;"|"&amp;D1730</f>
        <v>HBL-Vidhya Nagar|8</v>
      </c>
    </row>
    <row r="1731" customFormat="false" ht="15" hidden="false" customHeight="false" outlineLevel="0" collapsed="false">
      <c r="A1731" s="59" t="s">
        <v>144</v>
      </c>
      <c r="B1731" s="59" t="s">
        <v>419</v>
      </c>
      <c r="C1731" s="60" t="n">
        <v>246.95</v>
      </c>
      <c r="D1731" s="59" t="n">
        <f aca="false">COUNTIFS($A$2:$A$1931,A1731,$C$2:$C$1931,"&gt;"&amp;C1731)+COUNTIFS($A$2:A1731,A1731,$C$2:C1731,C1731)</f>
        <v>9</v>
      </c>
      <c r="E1731" s="59" t="str">
        <f aca="false">A1731&amp;"|"&amp;D1731</f>
        <v>HBL-Vidhya Nagar|9</v>
      </c>
    </row>
    <row r="1732" customFormat="false" ht="15" hidden="false" customHeight="false" outlineLevel="0" collapsed="false">
      <c r="A1732" s="59" t="s">
        <v>144</v>
      </c>
      <c r="B1732" s="59" t="s">
        <v>424</v>
      </c>
      <c r="C1732" s="60" t="n">
        <v>164.94</v>
      </c>
      <c r="D1732" s="59" t="n">
        <f aca="false">COUNTIFS($A$2:$A$1931,A1732,$C$2:$C$1931,"&gt;"&amp;C1732)+COUNTIFS($A$2:A1732,A1732,$C$2:C1732,C1732)</f>
        <v>10</v>
      </c>
      <c r="E1732" s="59" t="str">
        <f aca="false">A1732&amp;"|"&amp;D1732</f>
        <v>HBL-Vidhya Nagar|10</v>
      </c>
    </row>
    <row r="1733" customFormat="false" ht="15" hidden="false" customHeight="false" outlineLevel="0" collapsed="false">
      <c r="A1733" s="59" t="s">
        <v>83</v>
      </c>
      <c r="B1733" s="59" t="s">
        <v>417</v>
      </c>
      <c r="C1733" s="60" t="n">
        <v>8636.28</v>
      </c>
      <c r="D1733" s="59" t="n">
        <f aca="false">COUNTIFS($A$2:$A$1931,A1733,$C$2:$C$1931,"&gt;"&amp;C1733)+COUNTIFS($A$2:A1733,A1733,$C$2:C1733,C1733)</f>
        <v>1</v>
      </c>
      <c r="E1733" s="59" t="str">
        <f aca="false">A1733&amp;"|"&amp;D1733</f>
        <v>HOS-Hosur|1</v>
      </c>
    </row>
    <row r="1734" customFormat="false" ht="15" hidden="false" customHeight="false" outlineLevel="0" collapsed="false">
      <c r="A1734" s="59" t="s">
        <v>83</v>
      </c>
      <c r="B1734" s="59" t="s">
        <v>426</v>
      </c>
      <c r="C1734" s="60" t="n">
        <v>7112.23</v>
      </c>
      <c r="D1734" s="59" t="n">
        <f aca="false">COUNTIFS($A$2:$A$1931,A1734,$C$2:$C$1931,"&gt;"&amp;C1734)+COUNTIFS($A$2:A1734,A1734,$C$2:C1734,C1734)</f>
        <v>2</v>
      </c>
      <c r="E1734" s="59" t="str">
        <f aca="false">A1734&amp;"|"&amp;D1734</f>
        <v>HOS-Hosur|2</v>
      </c>
    </row>
    <row r="1735" customFormat="false" ht="15" hidden="false" customHeight="false" outlineLevel="0" collapsed="false">
      <c r="A1735" s="59" t="s">
        <v>83</v>
      </c>
      <c r="B1735" s="59" t="s">
        <v>415</v>
      </c>
      <c r="C1735" s="60" t="n">
        <v>3759.54</v>
      </c>
      <c r="D1735" s="59" t="n">
        <f aca="false">COUNTIFS($A$2:$A$1931,A1735,$C$2:$C$1931,"&gt;"&amp;C1735)+COUNTIFS($A$2:A1735,A1735,$C$2:C1735,C1735)</f>
        <v>3</v>
      </c>
      <c r="E1735" s="59" t="str">
        <f aca="false">A1735&amp;"|"&amp;D1735</f>
        <v>HOS-Hosur|3</v>
      </c>
    </row>
    <row r="1736" customFormat="false" ht="15" hidden="false" customHeight="false" outlineLevel="0" collapsed="false">
      <c r="A1736" s="59" t="s">
        <v>83</v>
      </c>
      <c r="B1736" s="59" t="s">
        <v>420</v>
      </c>
      <c r="C1736" s="60" t="n">
        <v>2447.9</v>
      </c>
      <c r="D1736" s="59" t="n">
        <f aca="false">COUNTIFS($A$2:$A$1931,A1736,$C$2:$C$1931,"&gt;"&amp;C1736)+COUNTIFS($A$2:A1736,A1736,$C$2:C1736,C1736)</f>
        <v>4</v>
      </c>
      <c r="E1736" s="59" t="str">
        <f aca="false">A1736&amp;"|"&amp;D1736</f>
        <v>HOS-Hosur|4</v>
      </c>
    </row>
    <row r="1737" customFormat="false" ht="15" hidden="false" customHeight="false" outlineLevel="0" collapsed="false">
      <c r="A1737" s="59" t="s">
        <v>83</v>
      </c>
      <c r="B1737" s="59" t="s">
        <v>410</v>
      </c>
      <c r="C1737" s="60" t="n">
        <v>2313.73</v>
      </c>
      <c r="D1737" s="59" t="n">
        <f aca="false">COUNTIFS($A$2:$A$1931,A1737,$C$2:$C$1931,"&gt;"&amp;C1737)+COUNTIFS($A$2:A1737,A1737,$C$2:C1737,C1737)</f>
        <v>5</v>
      </c>
      <c r="E1737" s="59" t="str">
        <f aca="false">A1737&amp;"|"&amp;D1737</f>
        <v>HOS-Hosur|5</v>
      </c>
    </row>
    <row r="1738" customFormat="false" ht="15" hidden="false" customHeight="false" outlineLevel="0" collapsed="false">
      <c r="A1738" s="59" t="s">
        <v>83</v>
      </c>
      <c r="B1738" s="59" t="s">
        <v>424</v>
      </c>
      <c r="C1738" s="60" t="n">
        <v>981.4</v>
      </c>
      <c r="D1738" s="59" t="n">
        <f aca="false">COUNTIFS($A$2:$A$1931,A1738,$C$2:$C$1931,"&gt;"&amp;C1738)+COUNTIFS($A$2:A1738,A1738,$C$2:C1738,C1738)</f>
        <v>6</v>
      </c>
      <c r="E1738" s="59" t="str">
        <f aca="false">A1738&amp;"|"&amp;D1738</f>
        <v>HOS-Hosur|6</v>
      </c>
    </row>
    <row r="1739" customFormat="false" ht="15" hidden="false" customHeight="false" outlineLevel="0" collapsed="false">
      <c r="A1739" s="59" t="s">
        <v>83</v>
      </c>
      <c r="B1739" s="59" t="s">
        <v>436</v>
      </c>
      <c r="C1739" s="60" t="n">
        <v>124.03</v>
      </c>
      <c r="D1739" s="59" t="n">
        <f aca="false">COUNTIFS($A$2:$A$1931,A1739,$C$2:$C$1931,"&gt;"&amp;C1739)+COUNTIFS($A$2:A1739,A1739,$C$2:C1739,C1739)</f>
        <v>7</v>
      </c>
      <c r="E1739" s="59" t="str">
        <f aca="false">A1739&amp;"|"&amp;D1739</f>
        <v>HOS-Hosur|7</v>
      </c>
    </row>
    <row r="1740" customFormat="false" ht="15" hidden="false" customHeight="false" outlineLevel="0" collapsed="false">
      <c r="A1740" s="59" t="s">
        <v>83</v>
      </c>
      <c r="B1740" s="59" t="s">
        <v>413</v>
      </c>
      <c r="C1740" s="60" t="n">
        <v>57.38</v>
      </c>
      <c r="D1740" s="59" t="n">
        <f aca="false">COUNTIFS($A$2:$A$1931,A1740,$C$2:$C$1931,"&gt;"&amp;C1740)+COUNTIFS($A$2:A1740,A1740,$C$2:C1740,C1740)</f>
        <v>8</v>
      </c>
      <c r="E1740" s="59" t="str">
        <f aca="false">A1740&amp;"|"&amp;D1740</f>
        <v>HOS-Hosur|8</v>
      </c>
    </row>
    <row r="1741" customFormat="false" ht="15" hidden="false" customHeight="false" outlineLevel="0" collapsed="false">
      <c r="A1741" s="59" t="s">
        <v>257</v>
      </c>
      <c r="B1741" s="59" t="s">
        <v>424</v>
      </c>
      <c r="C1741" s="60" t="n">
        <v>2128.2</v>
      </c>
      <c r="D1741" s="59" t="n">
        <f aca="false">COUNTIFS($A$2:$A$1931,A1741,$C$2:$C$1931,"&gt;"&amp;C1741)+COUNTIFS($A$2:A1741,A1741,$C$2:C1741,C1741)</f>
        <v>1</v>
      </c>
      <c r="E1741" s="59" t="str">
        <f aca="false">A1741&amp;"|"&amp;D1741</f>
        <v>KOC-Aluva|1</v>
      </c>
    </row>
    <row r="1742" customFormat="false" ht="15" hidden="false" customHeight="false" outlineLevel="0" collapsed="false">
      <c r="A1742" s="59" t="s">
        <v>257</v>
      </c>
      <c r="B1742" s="59" t="s">
        <v>407</v>
      </c>
      <c r="C1742" s="60" t="n">
        <v>295.38</v>
      </c>
      <c r="D1742" s="59" t="n">
        <f aca="false">COUNTIFS($A$2:$A$1931,A1742,$C$2:$C$1931,"&gt;"&amp;C1742)+COUNTIFS($A$2:A1742,A1742,$C$2:C1742,C1742)</f>
        <v>2</v>
      </c>
      <c r="E1742" s="59" t="str">
        <f aca="false">A1742&amp;"|"&amp;D1742</f>
        <v>KOC-Aluva|2</v>
      </c>
    </row>
    <row r="1743" customFormat="false" ht="15" hidden="false" customHeight="false" outlineLevel="0" collapsed="false">
      <c r="A1743" s="59" t="s">
        <v>257</v>
      </c>
      <c r="B1743" s="59" t="s">
        <v>426</v>
      </c>
      <c r="C1743" s="60" t="n">
        <v>275.11</v>
      </c>
      <c r="D1743" s="59" t="n">
        <f aca="false">COUNTIFS($A$2:$A$1931,A1743,$C$2:$C$1931,"&gt;"&amp;C1743)+COUNTIFS($A$2:A1743,A1743,$C$2:C1743,C1743)</f>
        <v>3</v>
      </c>
      <c r="E1743" s="59" t="str">
        <f aca="false">A1743&amp;"|"&amp;D1743</f>
        <v>KOC-Aluva|3</v>
      </c>
    </row>
    <row r="1744" customFormat="false" ht="15" hidden="false" customHeight="false" outlineLevel="0" collapsed="false">
      <c r="A1744" s="59" t="s">
        <v>257</v>
      </c>
      <c r="B1744" s="59" t="s">
        <v>420</v>
      </c>
      <c r="C1744" s="60" t="n">
        <v>261.82</v>
      </c>
      <c r="D1744" s="59" t="n">
        <f aca="false">COUNTIFS($A$2:$A$1931,A1744,$C$2:$C$1931,"&gt;"&amp;C1744)+COUNTIFS($A$2:A1744,A1744,$C$2:C1744,C1744)</f>
        <v>4</v>
      </c>
      <c r="E1744" s="59" t="str">
        <f aca="false">A1744&amp;"|"&amp;D1744</f>
        <v>KOC-Aluva|4</v>
      </c>
    </row>
    <row r="1745" customFormat="false" ht="15" hidden="false" customHeight="false" outlineLevel="0" collapsed="false">
      <c r="A1745" s="59" t="s">
        <v>257</v>
      </c>
      <c r="B1745" s="59" t="s">
        <v>414</v>
      </c>
      <c r="C1745" s="60" t="n">
        <v>99.07</v>
      </c>
      <c r="D1745" s="59" t="n">
        <f aca="false">COUNTIFS($A$2:$A$1931,A1745,$C$2:$C$1931,"&gt;"&amp;C1745)+COUNTIFS($A$2:A1745,A1745,$C$2:C1745,C1745)</f>
        <v>5</v>
      </c>
      <c r="E1745" s="59" t="str">
        <f aca="false">A1745&amp;"|"&amp;D1745</f>
        <v>KOC-Aluva|5</v>
      </c>
    </row>
    <row r="1746" customFormat="false" ht="15" hidden="false" customHeight="false" outlineLevel="0" collapsed="false">
      <c r="A1746" s="59" t="s">
        <v>257</v>
      </c>
      <c r="B1746" s="59" t="s">
        <v>437</v>
      </c>
      <c r="C1746" s="60" t="n">
        <v>96.58</v>
      </c>
      <c r="D1746" s="59" t="n">
        <f aca="false">COUNTIFS($A$2:$A$1931,A1746,$C$2:$C$1931,"&gt;"&amp;C1746)+COUNTIFS($A$2:A1746,A1746,$C$2:C1746,C1746)</f>
        <v>6</v>
      </c>
      <c r="E1746" s="59" t="str">
        <f aca="false">A1746&amp;"|"&amp;D1746</f>
        <v>KOC-Aluva|6</v>
      </c>
    </row>
    <row r="1747" customFormat="false" ht="15" hidden="false" customHeight="false" outlineLevel="0" collapsed="false">
      <c r="A1747" s="59" t="s">
        <v>257</v>
      </c>
      <c r="B1747" s="59" t="s">
        <v>421</v>
      </c>
      <c r="C1747" s="60" t="n">
        <v>54.6</v>
      </c>
      <c r="D1747" s="59" t="n">
        <f aca="false">COUNTIFS($A$2:$A$1931,A1747,$C$2:$C$1931,"&gt;"&amp;C1747)+COUNTIFS($A$2:A1747,A1747,$C$2:C1747,C1747)</f>
        <v>7</v>
      </c>
      <c r="E1747" s="59" t="str">
        <f aca="false">A1747&amp;"|"&amp;D1747</f>
        <v>KOC-Aluva|7</v>
      </c>
    </row>
    <row r="1748" customFormat="false" ht="15" hidden="false" customHeight="false" outlineLevel="0" collapsed="false">
      <c r="A1748" s="59" t="s">
        <v>119</v>
      </c>
      <c r="B1748" s="59" t="s">
        <v>408</v>
      </c>
      <c r="C1748" s="60" t="n">
        <v>2918.43</v>
      </c>
      <c r="D1748" s="59" t="n">
        <f aca="false">COUNTIFS($A$2:$A$1931,A1748,$C$2:$C$1931,"&gt;"&amp;C1748)+COUNTIFS($A$2:A1748,A1748,$C$2:C1748,C1748)</f>
        <v>1</v>
      </c>
      <c r="E1748" s="59" t="str">
        <f aca="false">A1748&amp;"|"&amp;D1748</f>
        <v>KOC-Edappally|1</v>
      </c>
    </row>
    <row r="1749" customFormat="false" ht="15" hidden="false" customHeight="false" outlineLevel="0" collapsed="false">
      <c r="A1749" s="59" t="s">
        <v>119</v>
      </c>
      <c r="B1749" s="59" t="s">
        <v>424</v>
      </c>
      <c r="C1749" s="60" t="n">
        <v>2474.67</v>
      </c>
      <c r="D1749" s="59" t="n">
        <f aca="false">COUNTIFS($A$2:$A$1931,A1749,$C$2:$C$1931,"&gt;"&amp;C1749)+COUNTIFS($A$2:A1749,A1749,$C$2:C1749,C1749)</f>
        <v>2</v>
      </c>
      <c r="E1749" s="59" t="str">
        <f aca="false">A1749&amp;"|"&amp;D1749</f>
        <v>KOC-Edappally|2</v>
      </c>
    </row>
    <row r="1750" customFormat="false" ht="15" hidden="false" customHeight="false" outlineLevel="0" collapsed="false">
      <c r="A1750" s="59" t="s">
        <v>119</v>
      </c>
      <c r="B1750" s="59" t="s">
        <v>415</v>
      </c>
      <c r="C1750" s="60" t="n">
        <v>1765.49</v>
      </c>
      <c r="D1750" s="59" t="n">
        <f aca="false">COUNTIFS($A$2:$A$1931,A1750,$C$2:$C$1931,"&gt;"&amp;C1750)+COUNTIFS($A$2:A1750,A1750,$C$2:C1750,C1750)</f>
        <v>3</v>
      </c>
      <c r="E1750" s="59" t="str">
        <f aca="false">A1750&amp;"|"&amp;D1750</f>
        <v>KOC-Edappally|3</v>
      </c>
    </row>
    <row r="1751" customFormat="false" ht="15" hidden="false" customHeight="false" outlineLevel="0" collapsed="false">
      <c r="A1751" s="59" t="s">
        <v>119</v>
      </c>
      <c r="B1751" s="59" t="s">
        <v>417</v>
      </c>
      <c r="C1751" s="60" t="n">
        <v>1593.83</v>
      </c>
      <c r="D1751" s="59" t="n">
        <f aca="false">COUNTIFS($A$2:$A$1931,A1751,$C$2:$C$1931,"&gt;"&amp;C1751)+COUNTIFS($A$2:A1751,A1751,$C$2:C1751,C1751)</f>
        <v>4</v>
      </c>
      <c r="E1751" s="59" t="str">
        <f aca="false">A1751&amp;"|"&amp;D1751</f>
        <v>KOC-Edappally|4</v>
      </c>
    </row>
    <row r="1752" customFormat="false" ht="15" hidden="false" customHeight="false" outlineLevel="0" collapsed="false">
      <c r="A1752" s="59" t="s">
        <v>119</v>
      </c>
      <c r="B1752" s="59" t="s">
        <v>410</v>
      </c>
      <c r="C1752" s="60" t="n">
        <v>963.44</v>
      </c>
      <c r="D1752" s="59" t="n">
        <f aca="false">COUNTIFS($A$2:$A$1931,A1752,$C$2:$C$1931,"&gt;"&amp;C1752)+COUNTIFS($A$2:A1752,A1752,$C$2:C1752,C1752)</f>
        <v>5</v>
      </c>
      <c r="E1752" s="59" t="str">
        <f aca="false">A1752&amp;"|"&amp;D1752</f>
        <v>KOC-Edappally|5</v>
      </c>
    </row>
    <row r="1753" customFormat="false" ht="15" hidden="false" customHeight="false" outlineLevel="0" collapsed="false">
      <c r="A1753" s="59" t="s">
        <v>119</v>
      </c>
      <c r="B1753" s="59" t="s">
        <v>431</v>
      </c>
      <c r="C1753" s="60" t="n">
        <v>819.57</v>
      </c>
      <c r="D1753" s="59" t="n">
        <f aca="false">COUNTIFS($A$2:$A$1931,A1753,$C$2:$C$1931,"&gt;"&amp;C1753)+COUNTIFS($A$2:A1753,A1753,$C$2:C1753,C1753)</f>
        <v>6</v>
      </c>
      <c r="E1753" s="59" t="str">
        <f aca="false">A1753&amp;"|"&amp;D1753</f>
        <v>KOC-Edappally|6</v>
      </c>
    </row>
    <row r="1754" customFormat="false" ht="15" hidden="false" customHeight="false" outlineLevel="0" collapsed="false">
      <c r="A1754" s="59" t="s">
        <v>119</v>
      </c>
      <c r="B1754" s="59" t="s">
        <v>412</v>
      </c>
      <c r="C1754" s="60" t="n">
        <v>282.94</v>
      </c>
      <c r="D1754" s="59" t="n">
        <f aca="false">COUNTIFS($A$2:$A$1931,A1754,$C$2:$C$1931,"&gt;"&amp;C1754)+COUNTIFS($A$2:A1754,A1754,$C$2:C1754,C1754)</f>
        <v>7</v>
      </c>
      <c r="E1754" s="59" t="str">
        <f aca="false">A1754&amp;"|"&amp;D1754</f>
        <v>KOC-Edappally|7</v>
      </c>
    </row>
    <row r="1755" customFormat="false" ht="15" hidden="false" customHeight="false" outlineLevel="0" collapsed="false">
      <c r="A1755" s="59" t="s">
        <v>119</v>
      </c>
      <c r="B1755" s="59" t="s">
        <v>418</v>
      </c>
      <c r="C1755" s="60" t="n">
        <v>36.19</v>
      </c>
      <c r="D1755" s="59" t="n">
        <f aca="false">COUNTIFS($A$2:$A$1931,A1755,$C$2:$C$1931,"&gt;"&amp;C1755)+COUNTIFS($A$2:A1755,A1755,$C$2:C1755,C1755)</f>
        <v>8</v>
      </c>
      <c r="E1755" s="59" t="str">
        <f aca="false">A1755&amp;"|"&amp;D1755</f>
        <v>KOC-Edappally|8</v>
      </c>
    </row>
    <row r="1756" customFormat="false" ht="15" hidden="false" customHeight="false" outlineLevel="0" collapsed="false">
      <c r="A1756" s="59" t="s">
        <v>119</v>
      </c>
      <c r="B1756" s="59" t="s">
        <v>423</v>
      </c>
      <c r="C1756" s="60" t="n">
        <v>1.2</v>
      </c>
      <c r="D1756" s="59" t="n">
        <f aca="false">COUNTIFS($A$2:$A$1931,A1756,$C$2:$C$1931,"&gt;"&amp;C1756)+COUNTIFS($A$2:A1756,A1756,$C$2:C1756,C1756)</f>
        <v>9</v>
      </c>
      <c r="E1756" s="59" t="str">
        <f aca="false">A1756&amp;"|"&amp;D1756</f>
        <v>KOC-Edappally|9</v>
      </c>
    </row>
    <row r="1757" customFormat="false" ht="15" hidden="false" customHeight="false" outlineLevel="0" collapsed="false">
      <c r="A1757" s="59" t="s">
        <v>173</v>
      </c>
      <c r="B1757" s="59" t="s">
        <v>436</v>
      </c>
      <c r="C1757" s="60" t="n">
        <v>1726.41</v>
      </c>
      <c r="D1757" s="59" t="n">
        <f aca="false">COUNTIFS($A$2:$A$1931,A1757,$C$2:$C$1931,"&gt;"&amp;C1757)+COUNTIFS($A$2:A1757,A1757,$C$2:C1757,C1757)</f>
        <v>1</v>
      </c>
      <c r="E1757" s="59" t="str">
        <f aca="false">A1757&amp;"|"&amp;D1757</f>
        <v>KOC-Fort|1</v>
      </c>
    </row>
    <row r="1758" customFormat="false" ht="15" hidden="false" customHeight="false" outlineLevel="0" collapsed="false">
      <c r="A1758" s="59" t="s">
        <v>173</v>
      </c>
      <c r="B1758" s="59" t="s">
        <v>411</v>
      </c>
      <c r="C1758" s="60" t="n">
        <v>1158.75</v>
      </c>
      <c r="D1758" s="59" t="n">
        <f aca="false">COUNTIFS($A$2:$A$1931,A1758,$C$2:$C$1931,"&gt;"&amp;C1758)+COUNTIFS($A$2:A1758,A1758,$C$2:C1758,C1758)</f>
        <v>2</v>
      </c>
      <c r="E1758" s="59" t="str">
        <f aca="false">A1758&amp;"|"&amp;D1758</f>
        <v>KOC-Fort|2</v>
      </c>
    </row>
    <row r="1759" customFormat="false" ht="15" hidden="false" customHeight="false" outlineLevel="0" collapsed="false">
      <c r="A1759" s="59" t="s">
        <v>173</v>
      </c>
      <c r="B1759" s="59" t="s">
        <v>419</v>
      </c>
      <c r="C1759" s="60" t="n">
        <v>968.86</v>
      </c>
      <c r="D1759" s="59" t="n">
        <f aca="false">COUNTIFS($A$2:$A$1931,A1759,$C$2:$C$1931,"&gt;"&amp;C1759)+COUNTIFS($A$2:A1759,A1759,$C$2:C1759,C1759)</f>
        <v>3</v>
      </c>
      <c r="E1759" s="59" t="str">
        <f aca="false">A1759&amp;"|"&amp;D1759</f>
        <v>KOC-Fort|3</v>
      </c>
    </row>
    <row r="1760" customFormat="false" ht="15" hidden="false" customHeight="false" outlineLevel="0" collapsed="false">
      <c r="A1760" s="59" t="s">
        <v>173</v>
      </c>
      <c r="B1760" s="59" t="s">
        <v>408</v>
      </c>
      <c r="C1760" s="60" t="n">
        <v>913.02</v>
      </c>
      <c r="D1760" s="59" t="n">
        <f aca="false">COUNTIFS($A$2:$A$1931,A1760,$C$2:$C$1931,"&gt;"&amp;C1760)+COUNTIFS($A$2:A1760,A1760,$C$2:C1760,C1760)</f>
        <v>4</v>
      </c>
      <c r="E1760" s="59" t="str">
        <f aca="false">A1760&amp;"|"&amp;D1760</f>
        <v>KOC-Fort|4</v>
      </c>
    </row>
    <row r="1761" customFormat="false" ht="15" hidden="false" customHeight="false" outlineLevel="0" collapsed="false">
      <c r="A1761" s="59" t="s">
        <v>173</v>
      </c>
      <c r="B1761" s="59" t="s">
        <v>413</v>
      </c>
      <c r="C1761" s="60" t="n">
        <v>286.23</v>
      </c>
      <c r="D1761" s="59" t="n">
        <f aca="false">COUNTIFS($A$2:$A$1931,A1761,$C$2:$C$1931,"&gt;"&amp;C1761)+COUNTIFS($A$2:A1761,A1761,$C$2:C1761,C1761)</f>
        <v>5</v>
      </c>
      <c r="E1761" s="59" t="str">
        <f aca="false">A1761&amp;"|"&amp;D1761</f>
        <v>KOC-Fort|5</v>
      </c>
    </row>
    <row r="1762" customFormat="false" ht="15" hidden="false" customHeight="false" outlineLevel="0" collapsed="false">
      <c r="A1762" s="59" t="s">
        <v>173</v>
      </c>
      <c r="B1762" s="59" t="s">
        <v>420</v>
      </c>
      <c r="C1762" s="60" t="n">
        <v>234.47</v>
      </c>
      <c r="D1762" s="59" t="n">
        <f aca="false">COUNTIFS($A$2:$A$1931,A1762,$C$2:$C$1931,"&gt;"&amp;C1762)+COUNTIFS($A$2:A1762,A1762,$C$2:C1762,C1762)</f>
        <v>6</v>
      </c>
      <c r="E1762" s="59" t="str">
        <f aca="false">A1762&amp;"|"&amp;D1762</f>
        <v>KOC-Fort|6</v>
      </c>
    </row>
    <row r="1763" customFormat="false" ht="15" hidden="false" customHeight="false" outlineLevel="0" collapsed="false">
      <c r="A1763" s="59" t="s">
        <v>173</v>
      </c>
      <c r="B1763" s="59" t="s">
        <v>415</v>
      </c>
      <c r="C1763" s="60" t="n">
        <v>139.87</v>
      </c>
      <c r="D1763" s="59" t="n">
        <f aca="false">COUNTIFS($A$2:$A$1931,A1763,$C$2:$C$1931,"&gt;"&amp;C1763)+COUNTIFS($A$2:A1763,A1763,$C$2:C1763,C1763)</f>
        <v>7</v>
      </c>
      <c r="E1763" s="59" t="str">
        <f aca="false">A1763&amp;"|"&amp;D1763</f>
        <v>KOC-Fort|7</v>
      </c>
    </row>
    <row r="1764" customFormat="false" ht="15" hidden="false" customHeight="false" outlineLevel="0" collapsed="false">
      <c r="A1764" s="59" t="s">
        <v>173</v>
      </c>
      <c r="B1764" s="59" t="s">
        <v>424</v>
      </c>
      <c r="C1764" s="60" t="n">
        <v>133.11</v>
      </c>
      <c r="D1764" s="59" t="n">
        <f aca="false">COUNTIFS($A$2:$A$1931,A1764,$C$2:$C$1931,"&gt;"&amp;C1764)+COUNTIFS($A$2:A1764,A1764,$C$2:C1764,C1764)</f>
        <v>8</v>
      </c>
      <c r="E1764" s="59" t="str">
        <f aca="false">A1764&amp;"|"&amp;D1764</f>
        <v>KOC-Fort|8</v>
      </c>
    </row>
    <row r="1765" customFormat="false" ht="15" hidden="false" customHeight="false" outlineLevel="0" collapsed="false">
      <c r="A1765" s="59" t="s">
        <v>263</v>
      </c>
      <c r="B1765" s="59" t="s">
        <v>431</v>
      </c>
      <c r="C1765" s="60" t="n">
        <v>4859.17</v>
      </c>
      <c r="D1765" s="59" t="n">
        <f aca="false">COUNTIFS($A$2:$A$1931,A1765,$C$2:$C$1931,"&gt;"&amp;C1765)+COUNTIFS($A$2:A1765,A1765,$C$2:C1765,C1765)</f>
        <v>1</v>
      </c>
      <c r="E1765" s="59" t="str">
        <f aca="false">A1765&amp;"|"&amp;D1765</f>
        <v>KOC-Friendship nagar|1</v>
      </c>
    </row>
    <row r="1766" customFormat="false" ht="15" hidden="false" customHeight="false" outlineLevel="0" collapsed="false">
      <c r="A1766" s="59" t="s">
        <v>263</v>
      </c>
      <c r="B1766" s="59" t="s">
        <v>412</v>
      </c>
      <c r="C1766" s="60" t="n">
        <v>4564.24</v>
      </c>
      <c r="D1766" s="59" t="n">
        <f aca="false">COUNTIFS($A$2:$A$1931,A1766,$C$2:$C$1931,"&gt;"&amp;C1766)+COUNTIFS($A$2:A1766,A1766,$C$2:C1766,C1766)</f>
        <v>2</v>
      </c>
      <c r="E1766" s="59" t="str">
        <f aca="false">A1766&amp;"|"&amp;D1766</f>
        <v>KOC-Friendship nagar|2</v>
      </c>
    </row>
    <row r="1767" customFormat="false" ht="15" hidden="false" customHeight="false" outlineLevel="0" collapsed="false">
      <c r="A1767" s="59" t="s">
        <v>263</v>
      </c>
      <c r="B1767" s="59" t="s">
        <v>419</v>
      </c>
      <c r="C1767" s="60" t="n">
        <v>1627.95</v>
      </c>
      <c r="D1767" s="59" t="n">
        <f aca="false">COUNTIFS($A$2:$A$1931,A1767,$C$2:$C$1931,"&gt;"&amp;C1767)+COUNTIFS($A$2:A1767,A1767,$C$2:C1767,C1767)</f>
        <v>3</v>
      </c>
      <c r="E1767" s="59" t="str">
        <f aca="false">A1767&amp;"|"&amp;D1767</f>
        <v>KOC-Friendship nagar|3</v>
      </c>
    </row>
    <row r="1768" customFormat="false" ht="15" hidden="false" customHeight="false" outlineLevel="0" collapsed="false">
      <c r="A1768" s="59" t="s">
        <v>263</v>
      </c>
      <c r="B1768" s="59" t="s">
        <v>420</v>
      </c>
      <c r="C1768" s="60" t="n">
        <v>463.14</v>
      </c>
      <c r="D1768" s="59" t="n">
        <f aca="false">COUNTIFS($A$2:$A$1931,A1768,$C$2:$C$1931,"&gt;"&amp;C1768)+COUNTIFS($A$2:A1768,A1768,$C$2:C1768,C1768)</f>
        <v>4</v>
      </c>
      <c r="E1768" s="59" t="str">
        <f aca="false">A1768&amp;"|"&amp;D1768</f>
        <v>KOC-Friendship nagar|4</v>
      </c>
    </row>
    <row r="1769" customFormat="false" ht="15" hidden="false" customHeight="false" outlineLevel="0" collapsed="false">
      <c r="A1769" s="59" t="s">
        <v>263</v>
      </c>
      <c r="B1769" s="59" t="s">
        <v>413</v>
      </c>
      <c r="C1769" s="60" t="n">
        <v>265.76</v>
      </c>
      <c r="D1769" s="59" t="n">
        <f aca="false">COUNTIFS($A$2:$A$1931,A1769,$C$2:$C$1931,"&gt;"&amp;C1769)+COUNTIFS($A$2:A1769,A1769,$C$2:C1769,C1769)</f>
        <v>5</v>
      </c>
      <c r="E1769" s="59" t="str">
        <f aca="false">A1769&amp;"|"&amp;D1769</f>
        <v>KOC-Friendship nagar|5</v>
      </c>
    </row>
    <row r="1770" customFormat="false" ht="15" hidden="false" customHeight="false" outlineLevel="0" collapsed="false">
      <c r="A1770" s="59" t="s">
        <v>263</v>
      </c>
      <c r="B1770" s="59" t="s">
        <v>407</v>
      </c>
      <c r="C1770" s="60" t="n">
        <v>148.3</v>
      </c>
      <c r="D1770" s="59" t="n">
        <f aca="false">COUNTIFS($A$2:$A$1931,A1770,$C$2:$C$1931,"&gt;"&amp;C1770)+COUNTIFS($A$2:A1770,A1770,$C$2:C1770,C1770)</f>
        <v>6</v>
      </c>
      <c r="E1770" s="59" t="str">
        <f aca="false">A1770&amp;"|"&amp;D1770</f>
        <v>KOC-Friendship nagar|6</v>
      </c>
    </row>
    <row r="1771" customFormat="false" ht="15" hidden="false" customHeight="false" outlineLevel="0" collapsed="false">
      <c r="A1771" s="59" t="s">
        <v>263</v>
      </c>
      <c r="B1771" s="59" t="s">
        <v>435</v>
      </c>
      <c r="C1771" s="60" t="n">
        <v>128.03</v>
      </c>
      <c r="D1771" s="59" t="n">
        <f aca="false">COUNTIFS($A$2:$A$1931,A1771,$C$2:$C$1931,"&gt;"&amp;C1771)+COUNTIFS($A$2:A1771,A1771,$C$2:C1771,C1771)</f>
        <v>7</v>
      </c>
      <c r="E1771" s="59" t="str">
        <f aca="false">A1771&amp;"|"&amp;D1771</f>
        <v>KOC-Friendship nagar|7</v>
      </c>
    </row>
    <row r="1772" customFormat="false" ht="15" hidden="false" customHeight="false" outlineLevel="0" collapsed="false">
      <c r="A1772" s="59" t="s">
        <v>263</v>
      </c>
      <c r="B1772" s="59" t="s">
        <v>426</v>
      </c>
      <c r="C1772" s="60" t="n">
        <v>75.65</v>
      </c>
      <c r="D1772" s="59" t="n">
        <f aca="false">COUNTIFS($A$2:$A$1931,A1772,$C$2:$C$1931,"&gt;"&amp;C1772)+COUNTIFS($A$2:A1772,A1772,$C$2:C1772,C1772)</f>
        <v>8</v>
      </c>
      <c r="E1772" s="59" t="str">
        <f aca="false">A1772&amp;"|"&amp;D1772</f>
        <v>KOC-Friendship nagar|8</v>
      </c>
    </row>
    <row r="1773" customFormat="false" ht="15" hidden="false" customHeight="false" outlineLevel="0" collapsed="false">
      <c r="A1773" s="59" t="s">
        <v>105</v>
      </c>
      <c r="B1773" s="59" t="s">
        <v>424</v>
      </c>
      <c r="C1773" s="60" t="n">
        <v>3276.39</v>
      </c>
      <c r="D1773" s="59" t="n">
        <f aca="false">COUNTIFS($A$2:$A$1931,A1773,$C$2:$C$1931,"&gt;"&amp;C1773)+COUNTIFS($A$2:A1773,A1773,$C$2:C1773,C1773)</f>
        <v>1</v>
      </c>
      <c r="E1773" s="59" t="str">
        <f aca="false">A1773&amp;"|"&amp;D1773</f>
        <v>KOC-Infopark|1</v>
      </c>
    </row>
    <row r="1774" customFormat="false" ht="15" hidden="false" customHeight="false" outlineLevel="0" collapsed="false">
      <c r="A1774" s="59" t="s">
        <v>105</v>
      </c>
      <c r="B1774" s="59" t="s">
        <v>408</v>
      </c>
      <c r="C1774" s="60" t="n">
        <v>2263.3</v>
      </c>
      <c r="D1774" s="59" t="n">
        <f aca="false">COUNTIFS($A$2:$A$1931,A1774,$C$2:$C$1931,"&gt;"&amp;C1774)+COUNTIFS($A$2:A1774,A1774,$C$2:C1774,C1774)</f>
        <v>2</v>
      </c>
      <c r="E1774" s="59" t="str">
        <f aca="false">A1774&amp;"|"&amp;D1774</f>
        <v>KOC-Infopark|2</v>
      </c>
    </row>
    <row r="1775" customFormat="false" ht="15" hidden="false" customHeight="false" outlineLevel="0" collapsed="false">
      <c r="A1775" s="59" t="s">
        <v>105</v>
      </c>
      <c r="B1775" s="59" t="s">
        <v>417</v>
      </c>
      <c r="C1775" s="60" t="n">
        <v>1906.02</v>
      </c>
      <c r="D1775" s="59" t="n">
        <f aca="false">COUNTIFS($A$2:$A$1931,A1775,$C$2:$C$1931,"&gt;"&amp;C1775)+COUNTIFS($A$2:A1775,A1775,$C$2:C1775,C1775)</f>
        <v>3</v>
      </c>
      <c r="E1775" s="59" t="str">
        <f aca="false">A1775&amp;"|"&amp;D1775</f>
        <v>KOC-Infopark|3</v>
      </c>
    </row>
    <row r="1776" customFormat="false" ht="15" hidden="false" customHeight="false" outlineLevel="0" collapsed="false">
      <c r="A1776" s="59" t="s">
        <v>105</v>
      </c>
      <c r="B1776" s="59" t="s">
        <v>415</v>
      </c>
      <c r="C1776" s="60" t="n">
        <v>1398.19</v>
      </c>
      <c r="D1776" s="59" t="n">
        <f aca="false">COUNTIFS($A$2:$A$1931,A1776,$C$2:$C$1931,"&gt;"&amp;C1776)+COUNTIFS($A$2:A1776,A1776,$C$2:C1776,C1776)</f>
        <v>4</v>
      </c>
      <c r="E1776" s="59" t="str">
        <f aca="false">A1776&amp;"|"&amp;D1776</f>
        <v>KOC-Infopark|4</v>
      </c>
    </row>
    <row r="1777" customFormat="false" ht="15" hidden="false" customHeight="false" outlineLevel="0" collapsed="false">
      <c r="A1777" s="59" t="s">
        <v>105</v>
      </c>
      <c r="B1777" s="59" t="s">
        <v>407</v>
      </c>
      <c r="C1777" s="60" t="n">
        <v>587.76</v>
      </c>
      <c r="D1777" s="59" t="n">
        <f aca="false">COUNTIFS($A$2:$A$1931,A1777,$C$2:$C$1931,"&gt;"&amp;C1777)+COUNTIFS($A$2:A1777,A1777,$C$2:C1777,C1777)</f>
        <v>5</v>
      </c>
      <c r="E1777" s="59" t="str">
        <f aca="false">A1777&amp;"|"&amp;D1777</f>
        <v>KOC-Infopark|5</v>
      </c>
    </row>
    <row r="1778" customFormat="false" ht="15" hidden="false" customHeight="false" outlineLevel="0" collapsed="false">
      <c r="A1778" s="59" t="s">
        <v>105</v>
      </c>
      <c r="B1778" s="59" t="s">
        <v>418</v>
      </c>
      <c r="C1778" s="60" t="n">
        <v>574.24</v>
      </c>
      <c r="D1778" s="59" t="n">
        <f aca="false">COUNTIFS($A$2:$A$1931,A1778,$C$2:$C$1931,"&gt;"&amp;C1778)+COUNTIFS($A$2:A1778,A1778,$C$2:C1778,C1778)</f>
        <v>6</v>
      </c>
      <c r="E1778" s="59" t="str">
        <f aca="false">A1778&amp;"|"&amp;D1778</f>
        <v>KOC-Infopark|6</v>
      </c>
    </row>
    <row r="1779" customFormat="false" ht="15" hidden="false" customHeight="false" outlineLevel="0" collapsed="false">
      <c r="A1779" s="59" t="s">
        <v>105</v>
      </c>
      <c r="B1779" s="59" t="s">
        <v>409</v>
      </c>
      <c r="C1779" s="60" t="n">
        <v>82.28</v>
      </c>
      <c r="D1779" s="59" t="n">
        <f aca="false">COUNTIFS($A$2:$A$1931,A1779,$C$2:$C$1931,"&gt;"&amp;C1779)+COUNTIFS($A$2:A1779,A1779,$C$2:C1779,C1779)</f>
        <v>7</v>
      </c>
      <c r="E1779" s="59" t="str">
        <f aca="false">A1779&amp;"|"&amp;D1779</f>
        <v>KOC-Infopark|7</v>
      </c>
    </row>
    <row r="1780" customFormat="false" ht="15" hidden="false" customHeight="false" outlineLevel="0" collapsed="false">
      <c r="A1780" s="59" t="s">
        <v>255</v>
      </c>
      <c r="B1780" s="59" t="s">
        <v>431</v>
      </c>
      <c r="C1780" s="60" t="n">
        <v>1770.9</v>
      </c>
      <c r="D1780" s="59" t="n">
        <f aca="false">COUNTIFS($A$2:$A$1931,A1780,$C$2:$C$1931,"&gt;"&amp;C1780)+COUNTIFS($A$2:A1780,A1780,$C$2:C1780,C1780)</f>
        <v>1</v>
      </c>
      <c r="E1780" s="59" t="str">
        <f aca="false">A1780&amp;"|"&amp;D1780</f>
        <v>KOC-Kakkanad|1</v>
      </c>
    </row>
    <row r="1781" customFormat="false" ht="15" hidden="false" customHeight="false" outlineLevel="0" collapsed="false">
      <c r="A1781" s="59" t="s">
        <v>255</v>
      </c>
      <c r="B1781" s="59" t="s">
        <v>411</v>
      </c>
      <c r="C1781" s="60" t="n">
        <v>990.23</v>
      </c>
      <c r="D1781" s="59" t="n">
        <f aca="false">COUNTIFS($A$2:$A$1931,A1781,$C$2:$C$1931,"&gt;"&amp;C1781)+COUNTIFS($A$2:A1781,A1781,$C$2:C1781,C1781)</f>
        <v>2</v>
      </c>
      <c r="E1781" s="59" t="str">
        <f aca="false">A1781&amp;"|"&amp;D1781</f>
        <v>KOC-Kakkanad|2</v>
      </c>
    </row>
    <row r="1782" customFormat="false" ht="15" hidden="false" customHeight="false" outlineLevel="0" collapsed="false">
      <c r="A1782" s="59" t="s">
        <v>255</v>
      </c>
      <c r="B1782" s="59" t="s">
        <v>408</v>
      </c>
      <c r="C1782" s="60" t="n">
        <v>554.7</v>
      </c>
      <c r="D1782" s="59" t="n">
        <f aca="false">COUNTIFS($A$2:$A$1931,A1782,$C$2:$C$1931,"&gt;"&amp;C1782)+COUNTIFS($A$2:A1782,A1782,$C$2:C1782,C1782)</f>
        <v>3</v>
      </c>
      <c r="E1782" s="59" t="str">
        <f aca="false">A1782&amp;"|"&amp;D1782</f>
        <v>KOC-Kakkanad|3</v>
      </c>
    </row>
    <row r="1783" customFormat="false" ht="15" hidden="false" customHeight="false" outlineLevel="0" collapsed="false">
      <c r="A1783" s="59" t="s">
        <v>255</v>
      </c>
      <c r="B1783" s="59" t="s">
        <v>420</v>
      </c>
      <c r="C1783" s="60" t="n">
        <v>378.3</v>
      </c>
      <c r="D1783" s="59" t="n">
        <f aca="false">COUNTIFS($A$2:$A$1931,A1783,$C$2:$C$1931,"&gt;"&amp;C1783)+COUNTIFS($A$2:A1783,A1783,$C$2:C1783,C1783)</f>
        <v>4</v>
      </c>
      <c r="E1783" s="59" t="str">
        <f aca="false">A1783&amp;"|"&amp;D1783</f>
        <v>KOC-Kakkanad|4</v>
      </c>
    </row>
    <row r="1784" customFormat="false" ht="15" hidden="false" customHeight="false" outlineLevel="0" collapsed="false">
      <c r="A1784" s="59" t="s">
        <v>255</v>
      </c>
      <c r="B1784" s="59" t="s">
        <v>412</v>
      </c>
      <c r="C1784" s="60" t="n">
        <v>330.38</v>
      </c>
      <c r="D1784" s="59" t="n">
        <f aca="false">COUNTIFS($A$2:$A$1931,A1784,$C$2:$C$1931,"&gt;"&amp;C1784)+COUNTIFS($A$2:A1784,A1784,$C$2:C1784,C1784)</f>
        <v>5</v>
      </c>
      <c r="E1784" s="59" t="str">
        <f aca="false">A1784&amp;"|"&amp;D1784</f>
        <v>KOC-Kakkanad|5</v>
      </c>
    </row>
    <row r="1785" customFormat="false" ht="15" hidden="false" customHeight="false" outlineLevel="0" collapsed="false">
      <c r="A1785" s="59" t="s">
        <v>255</v>
      </c>
      <c r="B1785" s="59" t="s">
        <v>423</v>
      </c>
      <c r="C1785" s="60" t="n">
        <v>227.02</v>
      </c>
      <c r="D1785" s="59" t="n">
        <f aca="false">COUNTIFS($A$2:$A$1931,A1785,$C$2:$C$1931,"&gt;"&amp;C1785)+COUNTIFS($A$2:A1785,A1785,$C$2:C1785,C1785)</f>
        <v>6</v>
      </c>
      <c r="E1785" s="59" t="str">
        <f aca="false">A1785&amp;"|"&amp;D1785</f>
        <v>KOC-Kakkanad|6</v>
      </c>
    </row>
    <row r="1786" customFormat="false" ht="15" hidden="false" customHeight="false" outlineLevel="0" collapsed="false">
      <c r="A1786" s="59" t="s">
        <v>255</v>
      </c>
      <c r="B1786" s="59" t="s">
        <v>414</v>
      </c>
      <c r="C1786" s="60" t="n">
        <v>205.9</v>
      </c>
      <c r="D1786" s="59" t="n">
        <f aca="false">COUNTIFS($A$2:$A$1931,A1786,$C$2:$C$1931,"&gt;"&amp;C1786)+COUNTIFS($A$2:A1786,A1786,$C$2:C1786,C1786)</f>
        <v>7</v>
      </c>
      <c r="E1786" s="59" t="str">
        <f aca="false">A1786&amp;"|"&amp;D1786</f>
        <v>KOC-Kakkanad|7</v>
      </c>
    </row>
    <row r="1787" customFormat="false" ht="15" hidden="false" customHeight="false" outlineLevel="0" collapsed="false">
      <c r="A1787" s="59" t="s">
        <v>255</v>
      </c>
      <c r="B1787" s="59" t="s">
        <v>409</v>
      </c>
      <c r="C1787" s="60" t="n">
        <v>60</v>
      </c>
      <c r="D1787" s="59" t="n">
        <f aca="false">COUNTIFS($A$2:$A$1931,A1787,$C$2:$C$1931,"&gt;"&amp;C1787)+COUNTIFS($A$2:A1787,A1787,$C$2:C1787,C1787)</f>
        <v>8</v>
      </c>
      <c r="E1787" s="59" t="str">
        <f aca="false">A1787&amp;"|"&amp;D1787</f>
        <v>KOC-Kakkanad|8</v>
      </c>
    </row>
    <row r="1788" customFormat="false" ht="15" hidden="false" customHeight="false" outlineLevel="0" collapsed="false">
      <c r="A1788" s="59" t="s">
        <v>255</v>
      </c>
      <c r="B1788" s="59" t="s">
        <v>426</v>
      </c>
      <c r="C1788" s="60" t="n">
        <v>3.4</v>
      </c>
      <c r="D1788" s="59" t="n">
        <f aca="false">COUNTIFS($A$2:$A$1931,A1788,$C$2:$C$1931,"&gt;"&amp;C1788)+COUNTIFS($A$2:A1788,A1788,$C$2:C1788,C1788)</f>
        <v>9</v>
      </c>
      <c r="E1788" s="59" t="str">
        <f aca="false">A1788&amp;"|"&amp;D1788</f>
        <v>KOC-Kakkanad|9</v>
      </c>
    </row>
    <row r="1789" customFormat="false" ht="15" hidden="false" customHeight="false" outlineLevel="0" collapsed="false">
      <c r="A1789" s="59" t="s">
        <v>129</v>
      </c>
      <c r="B1789" s="59" t="s">
        <v>417</v>
      </c>
      <c r="C1789" s="60" t="n">
        <v>5364.08</v>
      </c>
      <c r="D1789" s="59" t="n">
        <f aca="false">COUNTIFS($A$2:$A$1931,A1789,$C$2:$C$1931,"&gt;"&amp;C1789)+COUNTIFS($A$2:A1789,A1789,$C$2:C1789,C1789)</f>
        <v>1</v>
      </c>
      <c r="E1789" s="59" t="str">
        <f aca="false">A1789&amp;"|"&amp;D1789</f>
        <v>KOC-Kalamassery|1</v>
      </c>
    </row>
    <row r="1790" customFormat="false" ht="15" hidden="false" customHeight="false" outlineLevel="0" collapsed="false">
      <c r="A1790" s="59" t="s">
        <v>129</v>
      </c>
      <c r="B1790" s="59" t="s">
        <v>410</v>
      </c>
      <c r="C1790" s="60" t="n">
        <v>4593.63</v>
      </c>
      <c r="D1790" s="59" t="n">
        <f aca="false">COUNTIFS($A$2:$A$1931,A1790,$C$2:$C$1931,"&gt;"&amp;C1790)+COUNTIFS($A$2:A1790,A1790,$C$2:C1790,C1790)</f>
        <v>2</v>
      </c>
      <c r="E1790" s="59" t="str">
        <f aca="false">A1790&amp;"|"&amp;D1790</f>
        <v>KOC-Kalamassery|2</v>
      </c>
    </row>
    <row r="1791" customFormat="false" ht="15" hidden="false" customHeight="false" outlineLevel="0" collapsed="false">
      <c r="A1791" s="59" t="s">
        <v>129</v>
      </c>
      <c r="B1791" s="59" t="s">
        <v>431</v>
      </c>
      <c r="C1791" s="60" t="n">
        <v>2396.32</v>
      </c>
      <c r="D1791" s="59" t="n">
        <f aca="false">COUNTIFS($A$2:$A$1931,A1791,$C$2:$C$1931,"&gt;"&amp;C1791)+COUNTIFS($A$2:A1791,A1791,$C$2:C1791,C1791)</f>
        <v>3</v>
      </c>
      <c r="E1791" s="59" t="str">
        <f aca="false">A1791&amp;"|"&amp;D1791</f>
        <v>KOC-Kalamassery|3</v>
      </c>
    </row>
    <row r="1792" customFormat="false" ht="15" hidden="false" customHeight="false" outlineLevel="0" collapsed="false">
      <c r="A1792" s="59" t="s">
        <v>129</v>
      </c>
      <c r="B1792" s="59" t="s">
        <v>412</v>
      </c>
      <c r="C1792" s="60" t="n">
        <v>1926.78</v>
      </c>
      <c r="D1792" s="59" t="n">
        <f aca="false">COUNTIFS($A$2:$A$1931,A1792,$C$2:$C$1931,"&gt;"&amp;C1792)+COUNTIFS($A$2:A1792,A1792,$C$2:C1792,C1792)</f>
        <v>4</v>
      </c>
      <c r="E1792" s="59" t="str">
        <f aca="false">A1792&amp;"|"&amp;D1792</f>
        <v>KOC-Kalamassery|4</v>
      </c>
    </row>
    <row r="1793" customFormat="false" ht="15" hidden="false" customHeight="false" outlineLevel="0" collapsed="false">
      <c r="A1793" s="59" t="s">
        <v>129</v>
      </c>
      <c r="B1793" s="59" t="s">
        <v>413</v>
      </c>
      <c r="C1793" s="60" t="n">
        <v>1873.91</v>
      </c>
      <c r="D1793" s="59" t="n">
        <f aca="false">COUNTIFS($A$2:$A$1931,A1793,$C$2:$C$1931,"&gt;"&amp;C1793)+COUNTIFS($A$2:A1793,A1793,$C$2:C1793,C1793)</f>
        <v>5</v>
      </c>
      <c r="E1793" s="59" t="str">
        <f aca="false">A1793&amp;"|"&amp;D1793</f>
        <v>KOC-Kalamassery|5</v>
      </c>
    </row>
    <row r="1794" customFormat="false" ht="15" hidden="false" customHeight="false" outlineLevel="0" collapsed="false">
      <c r="A1794" s="59" t="s">
        <v>129</v>
      </c>
      <c r="B1794" s="59" t="s">
        <v>418</v>
      </c>
      <c r="C1794" s="60" t="n">
        <v>1173.31</v>
      </c>
      <c r="D1794" s="59" t="n">
        <f aca="false">COUNTIFS($A$2:$A$1931,A1794,$C$2:$C$1931,"&gt;"&amp;C1794)+COUNTIFS($A$2:A1794,A1794,$C$2:C1794,C1794)</f>
        <v>6</v>
      </c>
      <c r="E1794" s="59" t="str">
        <f aca="false">A1794&amp;"|"&amp;D1794</f>
        <v>KOC-Kalamassery|6</v>
      </c>
    </row>
    <row r="1795" customFormat="false" ht="15" hidden="false" customHeight="false" outlineLevel="0" collapsed="false">
      <c r="A1795" s="59" t="s">
        <v>129</v>
      </c>
      <c r="B1795" s="59" t="s">
        <v>415</v>
      </c>
      <c r="C1795" s="60" t="n">
        <v>683.37</v>
      </c>
      <c r="D1795" s="59" t="n">
        <f aca="false">COUNTIFS($A$2:$A$1931,A1795,$C$2:$C$1931,"&gt;"&amp;C1795)+COUNTIFS($A$2:A1795,A1795,$C$2:C1795,C1795)</f>
        <v>7</v>
      </c>
      <c r="E1795" s="59" t="str">
        <f aca="false">A1795&amp;"|"&amp;D1795</f>
        <v>KOC-Kalamassery|7</v>
      </c>
    </row>
    <row r="1796" customFormat="false" ht="15" hidden="false" customHeight="false" outlineLevel="0" collapsed="false">
      <c r="A1796" s="59" t="s">
        <v>129</v>
      </c>
      <c r="B1796" s="59" t="s">
        <v>424</v>
      </c>
      <c r="C1796" s="60" t="n">
        <v>456.45</v>
      </c>
      <c r="D1796" s="59" t="n">
        <f aca="false">COUNTIFS($A$2:$A$1931,A1796,$C$2:$C$1931,"&gt;"&amp;C1796)+COUNTIFS($A$2:A1796,A1796,$C$2:C1796,C1796)</f>
        <v>8</v>
      </c>
      <c r="E1796" s="59" t="str">
        <f aca="false">A1796&amp;"|"&amp;D1796</f>
        <v>KOC-Kalamassery|8</v>
      </c>
    </row>
    <row r="1797" customFormat="false" ht="15" hidden="false" customHeight="false" outlineLevel="0" collapsed="false">
      <c r="A1797" s="59" t="s">
        <v>129</v>
      </c>
      <c r="B1797" s="59" t="s">
        <v>409</v>
      </c>
      <c r="C1797" s="60" t="n">
        <v>92</v>
      </c>
      <c r="D1797" s="59" t="n">
        <f aca="false">COUNTIFS($A$2:$A$1931,A1797,$C$2:$C$1931,"&gt;"&amp;C1797)+COUNTIFS($A$2:A1797,A1797,$C$2:C1797,C1797)</f>
        <v>9</v>
      </c>
      <c r="E1797" s="59" t="str">
        <f aca="false">A1797&amp;"|"&amp;D1797</f>
        <v>KOC-Kalamassery|9</v>
      </c>
    </row>
    <row r="1798" customFormat="false" ht="15" hidden="false" customHeight="false" outlineLevel="0" collapsed="false">
      <c r="A1798" s="59" t="s">
        <v>106</v>
      </c>
      <c r="B1798" s="59" t="s">
        <v>417</v>
      </c>
      <c r="C1798" s="60" t="n">
        <v>5688.85</v>
      </c>
      <c r="D1798" s="59" t="n">
        <f aca="false">COUNTIFS($A$2:$A$1931,A1798,$C$2:$C$1931,"&gt;"&amp;C1798)+COUNTIFS($A$2:A1798,A1798,$C$2:C1798,C1798)</f>
        <v>1</v>
      </c>
      <c r="E1798" s="59" t="str">
        <f aca="false">A1798&amp;"|"&amp;D1798</f>
        <v>KOC-Kalamassery SS|1</v>
      </c>
    </row>
    <row r="1799" customFormat="false" ht="15" hidden="false" customHeight="false" outlineLevel="0" collapsed="false">
      <c r="A1799" s="59" t="s">
        <v>106</v>
      </c>
      <c r="B1799" s="59" t="s">
        <v>431</v>
      </c>
      <c r="C1799" s="60" t="n">
        <v>1865.52</v>
      </c>
      <c r="D1799" s="59" t="n">
        <f aca="false">COUNTIFS($A$2:$A$1931,A1799,$C$2:$C$1931,"&gt;"&amp;C1799)+COUNTIFS($A$2:A1799,A1799,$C$2:C1799,C1799)</f>
        <v>2</v>
      </c>
      <c r="E1799" s="59" t="str">
        <f aca="false">A1799&amp;"|"&amp;D1799</f>
        <v>KOC-Kalamassery SS|2</v>
      </c>
    </row>
    <row r="1800" customFormat="false" ht="15" hidden="false" customHeight="false" outlineLevel="0" collapsed="false">
      <c r="A1800" s="59" t="s">
        <v>106</v>
      </c>
      <c r="B1800" s="59" t="s">
        <v>413</v>
      </c>
      <c r="C1800" s="60" t="n">
        <v>1759.29</v>
      </c>
      <c r="D1800" s="59" t="n">
        <f aca="false">COUNTIFS($A$2:$A$1931,A1800,$C$2:$C$1931,"&gt;"&amp;C1800)+COUNTIFS($A$2:A1800,A1800,$C$2:C1800,C1800)</f>
        <v>3</v>
      </c>
      <c r="E1800" s="59" t="str">
        <f aca="false">A1800&amp;"|"&amp;D1800</f>
        <v>KOC-Kalamassery SS|3</v>
      </c>
    </row>
    <row r="1801" customFormat="false" ht="15" hidden="false" customHeight="false" outlineLevel="0" collapsed="false">
      <c r="A1801" s="59" t="s">
        <v>106</v>
      </c>
      <c r="B1801" s="59" t="s">
        <v>424</v>
      </c>
      <c r="C1801" s="60" t="n">
        <v>1613.35</v>
      </c>
      <c r="D1801" s="59" t="n">
        <f aca="false">COUNTIFS($A$2:$A$1931,A1801,$C$2:$C$1931,"&gt;"&amp;C1801)+COUNTIFS($A$2:A1801,A1801,$C$2:C1801,C1801)</f>
        <v>4</v>
      </c>
      <c r="E1801" s="59" t="str">
        <f aca="false">A1801&amp;"|"&amp;D1801</f>
        <v>KOC-Kalamassery SS|4</v>
      </c>
    </row>
    <row r="1802" customFormat="false" ht="15" hidden="false" customHeight="false" outlineLevel="0" collapsed="false">
      <c r="A1802" s="59" t="s">
        <v>106</v>
      </c>
      <c r="B1802" s="59" t="s">
        <v>410</v>
      </c>
      <c r="C1802" s="60" t="n">
        <v>1331.24</v>
      </c>
      <c r="D1802" s="59" t="n">
        <f aca="false">COUNTIFS($A$2:$A$1931,A1802,$C$2:$C$1931,"&gt;"&amp;C1802)+COUNTIFS($A$2:A1802,A1802,$C$2:C1802,C1802)</f>
        <v>5</v>
      </c>
      <c r="E1802" s="59" t="str">
        <f aca="false">A1802&amp;"|"&amp;D1802</f>
        <v>KOC-Kalamassery SS|5</v>
      </c>
    </row>
    <row r="1803" customFormat="false" ht="15" hidden="false" customHeight="false" outlineLevel="0" collapsed="false">
      <c r="A1803" s="59" t="s">
        <v>106</v>
      </c>
      <c r="B1803" s="59" t="s">
        <v>408</v>
      </c>
      <c r="C1803" s="60" t="n">
        <v>448.47</v>
      </c>
      <c r="D1803" s="59" t="n">
        <f aca="false">COUNTIFS($A$2:$A$1931,A1803,$C$2:$C$1931,"&gt;"&amp;C1803)+COUNTIFS($A$2:A1803,A1803,$C$2:C1803,C1803)</f>
        <v>6</v>
      </c>
      <c r="E1803" s="59" t="str">
        <f aca="false">A1803&amp;"|"&amp;D1803</f>
        <v>KOC-Kalamassery SS|6</v>
      </c>
    </row>
    <row r="1804" customFormat="false" ht="15" hidden="false" customHeight="false" outlineLevel="0" collapsed="false">
      <c r="A1804" s="59" t="s">
        <v>106</v>
      </c>
      <c r="B1804" s="59" t="s">
        <v>418</v>
      </c>
      <c r="C1804" s="60" t="n">
        <v>435.6</v>
      </c>
      <c r="D1804" s="59" t="n">
        <f aca="false">COUNTIFS($A$2:$A$1931,A1804,$C$2:$C$1931,"&gt;"&amp;C1804)+COUNTIFS($A$2:A1804,A1804,$C$2:C1804,C1804)</f>
        <v>7</v>
      </c>
      <c r="E1804" s="59" t="str">
        <f aca="false">A1804&amp;"|"&amp;D1804</f>
        <v>KOC-Kalamassery SS|7</v>
      </c>
    </row>
    <row r="1805" customFormat="false" ht="15" hidden="false" customHeight="false" outlineLevel="0" collapsed="false">
      <c r="A1805" s="59" t="s">
        <v>106</v>
      </c>
      <c r="B1805" s="59" t="s">
        <v>415</v>
      </c>
      <c r="C1805" s="60" t="n">
        <v>370.85</v>
      </c>
      <c r="D1805" s="59" t="n">
        <f aca="false">COUNTIFS($A$2:$A$1931,A1805,$C$2:$C$1931,"&gt;"&amp;C1805)+COUNTIFS($A$2:A1805,A1805,$C$2:C1805,C1805)</f>
        <v>8</v>
      </c>
      <c r="E1805" s="59" t="str">
        <f aca="false">A1805&amp;"|"&amp;D1805</f>
        <v>KOC-Kalamassery SS|8</v>
      </c>
    </row>
    <row r="1806" customFormat="false" ht="15" hidden="false" customHeight="false" outlineLevel="0" collapsed="false">
      <c r="A1806" s="59" t="s">
        <v>106</v>
      </c>
      <c r="B1806" s="59" t="s">
        <v>412</v>
      </c>
      <c r="C1806" s="60" t="n">
        <v>272.38</v>
      </c>
      <c r="D1806" s="59" t="n">
        <f aca="false">COUNTIFS($A$2:$A$1931,A1806,$C$2:$C$1931,"&gt;"&amp;C1806)+COUNTIFS($A$2:A1806,A1806,$C$2:C1806,C1806)</f>
        <v>9</v>
      </c>
      <c r="E1806" s="59" t="str">
        <f aca="false">A1806&amp;"|"&amp;D1806</f>
        <v>KOC-Kalamassery SS|9</v>
      </c>
    </row>
    <row r="1807" customFormat="false" ht="15" hidden="false" customHeight="false" outlineLevel="0" collapsed="false">
      <c r="A1807" s="59" t="s">
        <v>231</v>
      </c>
      <c r="B1807" s="59" t="s">
        <v>408</v>
      </c>
      <c r="C1807" s="60" t="n">
        <v>1269.38</v>
      </c>
      <c r="D1807" s="59" t="n">
        <f aca="false">COUNTIFS($A$2:$A$1931,A1807,$C$2:$C$1931,"&gt;"&amp;C1807)+COUNTIFS($A$2:A1807,A1807,$C$2:C1807,C1807)</f>
        <v>1</v>
      </c>
      <c r="E1807" s="59" t="str">
        <f aca="false">A1807&amp;"|"&amp;D1807</f>
        <v>KOC-Kaloor|1</v>
      </c>
    </row>
    <row r="1808" customFormat="false" ht="15" hidden="false" customHeight="false" outlineLevel="0" collapsed="false">
      <c r="A1808" s="59" t="s">
        <v>231</v>
      </c>
      <c r="B1808" s="59" t="s">
        <v>416</v>
      </c>
      <c r="C1808" s="60" t="n">
        <v>697.29</v>
      </c>
      <c r="D1808" s="59" t="n">
        <f aca="false">COUNTIFS($A$2:$A$1931,A1808,$C$2:$C$1931,"&gt;"&amp;C1808)+COUNTIFS($A$2:A1808,A1808,$C$2:C1808,C1808)</f>
        <v>2</v>
      </c>
      <c r="E1808" s="59" t="str">
        <f aca="false">A1808&amp;"|"&amp;D1808</f>
        <v>KOC-Kaloor|2</v>
      </c>
    </row>
    <row r="1809" customFormat="false" ht="15" hidden="false" customHeight="false" outlineLevel="0" collapsed="false">
      <c r="A1809" s="59" t="s">
        <v>231</v>
      </c>
      <c r="B1809" s="59" t="s">
        <v>409</v>
      </c>
      <c r="C1809" s="60" t="n">
        <v>559.24</v>
      </c>
      <c r="D1809" s="59" t="n">
        <f aca="false">COUNTIFS($A$2:$A$1931,A1809,$C$2:$C$1931,"&gt;"&amp;C1809)+COUNTIFS($A$2:A1809,A1809,$C$2:C1809,C1809)</f>
        <v>3</v>
      </c>
      <c r="E1809" s="59" t="str">
        <f aca="false">A1809&amp;"|"&amp;D1809</f>
        <v>KOC-Kaloor|3</v>
      </c>
    </row>
    <row r="1810" customFormat="false" ht="15" hidden="false" customHeight="false" outlineLevel="0" collapsed="false">
      <c r="A1810" s="59" t="s">
        <v>231</v>
      </c>
      <c r="B1810" s="59" t="s">
        <v>415</v>
      </c>
      <c r="C1810" s="60" t="n">
        <v>269.79</v>
      </c>
      <c r="D1810" s="59" t="n">
        <f aca="false">COUNTIFS($A$2:$A$1931,A1810,$C$2:$C$1931,"&gt;"&amp;C1810)+COUNTIFS($A$2:A1810,A1810,$C$2:C1810,C1810)</f>
        <v>4</v>
      </c>
      <c r="E1810" s="59" t="str">
        <f aca="false">A1810&amp;"|"&amp;D1810</f>
        <v>KOC-Kaloor|4</v>
      </c>
    </row>
    <row r="1811" customFormat="false" ht="15" hidden="false" customHeight="false" outlineLevel="0" collapsed="false">
      <c r="A1811" s="59" t="s">
        <v>231</v>
      </c>
      <c r="B1811" s="59" t="s">
        <v>426</v>
      </c>
      <c r="C1811" s="60" t="n">
        <v>174.47</v>
      </c>
      <c r="D1811" s="59" t="n">
        <f aca="false">COUNTIFS($A$2:$A$1931,A1811,$C$2:$C$1931,"&gt;"&amp;C1811)+COUNTIFS($A$2:A1811,A1811,$C$2:C1811,C1811)</f>
        <v>5</v>
      </c>
      <c r="E1811" s="59" t="str">
        <f aca="false">A1811&amp;"|"&amp;D1811</f>
        <v>KOC-Kaloor|5</v>
      </c>
    </row>
    <row r="1812" customFormat="false" ht="15" hidden="false" customHeight="false" outlineLevel="0" collapsed="false">
      <c r="A1812" s="59" t="s">
        <v>231</v>
      </c>
      <c r="B1812" s="59" t="s">
        <v>417</v>
      </c>
      <c r="C1812" s="60" t="n">
        <v>153.5</v>
      </c>
      <c r="D1812" s="59" t="n">
        <f aca="false">COUNTIFS($A$2:$A$1931,A1812,$C$2:$C$1931,"&gt;"&amp;C1812)+COUNTIFS($A$2:A1812,A1812,$C$2:C1812,C1812)</f>
        <v>6</v>
      </c>
      <c r="E1812" s="59" t="str">
        <f aca="false">A1812&amp;"|"&amp;D1812</f>
        <v>KOC-Kaloor|6</v>
      </c>
    </row>
    <row r="1813" customFormat="false" ht="15" hidden="false" customHeight="false" outlineLevel="0" collapsed="false">
      <c r="A1813" s="59" t="s">
        <v>231</v>
      </c>
      <c r="B1813" s="59" t="s">
        <v>418</v>
      </c>
      <c r="C1813" s="60" t="n">
        <v>94.9</v>
      </c>
      <c r="D1813" s="59" t="n">
        <f aca="false">COUNTIFS($A$2:$A$1931,A1813,$C$2:$C$1931,"&gt;"&amp;C1813)+COUNTIFS($A$2:A1813,A1813,$C$2:C1813,C1813)</f>
        <v>7</v>
      </c>
      <c r="E1813" s="59" t="str">
        <f aca="false">A1813&amp;"|"&amp;D1813</f>
        <v>KOC-Kaloor|7</v>
      </c>
    </row>
    <row r="1814" customFormat="false" ht="15" hidden="false" customHeight="false" outlineLevel="0" collapsed="false">
      <c r="A1814" s="59" t="s">
        <v>231</v>
      </c>
      <c r="B1814" s="59" t="s">
        <v>407</v>
      </c>
      <c r="C1814" s="60" t="n">
        <v>25.48</v>
      </c>
      <c r="D1814" s="59" t="n">
        <f aca="false">COUNTIFS($A$2:$A$1931,A1814,$C$2:$C$1931,"&gt;"&amp;C1814)+COUNTIFS($A$2:A1814,A1814,$C$2:C1814,C1814)</f>
        <v>8</v>
      </c>
      <c r="E1814" s="59" t="str">
        <f aca="false">A1814&amp;"|"&amp;D1814</f>
        <v>KOC-Kaloor|8</v>
      </c>
    </row>
    <row r="1815" customFormat="false" ht="15" hidden="false" customHeight="false" outlineLevel="0" collapsed="false">
      <c r="A1815" s="59" t="s">
        <v>158</v>
      </c>
      <c r="B1815" s="59" t="s">
        <v>412</v>
      </c>
      <c r="C1815" s="60" t="n">
        <v>11359.41</v>
      </c>
      <c r="D1815" s="59" t="n">
        <f aca="false">COUNTIFS($A$2:$A$1931,A1815,$C$2:$C$1931,"&gt;"&amp;C1815)+COUNTIFS($A$2:A1815,A1815,$C$2:C1815,C1815)</f>
        <v>1</v>
      </c>
      <c r="E1815" s="59" t="str">
        <f aca="false">A1815&amp;"|"&amp;D1815</f>
        <v>KOC-PALLURTHY|1</v>
      </c>
    </row>
    <row r="1816" customFormat="false" ht="15" hidden="false" customHeight="false" outlineLevel="0" collapsed="false">
      <c r="A1816" s="59" t="s">
        <v>158</v>
      </c>
      <c r="B1816" s="59" t="s">
        <v>420</v>
      </c>
      <c r="C1816" s="60" t="n">
        <v>1273.16</v>
      </c>
      <c r="D1816" s="59" t="n">
        <f aca="false">COUNTIFS($A$2:$A$1931,A1816,$C$2:$C$1931,"&gt;"&amp;C1816)+COUNTIFS($A$2:A1816,A1816,$C$2:C1816,C1816)</f>
        <v>2</v>
      </c>
      <c r="E1816" s="59" t="str">
        <f aca="false">A1816&amp;"|"&amp;D1816</f>
        <v>KOC-PALLURTHY|2</v>
      </c>
    </row>
    <row r="1817" customFormat="false" ht="15" hidden="false" customHeight="false" outlineLevel="0" collapsed="false">
      <c r="A1817" s="59" t="s">
        <v>158</v>
      </c>
      <c r="B1817" s="59" t="s">
        <v>418</v>
      </c>
      <c r="C1817" s="60" t="n">
        <v>933.42</v>
      </c>
      <c r="D1817" s="59" t="n">
        <f aca="false">COUNTIFS($A$2:$A$1931,A1817,$C$2:$C$1931,"&gt;"&amp;C1817)+COUNTIFS($A$2:A1817,A1817,$C$2:C1817,C1817)</f>
        <v>3</v>
      </c>
      <c r="E1817" s="59" t="str">
        <f aca="false">A1817&amp;"|"&amp;D1817</f>
        <v>KOC-PALLURTHY|3</v>
      </c>
    </row>
    <row r="1818" customFormat="false" ht="15" hidden="false" customHeight="false" outlineLevel="0" collapsed="false">
      <c r="A1818" s="59" t="s">
        <v>158</v>
      </c>
      <c r="B1818" s="59" t="s">
        <v>424</v>
      </c>
      <c r="C1818" s="60" t="n">
        <v>502.64</v>
      </c>
      <c r="D1818" s="59" t="n">
        <f aca="false">COUNTIFS($A$2:$A$1931,A1818,$C$2:$C$1931,"&gt;"&amp;C1818)+COUNTIFS($A$2:A1818,A1818,$C$2:C1818,C1818)</f>
        <v>4</v>
      </c>
      <c r="E1818" s="59" t="str">
        <f aca="false">A1818&amp;"|"&amp;D1818</f>
        <v>KOC-PALLURTHY|4</v>
      </c>
    </row>
    <row r="1819" customFormat="false" ht="15" hidden="false" customHeight="false" outlineLevel="0" collapsed="false">
      <c r="A1819" s="59" t="s">
        <v>158</v>
      </c>
      <c r="B1819" s="59" t="s">
        <v>409</v>
      </c>
      <c r="C1819" s="60" t="n">
        <v>408.55</v>
      </c>
      <c r="D1819" s="59" t="n">
        <f aca="false">COUNTIFS($A$2:$A$1931,A1819,$C$2:$C$1931,"&gt;"&amp;C1819)+COUNTIFS($A$2:A1819,A1819,$C$2:C1819,C1819)</f>
        <v>5</v>
      </c>
      <c r="E1819" s="59" t="str">
        <f aca="false">A1819&amp;"|"&amp;D1819</f>
        <v>KOC-PALLURTHY|5</v>
      </c>
    </row>
    <row r="1820" customFormat="false" ht="15" hidden="false" customHeight="false" outlineLevel="0" collapsed="false">
      <c r="A1820" s="59" t="s">
        <v>158</v>
      </c>
      <c r="B1820" s="59" t="s">
        <v>419</v>
      </c>
      <c r="C1820" s="60" t="n">
        <v>243.92</v>
      </c>
      <c r="D1820" s="59" t="n">
        <f aca="false">COUNTIFS($A$2:$A$1931,A1820,$C$2:$C$1931,"&gt;"&amp;C1820)+COUNTIFS($A$2:A1820,A1820,$C$2:C1820,C1820)</f>
        <v>6</v>
      </c>
      <c r="E1820" s="59" t="str">
        <f aca="false">A1820&amp;"|"&amp;D1820</f>
        <v>KOC-PALLURTHY|6</v>
      </c>
    </row>
    <row r="1821" customFormat="false" ht="15" hidden="false" customHeight="false" outlineLevel="0" collapsed="false">
      <c r="A1821" s="59" t="s">
        <v>158</v>
      </c>
      <c r="B1821" s="59" t="s">
        <v>416</v>
      </c>
      <c r="C1821" s="60" t="n">
        <v>196.28</v>
      </c>
      <c r="D1821" s="59" t="n">
        <f aca="false">COUNTIFS($A$2:$A$1931,A1821,$C$2:$C$1931,"&gt;"&amp;C1821)+COUNTIFS($A$2:A1821,A1821,$C$2:C1821,C1821)</f>
        <v>7</v>
      </c>
      <c r="E1821" s="59" t="str">
        <f aca="false">A1821&amp;"|"&amp;D1821</f>
        <v>KOC-PALLURTHY|7</v>
      </c>
    </row>
    <row r="1822" customFormat="false" ht="15" hidden="false" customHeight="false" outlineLevel="0" collapsed="false">
      <c r="A1822" s="59" t="s">
        <v>158</v>
      </c>
      <c r="B1822" s="59" t="s">
        <v>415</v>
      </c>
      <c r="C1822" s="60" t="n">
        <v>178.86</v>
      </c>
      <c r="D1822" s="59" t="n">
        <f aca="false">COUNTIFS($A$2:$A$1931,A1822,$C$2:$C$1931,"&gt;"&amp;C1822)+COUNTIFS($A$2:A1822,A1822,$C$2:C1822,C1822)</f>
        <v>8</v>
      </c>
      <c r="E1822" s="59" t="str">
        <f aca="false">A1822&amp;"|"&amp;D1822</f>
        <v>KOC-PALLURTHY|8</v>
      </c>
    </row>
    <row r="1823" customFormat="false" ht="15" hidden="false" customHeight="false" outlineLevel="0" collapsed="false">
      <c r="A1823" s="59" t="s">
        <v>158</v>
      </c>
      <c r="B1823" s="59" t="s">
        <v>426</v>
      </c>
      <c r="C1823" s="60" t="n">
        <v>1.6</v>
      </c>
      <c r="D1823" s="59" t="n">
        <f aca="false">COUNTIFS($A$2:$A$1931,A1823,$C$2:$C$1931,"&gt;"&amp;C1823)+COUNTIFS($A$2:A1823,A1823,$C$2:C1823,C1823)</f>
        <v>9</v>
      </c>
      <c r="E1823" s="59" t="str">
        <f aca="false">A1823&amp;"|"&amp;D1823</f>
        <v>KOC-PALLURTHY|9</v>
      </c>
    </row>
    <row r="1824" customFormat="false" ht="15" hidden="false" customHeight="false" outlineLevel="0" collapsed="false">
      <c r="A1824" s="59" t="s">
        <v>153</v>
      </c>
      <c r="B1824" s="59" t="s">
        <v>408</v>
      </c>
      <c r="C1824" s="60" t="n">
        <v>3159.35</v>
      </c>
      <c r="D1824" s="59" t="n">
        <f aca="false">COUNTIFS($A$2:$A$1931,A1824,$C$2:$C$1931,"&gt;"&amp;C1824)+COUNTIFS($A$2:A1824,A1824,$C$2:C1824,C1824)</f>
        <v>1</v>
      </c>
      <c r="E1824" s="59" t="str">
        <f aca="false">A1824&amp;"|"&amp;D1824</f>
        <v>KOC-Thengod|1</v>
      </c>
    </row>
    <row r="1825" customFormat="false" ht="15" hidden="false" customHeight="false" outlineLevel="0" collapsed="false">
      <c r="A1825" s="59" t="s">
        <v>153</v>
      </c>
      <c r="B1825" s="59" t="s">
        <v>431</v>
      </c>
      <c r="C1825" s="60" t="n">
        <v>1268.78</v>
      </c>
      <c r="D1825" s="59" t="n">
        <f aca="false">COUNTIFS($A$2:$A$1931,A1825,$C$2:$C$1931,"&gt;"&amp;C1825)+COUNTIFS($A$2:A1825,A1825,$C$2:C1825,C1825)</f>
        <v>2</v>
      </c>
      <c r="E1825" s="59" t="str">
        <f aca="false">A1825&amp;"|"&amp;D1825</f>
        <v>KOC-Thengod|2</v>
      </c>
    </row>
    <row r="1826" customFormat="false" ht="15" hidden="false" customHeight="false" outlineLevel="0" collapsed="false">
      <c r="A1826" s="59" t="s">
        <v>153</v>
      </c>
      <c r="B1826" s="59" t="s">
        <v>411</v>
      </c>
      <c r="C1826" s="60" t="n">
        <v>1159.65</v>
      </c>
      <c r="D1826" s="59" t="n">
        <f aca="false">COUNTIFS($A$2:$A$1931,A1826,$C$2:$C$1931,"&gt;"&amp;C1826)+COUNTIFS($A$2:A1826,A1826,$C$2:C1826,C1826)</f>
        <v>3</v>
      </c>
      <c r="E1826" s="59" t="str">
        <f aca="false">A1826&amp;"|"&amp;D1826</f>
        <v>KOC-Thengod|3</v>
      </c>
    </row>
    <row r="1827" customFormat="false" ht="15" hidden="false" customHeight="false" outlineLevel="0" collapsed="false">
      <c r="A1827" s="59" t="s">
        <v>153</v>
      </c>
      <c r="B1827" s="59" t="s">
        <v>417</v>
      </c>
      <c r="C1827" s="60" t="n">
        <v>1144.74</v>
      </c>
      <c r="D1827" s="59" t="n">
        <f aca="false">COUNTIFS($A$2:$A$1931,A1827,$C$2:$C$1931,"&gt;"&amp;C1827)+COUNTIFS($A$2:A1827,A1827,$C$2:C1827,C1827)</f>
        <v>4</v>
      </c>
      <c r="E1827" s="59" t="str">
        <f aca="false">A1827&amp;"|"&amp;D1827</f>
        <v>KOC-Thengod|4</v>
      </c>
    </row>
    <row r="1828" customFormat="false" ht="15" hidden="false" customHeight="false" outlineLevel="0" collapsed="false">
      <c r="A1828" s="59" t="s">
        <v>153</v>
      </c>
      <c r="B1828" s="59" t="s">
        <v>426</v>
      </c>
      <c r="C1828" s="60" t="n">
        <v>780.1</v>
      </c>
      <c r="D1828" s="59" t="n">
        <f aca="false">COUNTIFS($A$2:$A$1931,A1828,$C$2:$C$1931,"&gt;"&amp;C1828)+COUNTIFS($A$2:A1828,A1828,$C$2:C1828,C1828)</f>
        <v>5</v>
      </c>
      <c r="E1828" s="59" t="str">
        <f aca="false">A1828&amp;"|"&amp;D1828</f>
        <v>KOC-Thengod|5</v>
      </c>
    </row>
    <row r="1829" customFormat="false" ht="15" hidden="false" customHeight="false" outlineLevel="0" collapsed="false">
      <c r="A1829" s="59" t="s">
        <v>153</v>
      </c>
      <c r="B1829" s="59" t="s">
        <v>420</v>
      </c>
      <c r="C1829" s="60" t="n">
        <v>758.78</v>
      </c>
      <c r="D1829" s="59" t="n">
        <f aca="false">COUNTIFS($A$2:$A$1931,A1829,$C$2:$C$1931,"&gt;"&amp;C1829)+COUNTIFS($A$2:A1829,A1829,$C$2:C1829,C1829)</f>
        <v>6</v>
      </c>
      <c r="E1829" s="59" t="str">
        <f aca="false">A1829&amp;"|"&amp;D1829</f>
        <v>KOC-Thengod|6</v>
      </c>
    </row>
    <row r="1830" customFormat="false" ht="15" hidden="false" customHeight="false" outlineLevel="0" collapsed="false">
      <c r="A1830" s="59" t="s">
        <v>153</v>
      </c>
      <c r="B1830" s="59" t="s">
        <v>418</v>
      </c>
      <c r="C1830" s="60" t="n">
        <v>720.4</v>
      </c>
      <c r="D1830" s="59" t="n">
        <f aca="false">COUNTIFS($A$2:$A$1931,A1830,$C$2:$C$1931,"&gt;"&amp;C1830)+COUNTIFS($A$2:A1830,A1830,$C$2:C1830,C1830)</f>
        <v>7</v>
      </c>
      <c r="E1830" s="59" t="str">
        <f aca="false">A1830&amp;"|"&amp;D1830</f>
        <v>KOC-Thengod|7</v>
      </c>
    </row>
    <row r="1831" customFormat="false" ht="15" hidden="false" customHeight="false" outlineLevel="0" collapsed="false">
      <c r="A1831" s="59" t="s">
        <v>153</v>
      </c>
      <c r="B1831" s="59" t="s">
        <v>409</v>
      </c>
      <c r="C1831" s="60" t="n">
        <v>704.57</v>
      </c>
      <c r="D1831" s="59" t="n">
        <f aca="false">COUNTIFS($A$2:$A$1931,A1831,$C$2:$C$1931,"&gt;"&amp;C1831)+COUNTIFS($A$2:A1831,A1831,$C$2:C1831,C1831)</f>
        <v>8</v>
      </c>
      <c r="E1831" s="59" t="str">
        <f aca="false">A1831&amp;"|"&amp;D1831</f>
        <v>KOC-Thengod|8</v>
      </c>
    </row>
    <row r="1832" customFormat="false" ht="15" hidden="false" customHeight="false" outlineLevel="0" collapsed="false">
      <c r="A1832" s="59" t="s">
        <v>153</v>
      </c>
      <c r="B1832" s="59" t="s">
        <v>412</v>
      </c>
      <c r="C1832" s="60" t="n">
        <v>680.22</v>
      </c>
      <c r="D1832" s="59" t="n">
        <f aca="false">COUNTIFS($A$2:$A$1931,A1832,$C$2:$C$1931,"&gt;"&amp;C1832)+COUNTIFS($A$2:A1832,A1832,$C$2:C1832,C1832)</f>
        <v>9</v>
      </c>
      <c r="E1832" s="59" t="str">
        <f aca="false">A1832&amp;"|"&amp;D1832</f>
        <v>KOC-Thengod|9</v>
      </c>
    </row>
    <row r="1833" customFormat="false" ht="15" hidden="false" customHeight="false" outlineLevel="0" collapsed="false">
      <c r="A1833" s="59" t="s">
        <v>153</v>
      </c>
      <c r="B1833" s="59" t="s">
        <v>413</v>
      </c>
      <c r="C1833" s="60" t="n">
        <v>416.4</v>
      </c>
      <c r="D1833" s="59" t="n">
        <f aca="false">COUNTIFS($A$2:$A$1931,A1833,$C$2:$C$1931,"&gt;"&amp;C1833)+COUNTIFS($A$2:A1833,A1833,$C$2:C1833,C1833)</f>
        <v>10</v>
      </c>
      <c r="E1833" s="59" t="str">
        <f aca="false">A1833&amp;"|"&amp;D1833</f>
        <v>KOC-Thengod|10</v>
      </c>
    </row>
    <row r="1834" customFormat="false" ht="15" hidden="false" customHeight="false" outlineLevel="0" collapsed="false">
      <c r="A1834" s="59" t="s">
        <v>153</v>
      </c>
      <c r="B1834" s="59" t="s">
        <v>410</v>
      </c>
      <c r="C1834" s="60" t="n">
        <v>352.62</v>
      </c>
      <c r="D1834" s="59" t="n">
        <f aca="false">COUNTIFS($A$2:$A$1931,A1834,$C$2:$C$1931,"&gt;"&amp;C1834)+COUNTIFS($A$2:A1834,A1834,$C$2:C1834,C1834)</f>
        <v>11</v>
      </c>
      <c r="E1834" s="59" t="str">
        <f aca="false">A1834&amp;"|"&amp;D1834</f>
        <v>KOC-Thengod|11</v>
      </c>
    </row>
    <row r="1835" customFormat="false" ht="15" hidden="false" customHeight="false" outlineLevel="0" collapsed="false">
      <c r="A1835" s="59" t="s">
        <v>153</v>
      </c>
      <c r="B1835" s="59" t="s">
        <v>415</v>
      </c>
      <c r="C1835" s="60" t="n">
        <v>337.87</v>
      </c>
      <c r="D1835" s="59" t="n">
        <f aca="false">COUNTIFS($A$2:$A$1931,A1835,$C$2:$C$1931,"&gt;"&amp;C1835)+COUNTIFS($A$2:A1835,A1835,$C$2:C1835,C1835)</f>
        <v>12</v>
      </c>
      <c r="E1835" s="59" t="str">
        <f aca="false">A1835&amp;"|"&amp;D1835</f>
        <v>KOC-Thengod|12</v>
      </c>
    </row>
    <row r="1836" customFormat="false" ht="15" hidden="false" customHeight="false" outlineLevel="0" collapsed="false">
      <c r="A1836" s="59" t="s">
        <v>153</v>
      </c>
      <c r="B1836" s="59" t="s">
        <v>414</v>
      </c>
      <c r="C1836" s="60" t="n">
        <v>132.68</v>
      </c>
      <c r="D1836" s="59" t="n">
        <f aca="false">COUNTIFS($A$2:$A$1931,A1836,$C$2:$C$1931,"&gt;"&amp;C1836)+COUNTIFS($A$2:A1836,A1836,$C$2:C1836,C1836)</f>
        <v>13</v>
      </c>
      <c r="E1836" s="59" t="str">
        <f aca="false">A1836&amp;"|"&amp;D1836</f>
        <v>KOC-Thengod|13</v>
      </c>
    </row>
    <row r="1837" customFormat="false" ht="15" hidden="false" customHeight="false" outlineLevel="0" collapsed="false">
      <c r="A1837" s="59" t="s">
        <v>153</v>
      </c>
      <c r="B1837" s="59" t="s">
        <v>416</v>
      </c>
      <c r="C1837" s="60" t="n">
        <v>100</v>
      </c>
      <c r="D1837" s="59" t="n">
        <f aca="false">COUNTIFS($A$2:$A$1931,A1837,$C$2:$C$1931,"&gt;"&amp;C1837)+COUNTIFS($A$2:A1837,A1837,$C$2:C1837,C1837)</f>
        <v>14</v>
      </c>
      <c r="E1837" s="59" t="str">
        <f aca="false">A1837&amp;"|"&amp;D1837</f>
        <v>KOC-Thengod|14</v>
      </c>
    </row>
    <row r="1838" customFormat="false" ht="15" hidden="false" customHeight="false" outlineLevel="0" collapsed="false">
      <c r="A1838" s="59" t="s">
        <v>153</v>
      </c>
      <c r="B1838" s="59" t="s">
        <v>419</v>
      </c>
      <c r="C1838" s="60" t="n">
        <v>26.48</v>
      </c>
      <c r="D1838" s="59" t="n">
        <f aca="false">COUNTIFS($A$2:$A$1931,A1838,$C$2:$C$1931,"&gt;"&amp;C1838)+COUNTIFS($A$2:A1838,A1838,$C$2:C1838,C1838)</f>
        <v>15</v>
      </c>
      <c r="E1838" s="59" t="str">
        <f aca="false">A1838&amp;"|"&amp;D1838</f>
        <v>KOC-Thengod|15</v>
      </c>
    </row>
    <row r="1839" customFormat="false" ht="15" hidden="false" customHeight="false" outlineLevel="0" collapsed="false">
      <c r="A1839" s="59" t="s">
        <v>216</v>
      </c>
      <c r="B1839" s="59" t="s">
        <v>412</v>
      </c>
      <c r="C1839" s="60" t="n">
        <v>1078.19</v>
      </c>
      <c r="D1839" s="59" t="n">
        <f aca="false">COUNTIFS($A$2:$A$1931,A1839,$C$2:$C$1931,"&gt;"&amp;C1839)+COUNTIFS($A$2:A1839,A1839,$C$2:C1839,C1839)</f>
        <v>1</v>
      </c>
      <c r="E1839" s="59" t="str">
        <f aca="false">A1839&amp;"|"&amp;D1839</f>
        <v>KOC-Thrippunithura|1</v>
      </c>
    </row>
    <row r="1840" customFormat="false" ht="15" hidden="false" customHeight="false" outlineLevel="0" collapsed="false">
      <c r="A1840" s="59" t="s">
        <v>216</v>
      </c>
      <c r="B1840" s="59" t="s">
        <v>420</v>
      </c>
      <c r="C1840" s="60" t="n">
        <v>495.65</v>
      </c>
      <c r="D1840" s="59" t="n">
        <f aca="false">COUNTIFS($A$2:$A$1931,A1840,$C$2:$C$1931,"&gt;"&amp;C1840)+COUNTIFS($A$2:A1840,A1840,$C$2:C1840,C1840)</f>
        <v>2</v>
      </c>
      <c r="E1840" s="59" t="str">
        <f aca="false">A1840&amp;"|"&amp;D1840</f>
        <v>KOC-Thrippunithura|2</v>
      </c>
    </row>
    <row r="1841" customFormat="false" ht="15" hidden="false" customHeight="false" outlineLevel="0" collapsed="false">
      <c r="A1841" s="59" t="s">
        <v>216</v>
      </c>
      <c r="B1841" s="59" t="s">
        <v>415</v>
      </c>
      <c r="C1841" s="60" t="n">
        <v>242.19</v>
      </c>
      <c r="D1841" s="59" t="n">
        <f aca="false">COUNTIFS($A$2:$A$1931,A1841,$C$2:$C$1931,"&gt;"&amp;C1841)+COUNTIFS($A$2:A1841,A1841,$C$2:C1841,C1841)</f>
        <v>3</v>
      </c>
      <c r="E1841" s="59" t="str">
        <f aca="false">A1841&amp;"|"&amp;D1841</f>
        <v>KOC-Thrippunithura|3</v>
      </c>
    </row>
    <row r="1842" customFormat="false" ht="15" hidden="false" customHeight="false" outlineLevel="0" collapsed="false">
      <c r="A1842" s="59" t="s">
        <v>216</v>
      </c>
      <c r="B1842" s="59" t="s">
        <v>410</v>
      </c>
      <c r="C1842" s="60" t="n">
        <v>213.82</v>
      </c>
      <c r="D1842" s="59" t="n">
        <f aca="false">COUNTIFS($A$2:$A$1931,A1842,$C$2:$C$1931,"&gt;"&amp;C1842)+COUNTIFS($A$2:A1842,A1842,$C$2:C1842,C1842)</f>
        <v>4</v>
      </c>
      <c r="E1842" s="59" t="str">
        <f aca="false">A1842&amp;"|"&amp;D1842</f>
        <v>KOC-Thrippunithura|4</v>
      </c>
    </row>
    <row r="1843" customFormat="false" ht="15" hidden="false" customHeight="false" outlineLevel="0" collapsed="false">
      <c r="A1843" s="59" t="s">
        <v>216</v>
      </c>
      <c r="B1843" s="59" t="s">
        <v>416</v>
      </c>
      <c r="C1843" s="60" t="n">
        <v>188.81</v>
      </c>
      <c r="D1843" s="59" t="n">
        <f aca="false">COUNTIFS($A$2:$A$1931,A1843,$C$2:$C$1931,"&gt;"&amp;C1843)+COUNTIFS($A$2:A1843,A1843,$C$2:C1843,C1843)</f>
        <v>5</v>
      </c>
      <c r="E1843" s="59" t="str">
        <f aca="false">A1843&amp;"|"&amp;D1843</f>
        <v>KOC-Thrippunithura|5</v>
      </c>
    </row>
    <row r="1844" customFormat="false" ht="15" hidden="false" customHeight="false" outlineLevel="0" collapsed="false">
      <c r="A1844" s="59" t="s">
        <v>216</v>
      </c>
      <c r="B1844" s="59" t="s">
        <v>431</v>
      </c>
      <c r="C1844" s="60" t="n">
        <v>138.63</v>
      </c>
      <c r="D1844" s="59" t="n">
        <f aca="false">COUNTIFS($A$2:$A$1931,A1844,$C$2:$C$1931,"&gt;"&amp;C1844)+COUNTIFS($A$2:A1844,A1844,$C$2:C1844,C1844)</f>
        <v>6</v>
      </c>
      <c r="E1844" s="59" t="str">
        <f aca="false">A1844&amp;"|"&amp;D1844</f>
        <v>KOC-Thrippunithura|6</v>
      </c>
    </row>
    <row r="1845" customFormat="false" ht="15" hidden="false" customHeight="false" outlineLevel="0" collapsed="false">
      <c r="A1845" s="59" t="s">
        <v>216</v>
      </c>
      <c r="B1845" s="59" t="s">
        <v>426</v>
      </c>
      <c r="C1845" s="60" t="n">
        <v>55.33</v>
      </c>
      <c r="D1845" s="59" t="n">
        <f aca="false">COUNTIFS($A$2:$A$1931,A1845,$C$2:$C$1931,"&gt;"&amp;C1845)+COUNTIFS($A$2:A1845,A1845,$C$2:C1845,C1845)</f>
        <v>7</v>
      </c>
      <c r="E1845" s="59" t="str">
        <f aca="false">A1845&amp;"|"&amp;D1845</f>
        <v>KOC-Thrippunithura|7</v>
      </c>
    </row>
    <row r="1846" customFormat="false" ht="15" hidden="false" customHeight="false" outlineLevel="0" collapsed="false">
      <c r="A1846" s="59" t="s">
        <v>219</v>
      </c>
      <c r="B1846" s="59" t="s">
        <v>413</v>
      </c>
      <c r="C1846" s="60" t="n">
        <v>2243.61</v>
      </c>
      <c r="D1846" s="59" t="n">
        <f aca="false">COUNTIFS($A$2:$A$1931,A1846,$C$2:$C$1931,"&gt;"&amp;C1846)+COUNTIFS($A$2:A1846,A1846,$C$2:C1846,C1846)</f>
        <v>1</v>
      </c>
      <c r="E1846" s="59" t="str">
        <f aca="false">A1846&amp;"|"&amp;D1846</f>
        <v>KOC-Vallathol Padi|1</v>
      </c>
    </row>
    <row r="1847" customFormat="false" ht="15" hidden="false" customHeight="false" outlineLevel="0" collapsed="false">
      <c r="A1847" s="59" t="s">
        <v>219</v>
      </c>
      <c r="B1847" s="59" t="s">
        <v>426</v>
      </c>
      <c r="C1847" s="60" t="n">
        <v>1601.48</v>
      </c>
      <c r="D1847" s="59" t="n">
        <f aca="false">COUNTIFS($A$2:$A$1931,A1847,$C$2:$C$1931,"&gt;"&amp;C1847)+COUNTIFS($A$2:A1847,A1847,$C$2:C1847,C1847)</f>
        <v>2</v>
      </c>
      <c r="E1847" s="59" t="str">
        <f aca="false">A1847&amp;"|"&amp;D1847</f>
        <v>KOC-Vallathol Padi|2</v>
      </c>
    </row>
    <row r="1848" customFormat="false" ht="15" hidden="false" customHeight="false" outlineLevel="0" collapsed="false">
      <c r="A1848" s="59" t="s">
        <v>219</v>
      </c>
      <c r="B1848" s="59" t="s">
        <v>424</v>
      </c>
      <c r="C1848" s="60" t="n">
        <v>1340.87</v>
      </c>
      <c r="D1848" s="59" t="n">
        <f aca="false">COUNTIFS($A$2:$A$1931,A1848,$C$2:$C$1931,"&gt;"&amp;C1848)+COUNTIFS($A$2:A1848,A1848,$C$2:C1848,C1848)</f>
        <v>3</v>
      </c>
      <c r="E1848" s="59" t="str">
        <f aca="false">A1848&amp;"|"&amp;D1848</f>
        <v>KOC-Vallathol Padi|3</v>
      </c>
    </row>
    <row r="1849" customFormat="false" ht="15" hidden="false" customHeight="false" outlineLevel="0" collapsed="false">
      <c r="A1849" s="59" t="s">
        <v>219</v>
      </c>
      <c r="B1849" s="59" t="s">
        <v>420</v>
      </c>
      <c r="C1849" s="60" t="n">
        <v>492.84</v>
      </c>
      <c r="D1849" s="59" t="n">
        <f aca="false">COUNTIFS($A$2:$A$1931,A1849,$C$2:$C$1931,"&gt;"&amp;C1849)+COUNTIFS($A$2:A1849,A1849,$C$2:C1849,C1849)</f>
        <v>4</v>
      </c>
      <c r="E1849" s="59" t="str">
        <f aca="false">A1849&amp;"|"&amp;D1849</f>
        <v>KOC-Vallathol Padi|4</v>
      </c>
    </row>
    <row r="1850" customFormat="false" ht="15" hidden="false" customHeight="false" outlineLevel="0" collapsed="false">
      <c r="A1850" s="59" t="s">
        <v>219</v>
      </c>
      <c r="B1850" s="59" t="s">
        <v>408</v>
      </c>
      <c r="C1850" s="60" t="n">
        <v>411.86</v>
      </c>
      <c r="D1850" s="59" t="n">
        <f aca="false">COUNTIFS($A$2:$A$1931,A1850,$C$2:$C$1931,"&gt;"&amp;C1850)+COUNTIFS($A$2:A1850,A1850,$C$2:C1850,C1850)</f>
        <v>5</v>
      </c>
      <c r="E1850" s="59" t="str">
        <f aca="false">A1850&amp;"|"&amp;D1850</f>
        <v>KOC-Vallathol Padi|5</v>
      </c>
    </row>
    <row r="1851" customFormat="false" ht="15" hidden="false" customHeight="false" outlineLevel="0" collapsed="false">
      <c r="A1851" s="59" t="s">
        <v>219</v>
      </c>
      <c r="B1851" s="59" t="s">
        <v>419</v>
      </c>
      <c r="C1851" s="60" t="n">
        <v>343.09</v>
      </c>
      <c r="D1851" s="59" t="n">
        <f aca="false">COUNTIFS($A$2:$A$1931,A1851,$C$2:$C$1931,"&gt;"&amp;C1851)+COUNTIFS($A$2:A1851,A1851,$C$2:C1851,C1851)</f>
        <v>6</v>
      </c>
      <c r="E1851" s="59" t="str">
        <f aca="false">A1851&amp;"|"&amp;D1851</f>
        <v>KOC-Vallathol Padi|6</v>
      </c>
    </row>
    <row r="1852" customFormat="false" ht="15" hidden="false" customHeight="false" outlineLevel="0" collapsed="false">
      <c r="A1852" s="59" t="s">
        <v>178</v>
      </c>
      <c r="B1852" s="59" t="s">
        <v>420</v>
      </c>
      <c r="C1852" s="60" t="n">
        <v>665.32</v>
      </c>
      <c r="D1852" s="59" t="n">
        <f aca="false">COUNTIFS($A$2:$A$1931,A1852,$C$2:$C$1931,"&gt;"&amp;C1852)+COUNTIFS($A$2:A1852,A1852,$C$2:C1852,C1852)</f>
        <v>1</v>
      </c>
      <c r="E1852" s="59" t="str">
        <f aca="false">A1852&amp;"|"&amp;D1852</f>
        <v>MYQ-Bogadi|1</v>
      </c>
    </row>
    <row r="1853" customFormat="false" ht="15" hidden="false" customHeight="false" outlineLevel="0" collapsed="false">
      <c r="A1853" s="59" t="s">
        <v>178</v>
      </c>
      <c r="B1853" s="59" t="s">
        <v>413</v>
      </c>
      <c r="C1853" s="60" t="n">
        <v>617.36</v>
      </c>
      <c r="D1853" s="59" t="n">
        <f aca="false">COUNTIFS($A$2:$A$1931,A1853,$C$2:$C$1931,"&gt;"&amp;C1853)+COUNTIFS($A$2:A1853,A1853,$C$2:C1853,C1853)</f>
        <v>2</v>
      </c>
      <c r="E1853" s="59" t="str">
        <f aca="false">A1853&amp;"|"&amp;D1853</f>
        <v>MYQ-Bogadi|2</v>
      </c>
    </row>
    <row r="1854" customFormat="false" ht="15" hidden="false" customHeight="false" outlineLevel="0" collapsed="false">
      <c r="A1854" s="59" t="s">
        <v>280</v>
      </c>
      <c r="B1854" s="59" t="s">
        <v>426</v>
      </c>
      <c r="C1854" s="60" t="n">
        <v>4018.72</v>
      </c>
      <c r="D1854" s="59" t="n">
        <f aca="false">COUNTIFS($A$2:$A$1931,A1854,$C$2:$C$1931,"&gt;"&amp;C1854)+COUNTIFS($A$2:A1854,A1854,$C$2:C1854,C1854)</f>
        <v>1</v>
      </c>
      <c r="E1854" s="59" t="str">
        <f aca="false">A1854&amp;"|"&amp;D1854</f>
        <v>MYQ-Chamrajpura|1</v>
      </c>
    </row>
    <row r="1855" customFormat="false" ht="15" hidden="false" customHeight="false" outlineLevel="0" collapsed="false">
      <c r="A1855" s="59" t="s">
        <v>280</v>
      </c>
      <c r="B1855" s="59" t="s">
        <v>418</v>
      </c>
      <c r="C1855" s="60" t="n">
        <v>1402.44</v>
      </c>
      <c r="D1855" s="59" t="n">
        <f aca="false">COUNTIFS($A$2:$A$1931,A1855,$C$2:$C$1931,"&gt;"&amp;C1855)+COUNTIFS($A$2:A1855,A1855,$C$2:C1855,C1855)</f>
        <v>2</v>
      </c>
      <c r="E1855" s="59" t="str">
        <f aca="false">A1855&amp;"|"&amp;D1855</f>
        <v>MYQ-Chamrajpura|2</v>
      </c>
    </row>
    <row r="1856" customFormat="false" ht="15" hidden="false" customHeight="false" outlineLevel="0" collapsed="false">
      <c r="A1856" s="59" t="s">
        <v>280</v>
      </c>
      <c r="B1856" s="59" t="s">
        <v>431</v>
      </c>
      <c r="C1856" s="60" t="n">
        <v>275.95</v>
      </c>
      <c r="D1856" s="59" t="n">
        <f aca="false">COUNTIFS($A$2:$A$1931,A1856,$C$2:$C$1931,"&gt;"&amp;C1856)+COUNTIFS($A$2:A1856,A1856,$C$2:C1856,C1856)</f>
        <v>3</v>
      </c>
      <c r="E1856" s="59" t="str">
        <f aca="false">A1856&amp;"|"&amp;D1856</f>
        <v>MYQ-Chamrajpura|3</v>
      </c>
    </row>
    <row r="1857" customFormat="false" ht="15" hidden="false" customHeight="false" outlineLevel="0" collapsed="false">
      <c r="A1857" s="59" t="s">
        <v>280</v>
      </c>
      <c r="B1857" s="59" t="s">
        <v>423</v>
      </c>
      <c r="C1857" s="60" t="n">
        <v>205.25</v>
      </c>
      <c r="D1857" s="59" t="n">
        <f aca="false">COUNTIFS($A$2:$A$1931,A1857,$C$2:$C$1931,"&gt;"&amp;C1857)+COUNTIFS($A$2:A1857,A1857,$C$2:C1857,C1857)</f>
        <v>4</v>
      </c>
      <c r="E1857" s="59" t="str">
        <f aca="false">A1857&amp;"|"&amp;D1857</f>
        <v>MYQ-Chamrajpura|4</v>
      </c>
    </row>
    <row r="1858" customFormat="false" ht="15" hidden="false" customHeight="false" outlineLevel="0" collapsed="false">
      <c r="A1858" s="59" t="s">
        <v>280</v>
      </c>
      <c r="B1858" s="59" t="s">
        <v>407</v>
      </c>
      <c r="C1858" s="60" t="n">
        <v>158.45</v>
      </c>
      <c r="D1858" s="59" t="n">
        <f aca="false">COUNTIFS($A$2:$A$1931,A1858,$C$2:$C$1931,"&gt;"&amp;C1858)+COUNTIFS($A$2:A1858,A1858,$C$2:C1858,C1858)</f>
        <v>5</v>
      </c>
      <c r="E1858" s="59" t="str">
        <f aca="false">A1858&amp;"|"&amp;D1858</f>
        <v>MYQ-Chamrajpura|5</v>
      </c>
    </row>
    <row r="1859" customFormat="false" ht="15" hidden="false" customHeight="false" outlineLevel="0" collapsed="false">
      <c r="A1859" s="59" t="s">
        <v>280</v>
      </c>
      <c r="B1859" s="59" t="s">
        <v>408</v>
      </c>
      <c r="C1859" s="60" t="n">
        <v>155.91</v>
      </c>
      <c r="D1859" s="59" t="n">
        <f aca="false">COUNTIFS($A$2:$A$1931,A1859,$C$2:$C$1931,"&gt;"&amp;C1859)+COUNTIFS($A$2:A1859,A1859,$C$2:C1859,C1859)</f>
        <v>6</v>
      </c>
      <c r="E1859" s="59" t="str">
        <f aca="false">A1859&amp;"|"&amp;D1859</f>
        <v>MYQ-Chamrajpura|6</v>
      </c>
    </row>
    <row r="1860" customFormat="false" ht="15" hidden="false" customHeight="false" outlineLevel="0" collapsed="false">
      <c r="A1860" s="59" t="s">
        <v>131</v>
      </c>
      <c r="B1860" s="59" t="s">
        <v>415</v>
      </c>
      <c r="C1860" s="60" t="n">
        <v>7594.82</v>
      </c>
      <c r="D1860" s="59" t="n">
        <f aca="false">COUNTIFS($A$2:$A$1931,A1860,$C$2:$C$1931,"&gt;"&amp;C1860)+COUNTIFS($A$2:A1860,A1860,$C$2:C1860,C1860)</f>
        <v>1</v>
      </c>
      <c r="E1860" s="59" t="str">
        <f aca="false">A1860&amp;"|"&amp;D1860</f>
        <v>MYQ-Chamundi Vihar|1</v>
      </c>
    </row>
    <row r="1861" customFormat="false" ht="15" hidden="false" customHeight="false" outlineLevel="0" collapsed="false">
      <c r="A1861" s="59" t="s">
        <v>131</v>
      </c>
      <c r="B1861" s="59" t="s">
        <v>420</v>
      </c>
      <c r="C1861" s="60" t="n">
        <v>7294.64</v>
      </c>
      <c r="D1861" s="59" t="n">
        <f aca="false">COUNTIFS($A$2:$A$1931,A1861,$C$2:$C$1931,"&gt;"&amp;C1861)+COUNTIFS($A$2:A1861,A1861,$C$2:C1861,C1861)</f>
        <v>2</v>
      </c>
      <c r="E1861" s="59" t="str">
        <f aca="false">A1861&amp;"|"&amp;D1861</f>
        <v>MYQ-Chamundi Vihar|2</v>
      </c>
    </row>
    <row r="1862" customFormat="false" ht="15" hidden="false" customHeight="false" outlineLevel="0" collapsed="false">
      <c r="A1862" s="59" t="s">
        <v>131</v>
      </c>
      <c r="B1862" s="59" t="s">
        <v>424</v>
      </c>
      <c r="C1862" s="60" t="n">
        <v>3414.71</v>
      </c>
      <c r="D1862" s="59" t="n">
        <f aca="false">COUNTIFS($A$2:$A$1931,A1862,$C$2:$C$1931,"&gt;"&amp;C1862)+COUNTIFS($A$2:A1862,A1862,$C$2:C1862,C1862)</f>
        <v>3</v>
      </c>
      <c r="E1862" s="59" t="str">
        <f aca="false">A1862&amp;"|"&amp;D1862</f>
        <v>MYQ-Chamundi Vihar|3</v>
      </c>
    </row>
    <row r="1863" customFormat="false" ht="15" hidden="false" customHeight="false" outlineLevel="0" collapsed="false">
      <c r="A1863" s="59" t="s">
        <v>131</v>
      </c>
      <c r="B1863" s="59" t="s">
        <v>413</v>
      </c>
      <c r="C1863" s="60" t="n">
        <v>2622.01</v>
      </c>
      <c r="D1863" s="59" t="n">
        <f aca="false">COUNTIFS($A$2:$A$1931,A1863,$C$2:$C$1931,"&gt;"&amp;C1863)+COUNTIFS($A$2:A1863,A1863,$C$2:C1863,C1863)</f>
        <v>4</v>
      </c>
      <c r="E1863" s="59" t="str">
        <f aca="false">A1863&amp;"|"&amp;D1863</f>
        <v>MYQ-Chamundi Vihar|4</v>
      </c>
    </row>
    <row r="1864" customFormat="false" ht="15" hidden="false" customHeight="false" outlineLevel="0" collapsed="false">
      <c r="A1864" s="59" t="s">
        <v>131</v>
      </c>
      <c r="B1864" s="59" t="s">
        <v>431</v>
      </c>
      <c r="C1864" s="60" t="n">
        <v>2417.94</v>
      </c>
      <c r="D1864" s="59" t="n">
        <f aca="false">COUNTIFS($A$2:$A$1931,A1864,$C$2:$C$1931,"&gt;"&amp;C1864)+COUNTIFS($A$2:A1864,A1864,$C$2:C1864,C1864)</f>
        <v>5</v>
      </c>
      <c r="E1864" s="59" t="str">
        <f aca="false">A1864&amp;"|"&amp;D1864</f>
        <v>MYQ-Chamundi Vihar|5</v>
      </c>
    </row>
    <row r="1865" customFormat="false" ht="15" hidden="false" customHeight="false" outlineLevel="0" collapsed="false">
      <c r="A1865" s="59" t="s">
        <v>131</v>
      </c>
      <c r="B1865" s="59" t="s">
        <v>414</v>
      </c>
      <c r="C1865" s="60" t="n">
        <v>1945.27</v>
      </c>
      <c r="D1865" s="59" t="n">
        <f aca="false">COUNTIFS($A$2:$A$1931,A1865,$C$2:$C$1931,"&gt;"&amp;C1865)+COUNTIFS($A$2:A1865,A1865,$C$2:C1865,C1865)</f>
        <v>6</v>
      </c>
      <c r="E1865" s="59" t="str">
        <f aca="false">A1865&amp;"|"&amp;D1865</f>
        <v>MYQ-Chamundi Vihar|6</v>
      </c>
    </row>
    <row r="1866" customFormat="false" ht="15" hidden="false" customHeight="false" outlineLevel="0" collapsed="false">
      <c r="A1866" s="59" t="s">
        <v>131</v>
      </c>
      <c r="B1866" s="59" t="s">
        <v>410</v>
      </c>
      <c r="C1866" s="60" t="n">
        <v>330.33</v>
      </c>
      <c r="D1866" s="59" t="n">
        <f aca="false">COUNTIFS($A$2:$A$1931,A1866,$C$2:$C$1931,"&gt;"&amp;C1866)+COUNTIFS($A$2:A1866,A1866,$C$2:C1866,C1866)</f>
        <v>7</v>
      </c>
      <c r="E1866" s="59" t="str">
        <f aca="false">A1866&amp;"|"&amp;D1866</f>
        <v>MYQ-Chamundi Vihar|7</v>
      </c>
    </row>
    <row r="1867" customFormat="false" ht="15" hidden="false" customHeight="false" outlineLevel="0" collapsed="false">
      <c r="A1867" s="59" t="s">
        <v>131</v>
      </c>
      <c r="B1867" s="59" t="s">
        <v>426</v>
      </c>
      <c r="C1867" s="60" t="n">
        <v>302.14</v>
      </c>
      <c r="D1867" s="59" t="n">
        <f aca="false">COUNTIFS($A$2:$A$1931,A1867,$C$2:$C$1931,"&gt;"&amp;C1867)+COUNTIFS($A$2:A1867,A1867,$C$2:C1867,C1867)</f>
        <v>8</v>
      </c>
      <c r="E1867" s="59" t="str">
        <f aca="false">A1867&amp;"|"&amp;D1867</f>
        <v>MYQ-Chamundi Vihar|8</v>
      </c>
    </row>
    <row r="1868" customFormat="false" ht="15" hidden="false" customHeight="false" outlineLevel="0" collapsed="false">
      <c r="A1868" s="59" t="s">
        <v>159</v>
      </c>
      <c r="B1868" s="59" t="s">
        <v>412</v>
      </c>
      <c r="C1868" s="60" t="n">
        <v>2253</v>
      </c>
      <c r="D1868" s="59" t="n">
        <f aca="false">COUNTIFS($A$2:$A$1931,A1868,$C$2:$C$1931,"&gt;"&amp;C1868)+COUNTIFS($A$2:A1868,A1868,$C$2:C1868,C1868)</f>
        <v>1</v>
      </c>
      <c r="E1868" s="59" t="str">
        <f aca="false">A1868&amp;"|"&amp;D1868</f>
        <v>MYQ-Hudco|1</v>
      </c>
    </row>
    <row r="1869" customFormat="false" ht="15" hidden="false" customHeight="false" outlineLevel="0" collapsed="false">
      <c r="A1869" s="59" t="s">
        <v>159</v>
      </c>
      <c r="B1869" s="59" t="s">
        <v>416</v>
      </c>
      <c r="C1869" s="60" t="n">
        <v>1559.05</v>
      </c>
      <c r="D1869" s="59" t="n">
        <f aca="false">COUNTIFS($A$2:$A$1931,A1869,$C$2:$C$1931,"&gt;"&amp;C1869)+COUNTIFS($A$2:A1869,A1869,$C$2:C1869,C1869)</f>
        <v>2</v>
      </c>
      <c r="E1869" s="59" t="str">
        <f aca="false">A1869&amp;"|"&amp;D1869</f>
        <v>MYQ-Hudco|2</v>
      </c>
    </row>
    <row r="1870" customFormat="false" ht="15" hidden="false" customHeight="false" outlineLevel="0" collapsed="false">
      <c r="A1870" s="59" t="s">
        <v>159</v>
      </c>
      <c r="B1870" s="59" t="s">
        <v>417</v>
      </c>
      <c r="C1870" s="60" t="n">
        <v>1552.86</v>
      </c>
      <c r="D1870" s="59" t="n">
        <f aca="false">COUNTIFS($A$2:$A$1931,A1870,$C$2:$C$1931,"&gt;"&amp;C1870)+COUNTIFS($A$2:A1870,A1870,$C$2:C1870,C1870)</f>
        <v>3</v>
      </c>
      <c r="E1870" s="59" t="str">
        <f aca="false">A1870&amp;"|"&amp;D1870</f>
        <v>MYQ-Hudco|3</v>
      </c>
    </row>
    <row r="1871" customFormat="false" ht="15" hidden="false" customHeight="false" outlineLevel="0" collapsed="false">
      <c r="A1871" s="59" t="s">
        <v>159</v>
      </c>
      <c r="B1871" s="59" t="s">
        <v>409</v>
      </c>
      <c r="C1871" s="60" t="n">
        <v>1068.25</v>
      </c>
      <c r="D1871" s="59" t="n">
        <f aca="false">COUNTIFS($A$2:$A$1931,A1871,$C$2:$C$1931,"&gt;"&amp;C1871)+COUNTIFS($A$2:A1871,A1871,$C$2:C1871,C1871)</f>
        <v>4</v>
      </c>
      <c r="E1871" s="59" t="str">
        <f aca="false">A1871&amp;"|"&amp;D1871</f>
        <v>MYQ-Hudco|4</v>
      </c>
    </row>
    <row r="1872" customFormat="false" ht="15" hidden="false" customHeight="false" outlineLevel="0" collapsed="false">
      <c r="A1872" s="59" t="s">
        <v>159</v>
      </c>
      <c r="B1872" s="59" t="s">
        <v>431</v>
      </c>
      <c r="C1872" s="60" t="n">
        <v>1011.05</v>
      </c>
      <c r="D1872" s="59" t="n">
        <f aca="false">COUNTIFS($A$2:$A$1931,A1872,$C$2:$C$1931,"&gt;"&amp;C1872)+COUNTIFS($A$2:A1872,A1872,$C$2:C1872,C1872)</f>
        <v>5</v>
      </c>
      <c r="E1872" s="59" t="str">
        <f aca="false">A1872&amp;"|"&amp;D1872</f>
        <v>MYQ-Hudco|5</v>
      </c>
    </row>
    <row r="1873" customFormat="false" ht="15" hidden="false" customHeight="false" outlineLevel="0" collapsed="false">
      <c r="A1873" s="59" t="s">
        <v>159</v>
      </c>
      <c r="B1873" s="59" t="s">
        <v>411</v>
      </c>
      <c r="C1873" s="60" t="n">
        <v>451.94</v>
      </c>
      <c r="D1873" s="59" t="n">
        <f aca="false">COUNTIFS($A$2:$A$1931,A1873,$C$2:$C$1931,"&gt;"&amp;C1873)+COUNTIFS($A$2:A1873,A1873,$C$2:C1873,C1873)</f>
        <v>6</v>
      </c>
      <c r="E1873" s="59" t="str">
        <f aca="false">A1873&amp;"|"&amp;D1873</f>
        <v>MYQ-Hudco|6</v>
      </c>
    </row>
    <row r="1874" customFormat="false" ht="15" hidden="false" customHeight="false" outlineLevel="0" collapsed="false">
      <c r="A1874" s="59" t="s">
        <v>159</v>
      </c>
      <c r="B1874" s="59" t="s">
        <v>413</v>
      </c>
      <c r="C1874" s="60" t="n">
        <v>245.03</v>
      </c>
      <c r="D1874" s="59" t="n">
        <f aca="false">COUNTIFS($A$2:$A$1931,A1874,$C$2:$C$1931,"&gt;"&amp;C1874)+COUNTIFS($A$2:A1874,A1874,$C$2:C1874,C1874)</f>
        <v>7</v>
      </c>
      <c r="E1874" s="59" t="str">
        <f aca="false">A1874&amp;"|"&amp;D1874</f>
        <v>MYQ-Hudco|7</v>
      </c>
    </row>
    <row r="1875" customFormat="false" ht="15" hidden="false" customHeight="false" outlineLevel="0" collapsed="false">
      <c r="A1875" s="59" t="s">
        <v>159</v>
      </c>
      <c r="B1875" s="59" t="s">
        <v>420</v>
      </c>
      <c r="C1875" s="60" t="n">
        <v>125.59</v>
      </c>
      <c r="D1875" s="59" t="n">
        <f aca="false">COUNTIFS($A$2:$A$1931,A1875,$C$2:$C$1931,"&gt;"&amp;C1875)+COUNTIFS($A$2:A1875,A1875,$C$2:C1875,C1875)</f>
        <v>8</v>
      </c>
      <c r="E1875" s="59" t="str">
        <f aca="false">A1875&amp;"|"&amp;D1875</f>
        <v>MYQ-Hudco|8</v>
      </c>
    </row>
    <row r="1876" customFormat="false" ht="15" hidden="false" customHeight="false" outlineLevel="0" collapsed="false">
      <c r="A1876" s="59" t="s">
        <v>159</v>
      </c>
      <c r="B1876" s="59" t="s">
        <v>415</v>
      </c>
      <c r="C1876" s="60" t="n">
        <v>72.41</v>
      </c>
      <c r="D1876" s="59" t="n">
        <f aca="false">COUNTIFS($A$2:$A$1931,A1876,$C$2:$C$1931,"&gt;"&amp;C1876)+COUNTIFS($A$2:A1876,A1876,$C$2:C1876,C1876)</f>
        <v>9</v>
      </c>
      <c r="E1876" s="59" t="str">
        <f aca="false">A1876&amp;"|"&amp;D1876</f>
        <v>MYQ-Hudco|9</v>
      </c>
    </row>
    <row r="1877" customFormat="false" ht="15" hidden="false" customHeight="false" outlineLevel="0" collapsed="false">
      <c r="A1877" s="59" t="s">
        <v>159</v>
      </c>
      <c r="B1877" s="59" t="s">
        <v>407</v>
      </c>
      <c r="C1877" s="60" t="n">
        <v>22.8</v>
      </c>
      <c r="D1877" s="59" t="n">
        <f aca="false">COUNTIFS($A$2:$A$1931,A1877,$C$2:$C$1931,"&gt;"&amp;C1877)+COUNTIFS($A$2:A1877,A1877,$C$2:C1877,C1877)</f>
        <v>10</v>
      </c>
      <c r="E1877" s="59" t="str">
        <f aca="false">A1877&amp;"|"&amp;D1877</f>
        <v>MYQ-Hudco|10</v>
      </c>
    </row>
    <row r="1878" customFormat="false" ht="15" hidden="false" customHeight="false" outlineLevel="0" collapsed="false">
      <c r="A1878" s="59" t="s">
        <v>159</v>
      </c>
      <c r="B1878" s="59" t="s">
        <v>426</v>
      </c>
      <c r="C1878" s="60" t="n">
        <v>2.79</v>
      </c>
      <c r="D1878" s="59" t="n">
        <f aca="false">COUNTIFS($A$2:$A$1931,A1878,$C$2:$C$1931,"&gt;"&amp;C1878)+COUNTIFS($A$2:A1878,A1878,$C$2:C1878,C1878)</f>
        <v>11</v>
      </c>
      <c r="E1878" s="59" t="str">
        <f aca="false">A1878&amp;"|"&amp;D1878</f>
        <v>MYQ-Hudco|11</v>
      </c>
    </row>
    <row r="1879" customFormat="false" ht="15" hidden="false" customHeight="false" outlineLevel="0" collapsed="false">
      <c r="A1879" s="59" t="s">
        <v>179</v>
      </c>
      <c r="B1879" s="59" t="s">
        <v>420</v>
      </c>
      <c r="C1879" s="60" t="n">
        <v>2514.26</v>
      </c>
      <c r="D1879" s="59" t="n">
        <f aca="false">COUNTIFS($A$2:$A$1931,A1879,$C$2:$C$1931,"&gt;"&amp;C1879)+COUNTIFS($A$2:A1879,A1879,$C$2:C1879,C1879)</f>
        <v>1</v>
      </c>
      <c r="E1879" s="59" t="str">
        <f aca="false">A1879&amp;"|"&amp;D1879</f>
        <v>MYQ-Kuvempu Nagar|1</v>
      </c>
    </row>
    <row r="1880" customFormat="false" ht="15" hidden="false" customHeight="false" outlineLevel="0" collapsed="false">
      <c r="A1880" s="59" t="s">
        <v>179</v>
      </c>
      <c r="B1880" s="59" t="s">
        <v>413</v>
      </c>
      <c r="C1880" s="60" t="n">
        <v>652</v>
      </c>
      <c r="D1880" s="59" t="n">
        <f aca="false">COUNTIFS($A$2:$A$1931,A1880,$C$2:$C$1931,"&gt;"&amp;C1880)+COUNTIFS($A$2:A1880,A1880,$C$2:C1880,C1880)</f>
        <v>2</v>
      </c>
      <c r="E1880" s="59" t="str">
        <f aca="false">A1880&amp;"|"&amp;D1880</f>
        <v>MYQ-Kuvempu Nagar|2</v>
      </c>
    </row>
    <row r="1881" customFormat="false" ht="15" hidden="false" customHeight="false" outlineLevel="0" collapsed="false">
      <c r="A1881" s="59" t="s">
        <v>179</v>
      </c>
      <c r="B1881" s="59" t="s">
        <v>416</v>
      </c>
      <c r="C1881" s="60" t="n">
        <v>363.12</v>
      </c>
      <c r="D1881" s="59" t="n">
        <f aca="false">COUNTIFS($A$2:$A$1931,A1881,$C$2:$C$1931,"&gt;"&amp;C1881)+COUNTIFS($A$2:A1881,A1881,$C$2:C1881,C1881)</f>
        <v>3</v>
      </c>
      <c r="E1881" s="59" t="str">
        <f aca="false">A1881&amp;"|"&amp;D1881</f>
        <v>MYQ-Kuvempu Nagar|3</v>
      </c>
    </row>
    <row r="1882" customFormat="false" ht="15" hidden="false" customHeight="false" outlineLevel="0" collapsed="false">
      <c r="A1882" s="59" t="s">
        <v>179</v>
      </c>
      <c r="B1882" s="59" t="s">
        <v>411</v>
      </c>
      <c r="C1882" s="60" t="n">
        <v>298.27</v>
      </c>
      <c r="D1882" s="59" t="n">
        <f aca="false">COUNTIFS($A$2:$A$1931,A1882,$C$2:$C$1931,"&gt;"&amp;C1882)+COUNTIFS($A$2:A1882,A1882,$C$2:C1882,C1882)</f>
        <v>4</v>
      </c>
      <c r="E1882" s="59" t="str">
        <f aca="false">A1882&amp;"|"&amp;D1882</f>
        <v>MYQ-Kuvempu Nagar|4</v>
      </c>
    </row>
    <row r="1883" customFormat="false" ht="15" hidden="false" customHeight="false" outlineLevel="0" collapsed="false">
      <c r="A1883" s="59" t="s">
        <v>179</v>
      </c>
      <c r="B1883" s="59" t="s">
        <v>435</v>
      </c>
      <c r="C1883" s="60" t="n">
        <v>91.82</v>
      </c>
      <c r="D1883" s="59" t="n">
        <f aca="false">COUNTIFS($A$2:$A$1931,A1883,$C$2:$C$1931,"&gt;"&amp;C1883)+COUNTIFS($A$2:A1883,A1883,$C$2:C1883,C1883)</f>
        <v>5</v>
      </c>
      <c r="E1883" s="59" t="str">
        <f aca="false">A1883&amp;"|"&amp;D1883</f>
        <v>MYQ-Kuvempu Nagar|5</v>
      </c>
    </row>
    <row r="1884" customFormat="false" ht="15" hidden="false" customHeight="false" outlineLevel="0" collapsed="false">
      <c r="A1884" s="59" t="s">
        <v>179</v>
      </c>
      <c r="B1884" s="59" t="s">
        <v>409</v>
      </c>
      <c r="C1884" s="60" t="n">
        <v>78.68</v>
      </c>
      <c r="D1884" s="59" t="n">
        <f aca="false">COUNTIFS($A$2:$A$1931,A1884,$C$2:$C$1931,"&gt;"&amp;C1884)+COUNTIFS($A$2:A1884,A1884,$C$2:C1884,C1884)</f>
        <v>6</v>
      </c>
      <c r="E1884" s="59" t="str">
        <f aca="false">A1884&amp;"|"&amp;D1884</f>
        <v>MYQ-Kuvempu Nagar|6</v>
      </c>
    </row>
    <row r="1885" customFormat="false" ht="15" hidden="false" customHeight="false" outlineLevel="0" collapsed="false">
      <c r="A1885" s="59" t="s">
        <v>179</v>
      </c>
      <c r="B1885" s="59" t="s">
        <v>414</v>
      </c>
      <c r="C1885" s="60" t="n">
        <v>70.86</v>
      </c>
      <c r="D1885" s="59" t="n">
        <f aca="false">COUNTIFS($A$2:$A$1931,A1885,$C$2:$C$1931,"&gt;"&amp;C1885)+COUNTIFS($A$2:A1885,A1885,$C$2:C1885,C1885)</f>
        <v>7</v>
      </c>
      <c r="E1885" s="59" t="str">
        <f aca="false">A1885&amp;"|"&amp;D1885</f>
        <v>MYQ-Kuvempu Nagar|7</v>
      </c>
    </row>
    <row r="1886" customFormat="false" ht="15" hidden="false" customHeight="false" outlineLevel="0" collapsed="false">
      <c r="A1886" s="59" t="s">
        <v>179</v>
      </c>
      <c r="B1886" s="59" t="s">
        <v>412</v>
      </c>
      <c r="C1886" s="60" t="n">
        <v>8.85</v>
      </c>
      <c r="D1886" s="59" t="n">
        <f aca="false">COUNTIFS($A$2:$A$1931,A1886,$C$2:$C$1931,"&gt;"&amp;C1886)+COUNTIFS($A$2:A1886,A1886,$C$2:C1886,C1886)</f>
        <v>8</v>
      </c>
      <c r="E1886" s="59" t="str">
        <f aca="false">A1886&amp;"|"&amp;D1886</f>
        <v>MYQ-Kuvempu Nagar|8</v>
      </c>
    </row>
    <row r="1887" customFormat="false" ht="15" hidden="false" customHeight="false" outlineLevel="0" collapsed="false">
      <c r="A1887" s="59" t="s">
        <v>179</v>
      </c>
      <c r="B1887" s="59" t="s">
        <v>408</v>
      </c>
      <c r="C1887" s="60" t="n">
        <v>7.47</v>
      </c>
      <c r="D1887" s="59" t="n">
        <f aca="false">COUNTIFS($A$2:$A$1931,A1887,$C$2:$C$1931,"&gt;"&amp;C1887)+COUNTIFS($A$2:A1887,A1887,$C$2:C1887,C1887)</f>
        <v>9</v>
      </c>
      <c r="E1887" s="59" t="str">
        <f aca="false">A1887&amp;"|"&amp;D1887</f>
        <v>MYQ-Kuvempu Nagar|9</v>
      </c>
    </row>
    <row r="1888" customFormat="false" ht="15" hidden="false" customHeight="false" outlineLevel="0" collapsed="false">
      <c r="A1888" s="59" t="s">
        <v>224</v>
      </c>
      <c r="B1888" s="59" t="s">
        <v>424</v>
      </c>
      <c r="C1888" s="60" t="n">
        <v>550.07</v>
      </c>
      <c r="D1888" s="59" t="n">
        <f aca="false">COUNTIFS($A$2:$A$1931,A1888,$C$2:$C$1931,"&gt;"&amp;C1888)+COUNTIFS($A$2:A1888,A1888,$C$2:C1888,C1888)</f>
        <v>1</v>
      </c>
      <c r="E1888" s="59" t="str">
        <f aca="false">A1888&amp;"|"&amp;D1888</f>
        <v>MYQ-Mahadevpura|1</v>
      </c>
    </row>
    <row r="1889" customFormat="false" ht="15" hidden="false" customHeight="false" outlineLevel="0" collapsed="false">
      <c r="A1889" s="59" t="s">
        <v>224</v>
      </c>
      <c r="B1889" s="59" t="s">
        <v>417</v>
      </c>
      <c r="C1889" s="60" t="n">
        <v>403.71</v>
      </c>
      <c r="D1889" s="59" t="n">
        <f aca="false">COUNTIFS($A$2:$A$1931,A1889,$C$2:$C$1931,"&gt;"&amp;C1889)+COUNTIFS($A$2:A1889,A1889,$C$2:C1889,C1889)</f>
        <v>2</v>
      </c>
      <c r="E1889" s="59" t="str">
        <f aca="false">A1889&amp;"|"&amp;D1889</f>
        <v>MYQ-Mahadevpura|2</v>
      </c>
    </row>
    <row r="1890" customFormat="false" ht="15" hidden="false" customHeight="false" outlineLevel="0" collapsed="false">
      <c r="A1890" s="59" t="s">
        <v>224</v>
      </c>
      <c r="B1890" s="59" t="s">
        <v>409</v>
      </c>
      <c r="C1890" s="60" t="n">
        <v>393.18</v>
      </c>
      <c r="D1890" s="59" t="n">
        <f aca="false">COUNTIFS($A$2:$A$1931,A1890,$C$2:$C$1931,"&gt;"&amp;C1890)+COUNTIFS($A$2:A1890,A1890,$C$2:C1890,C1890)</f>
        <v>3</v>
      </c>
      <c r="E1890" s="59" t="str">
        <f aca="false">A1890&amp;"|"&amp;D1890</f>
        <v>MYQ-Mahadevpura|3</v>
      </c>
    </row>
    <row r="1891" customFormat="false" ht="15" hidden="false" customHeight="false" outlineLevel="0" collapsed="false">
      <c r="A1891" s="59" t="s">
        <v>224</v>
      </c>
      <c r="B1891" s="59" t="s">
        <v>432</v>
      </c>
      <c r="C1891" s="60" t="n">
        <v>24.62</v>
      </c>
      <c r="D1891" s="59" t="n">
        <f aca="false">COUNTIFS($A$2:$A$1931,A1891,$C$2:$C$1931,"&gt;"&amp;C1891)+COUNTIFS($A$2:A1891,A1891,$C$2:C1891,C1891)</f>
        <v>4</v>
      </c>
      <c r="E1891" s="59" t="str">
        <f aca="false">A1891&amp;"|"&amp;D1891</f>
        <v>MYQ-Mahadevpura|4</v>
      </c>
    </row>
    <row r="1892" customFormat="false" ht="15" hidden="false" customHeight="false" outlineLevel="0" collapsed="false">
      <c r="A1892" s="59" t="s">
        <v>244</v>
      </c>
      <c r="B1892" s="59" t="s">
        <v>431</v>
      </c>
      <c r="C1892" s="60" t="n">
        <v>2513.42</v>
      </c>
      <c r="D1892" s="59" t="n">
        <f aca="false">COUNTIFS($A$2:$A$1931,A1892,$C$2:$C$1931,"&gt;"&amp;C1892)+COUNTIFS($A$2:A1892,A1892,$C$2:C1892,C1892)</f>
        <v>1</v>
      </c>
      <c r="E1892" s="59" t="str">
        <f aca="false">A1892&amp;"|"&amp;D1892</f>
        <v>MYQ-Rajendra Nagar|1</v>
      </c>
    </row>
    <row r="1893" customFormat="false" ht="15" hidden="false" customHeight="false" outlineLevel="0" collapsed="false">
      <c r="A1893" s="59" t="s">
        <v>244</v>
      </c>
      <c r="B1893" s="59" t="s">
        <v>412</v>
      </c>
      <c r="C1893" s="60" t="n">
        <v>729.5</v>
      </c>
      <c r="D1893" s="59" t="n">
        <f aca="false">COUNTIFS($A$2:$A$1931,A1893,$C$2:$C$1931,"&gt;"&amp;C1893)+COUNTIFS($A$2:A1893,A1893,$C$2:C1893,C1893)</f>
        <v>2</v>
      </c>
      <c r="E1893" s="59" t="str">
        <f aca="false">A1893&amp;"|"&amp;D1893</f>
        <v>MYQ-Rajendra Nagar|2</v>
      </c>
    </row>
    <row r="1894" customFormat="false" ht="15" hidden="false" customHeight="false" outlineLevel="0" collapsed="false">
      <c r="A1894" s="59" t="s">
        <v>244</v>
      </c>
      <c r="B1894" s="59" t="s">
        <v>423</v>
      </c>
      <c r="C1894" s="60" t="n">
        <v>615.75</v>
      </c>
      <c r="D1894" s="59" t="n">
        <f aca="false">COUNTIFS($A$2:$A$1931,A1894,$C$2:$C$1931,"&gt;"&amp;C1894)+COUNTIFS($A$2:A1894,A1894,$C$2:C1894,C1894)</f>
        <v>3</v>
      </c>
      <c r="E1894" s="59" t="str">
        <f aca="false">A1894&amp;"|"&amp;D1894</f>
        <v>MYQ-Rajendra Nagar|3</v>
      </c>
    </row>
    <row r="1895" customFormat="false" ht="15" hidden="false" customHeight="false" outlineLevel="0" collapsed="false">
      <c r="A1895" s="59" t="s">
        <v>244</v>
      </c>
      <c r="B1895" s="59" t="s">
        <v>410</v>
      </c>
      <c r="C1895" s="60" t="n">
        <v>539.86</v>
      </c>
      <c r="D1895" s="59" t="n">
        <f aca="false">COUNTIFS($A$2:$A$1931,A1895,$C$2:$C$1931,"&gt;"&amp;C1895)+COUNTIFS($A$2:A1895,A1895,$C$2:C1895,C1895)</f>
        <v>4</v>
      </c>
      <c r="E1895" s="59" t="str">
        <f aca="false">A1895&amp;"|"&amp;D1895</f>
        <v>MYQ-Rajendra Nagar|4</v>
      </c>
    </row>
    <row r="1896" customFormat="false" ht="15" hidden="false" customHeight="false" outlineLevel="0" collapsed="false">
      <c r="A1896" s="59" t="s">
        <v>244</v>
      </c>
      <c r="B1896" s="59" t="s">
        <v>408</v>
      </c>
      <c r="C1896" s="60" t="n">
        <v>471.75</v>
      </c>
      <c r="D1896" s="59" t="n">
        <f aca="false">COUNTIFS($A$2:$A$1931,A1896,$C$2:$C$1931,"&gt;"&amp;C1896)+COUNTIFS($A$2:A1896,A1896,$C$2:C1896,C1896)</f>
        <v>5</v>
      </c>
      <c r="E1896" s="59" t="str">
        <f aca="false">A1896&amp;"|"&amp;D1896</f>
        <v>MYQ-Rajendra Nagar|5</v>
      </c>
    </row>
    <row r="1897" customFormat="false" ht="15" hidden="false" customHeight="false" outlineLevel="0" collapsed="false">
      <c r="A1897" s="59" t="s">
        <v>244</v>
      </c>
      <c r="B1897" s="59" t="s">
        <v>415</v>
      </c>
      <c r="C1897" s="60" t="n">
        <v>273.48</v>
      </c>
      <c r="D1897" s="59" t="n">
        <f aca="false">COUNTIFS($A$2:$A$1931,A1897,$C$2:$C$1931,"&gt;"&amp;C1897)+COUNTIFS($A$2:A1897,A1897,$C$2:C1897,C1897)</f>
        <v>6</v>
      </c>
      <c r="E1897" s="59" t="str">
        <f aca="false">A1897&amp;"|"&amp;D1897</f>
        <v>MYQ-Rajendra Nagar|6</v>
      </c>
    </row>
    <row r="1898" customFormat="false" ht="15" hidden="false" customHeight="false" outlineLevel="0" collapsed="false">
      <c r="A1898" s="59" t="s">
        <v>244</v>
      </c>
      <c r="B1898" s="59" t="s">
        <v>426</v>
      </c>
      <c r="C1898" s="60" t="n">
        <v>73.87</v>
      </c>
      <c r="D1898" s="59" t="n">
        <f aca="false">COUNTIFS($A$2:$A$1931,A1898,$C$2:$C$1931,"&gt;"&amp;C1898)+COUNTIFS($A$2:A1898,A1898,$C$2:C1898,C1898)</f>
        <v>7</v>
      </c>
      <c r="E1898" s="59" t="str">
        <f aca="false">A1898&amp;"|"&amp;D1898</f>
        <v>MYQ-Rajendra Nagar|7</v>
      </c>
    </row>
    <row r="1899" customFormat="false" ht="15" hidden="false" customHeight="false" outlineLevel="0" collapsed="false">
      <c r="A1899" s="59" t="s">
        <v>227</v>
      </c>
      <c r="B1899" s="59" t="s">
        <v>417</v>
      </c>
      <c r="C1899" s="60" t="n">
        <v>1265.16</v>
      </c>
      <c r="D1899" s="59" t="n">
        <f aca="false">COUNTIFS($A$2:$A$1931,A1899,$C$2:$C$1931,"&gt;"&amp;C1899)+COUNTIFS($A$2:A1899,A1899,$C$2:C1899,C1899)</f>
        <v>1</v>
      </c>
      <c r="E1899" s="59" t="str">
        <f aca="false">A1899&amp;"|"&amp;D1899</f>
        <v>MYQ-Vani villas|1</v>
      </c>
    </row>
    <row r="1900" customFormat="false" ht="15" hidden="false" customHeight="false" outlineLevel="0" collapsed="false">
      <c r="A1900" s="59" t="s">
        <v>227</v>
      </c>
      <c r="B1900" s="59" t="s">
        <v>412</v>
      </c>
      <c r="C1900" s="60" t="n">
        <v>646.88</v>
      </c>
      <c r="D1900" s="59" t="n">
        <f aca="false">COUNTIFS($A$2:$A$1931,A1900,$C$2:$C$1931,"&gt;"&amp;C1900)+COUNTIFS($A$2:A1900,A1900,$C$2:C1900,C1900)</f>
        <v>2</v>
      </c>
      <c r="E1900" s="59" t="str">
        <f aca="false">A1900&amp;"|"&amp;D1900</f>
        <v>MYQ-Vani villas|2</v>
      </c>
    </row>
    <row r="1901" customFormat="false" ht="15" hidden="false" customHeight="false" outlineLevel="0" collapsed="false">
      <c r="A1901" s="59" t="s">
        <v>227</v>
      </c>
      <c r="B1901" s="59" t="s">
        <v>415</v>
      </c>
      <c r="C1901" s="60" t="n">
        <v>581.55</v>
      </c>
      <c r="D1901" s="59" t="n">
        <f aca="false">COUNTIFS($A$2:$A$1931,A1901,$C$2:$C$1931,"&gt;"&amp;C1901)+COUNTIFS($A$2:A1901,A1901,$C$2:C1901,C1901)</f>
        <v>3</v>
      </c>
      <c r="E1901" s="59" t="str">
        <f aca="false">A1901&amp;"|"&amp;D1901</f>
        <v>MYQ-Vani villas|3</v>
      </c>
    </row>
    <row r="1902" customFormat="false" ht="15" hidden="false" customHeight="false" outlineLevel="0" collapsed="false">
      <c r="A1902" s="59" t="s">
        <v>227</v>
      </c>
      <c r="B1902" s="59" t="s">
        <v>407</v>
      </c>
      <c r="C1902" s="60" t="n">
        <v>440.88</v>
      </c>
      <c r="D1902" s="59" t="n">
        <f aca="false">COUNTIFS($A$2:$A$1931,A1902,$C$2:$C$1931,"&gt;"&amp;C1902)+COUNTIFS($A$2:A1902,A1902,$C$2:C1902,C1902)</f>
        <v>4</v>
      </c>
      <c r="E1902" s="59" t="str">
        <f aca="false">A1902&amp;"|"&amp;D1902</f>
        <v>MYQ-Vani villas|4</v>
      </c>
    </row>
    <row r="1903" customFormat="false" ht="15" hidden="false" customHeight="false" outlineLevel="0" collapsed="false">
      <c r="A1903" s="59" t="s">
        <v>227</v>
      </c>
      <c r="B1903" s="59" t="s">
        <v>426</v>
      </c>
      <c r="C1903" s="60" t="n">
        <v>275.06</v>
      </c>
      <c r="D1903" s="59" t="n">
        <f aca="false">COUNTIFS($A$2:$A$1931,A1903,$C$2:$C$1931,"&gt;"&amp;C1903)+COUNTIFS($A$2:A1903,A1903,$C$2:C1903,C1903)</f>
        <v>5</v>
      </c>
      <c r="E1903" s="59" t="str">
        <f aca="false">A1903&amp;"|"&amp;D1903</f>
        <v>MYQ-Vani villas|5</v>
      </c>
    </row>
    <row r="1904" customFormat="false" ht="15" hidden="false" customHeight="false" outlineLevel="0" collapsed="false">
      <c r="A1904" s="59" t="s">
        <v>227</v>
      </c>
      <c r="B1904" s="59" t="s">
        <v>410</v>
      </c>
      <c r="C1904" s="60" t="n">
        <v>157.28</v>
      </c>
      <c r="D1904" s="59" t="n">
        <f aca="false">COUNTIFS($A$2:$A$1931,A1904,$C$2:$C$1931,"&gt;"&amp;C1904)+COUNTIFS($A$2:A1904,A1904,$C$2:C1904,C1904)</f>
        <v>6</v>
      </c>
      <c r="E1904" s="59" t="str">
        <f aca="false">A1904&amp;"|"&amp;D1904</f>
        <v>MYQ-Vani villas|6</v>
      </c>
    </row>
    <row r="1905" customFormat="false" ht="15" hidden="false" customHeight="false" outlineLevel="0" collapsed="false">
      <c r="A1905" s="59" t="s">
        <v>227</v>
      </c>
      <c r="B1905" s="59" t="s">
        <v>416</v>
      </c>
      <c r="C1905" s="60" t="n">
        <v>113.63</v>
      </c>
      <c r="D1905" s="59" t="n">
        <f aca="false">COUNTIFS($A$2:$A$1931,A1905,$C$2:$C$1931,"&gt;"&amp;C1905)+COUNTIFS($A$2:A1905,A1905,$C$2:C1905,C1905)</f>
        <v>7</v>
      </c>
      <c r="E1905" s="59" t="str">
        <f aca="false">A1905&amp;"|"&amp;D1905</f>
        <v>MYQ-Vani villas|7</v>
      </c>
    </row>
    <row r="1906" customFormat="false" ht="15" hidden="false" customHeight="false" outlineLevel="0" collapsed="false">
      <c r="A1906" s="59" t="s">
        <v>273</v>
      </c>
      <c r="B1906" s="59" t="s">
        <v>424</v>
      </c>
      <c r="C1906" s="60" t="n">
        <v>2042.43</v>
      </c>
      <c r="D1906" s="59" t="n">
        <f aca="false">COUNTIFS($A$2:$A$1931,A1906,$C$2:$C$1931,"&gt;"&amp;C1906)+COUNTIFS($A$2:A1906,A1906,$C$2:C1906,C1906)</f>
        <v>1</v>
      </c>
      <c r="E1906" s="59" t="str">
        <f aca="false">A1906&amp;"|"&amp;D1906</f>
        <v>MYQ-Vijayanagar|1</v>
      </c>
    </row>
    <row r="1907" customFormat="false" ht="15" hidden="false" customHeight="false" outlineLevel="0" collapsed="false">
      <c r="A1907" s="59" t="s">
        <v>273</v>
      </c>
      <c r="B1907" s="59" t="s">
        <v>417</v>
      </c>
      <c r="C1907" s="60" t="n">
        <v>1039.39</v>
      </c>
      <c r="D1907" s="59" t="n">
        <f aca="false">COUNTIFS($A$2:$A$1931,A1907,$C$2:$C$1931,"&gt;"&amp;C1907)+COUNTIFS($A$2:A1907,A1907,$C$2:C1907,C1907)</f>
        <v>2</v>
      </c>
      <c r="E1907" s="59" t="str">
        <f aca="false">A1907&amp;"|"&amp;D1907</f>
        <v>MYQ-Vijayanagar|2</v>
      </c>
    </row>
    <row r="1908" customFormat="false" ht="15" hidden="false" customHeight="false" outlineLevel="0" collapsed="false">
      <c r="A1908" s="59" t="s">
        <v>273</v>
      </c>
      <c r="B1908" s="59" t="s">
        <v>411</v>
      </c>
      <c r="C1908" s="60" t="n">
        <v>494.48</v>
      </c>
      <c r="D1908" s="59" t="n">
        <f aca="false">COUNTIFS($A$2:$A$1931,A1908,$C$2:$C$1931,"&gt;"&amp;C1908)+COUNTIFS($A$2:A1908,A1908,$C$2:C1908,C1908)</f>
        <v>3</v>
      </c>
      <c r="E1908" s="59" t="str">
        <f aca="false">A1908&amp;"|"&amp;D1908</f>
        <v>MYQ-Vijayanagar|3</v>
      </c>
    </row>
    <row r="1909" customFormat="false" ht="15" hidden="false" customHeight="false" outlineLevel="0" collapsed="false">
      <c r="A1909" s="59" t="s">
        <v>273</v>
      </c>
      <c r="B1909" s="59" t="s">
        <v>413</v>
      </c>
      <c r="C1909" s="60" t="n">
        <v>482.25</v>
      </c>
      <c r="D1909" s="59" t="n">
        <f aca="false">COUNTIFS($A$2:$A$1931,A1909,$C$2:$C$1931,"&gt;"&amp;C1909)+COUNTIFS($A$2:A1909,A1909,$C$2:C1909,C1909)</f>
        <v>4</v>
      </c>
      <c r="E1909" s="59" t="str">
        <f aca="false">A1909&amp;"|"&amp;D1909</f>
        <v>MYQ-Vijayanagar|4</v>
      </c>
    </row>
    <row r="1910" customFormat="false" ht="15" hidden="false" customHeight="false" outlineLevel="0" collapsed="false">
      <c r="A1910" s="59" t="s">
        <v>273</v>
      </c>
      <c r="B1910" s="59" t="s">
        <v>408</v>
      </c>
      <c r="C1910" s="60" t="n">
        <v>417.48</v>
      </c>
      <c r="D1910" s="59" t="n">
        <f aca="false">COUNTIFS($A$2:$A$1931,A1910,$C$2:$C$1931,"&gt;"&amp;C1910)+COUNTIFS($A$2:A1910,A1910,$C$2:C1910,C1910)</f>
        <v>5</v>
      </c>
      <c r="E1910" s="59" t="str">
        <f aca="false">A1910&amp;"|"&amp;D1910</f>
        <v>MYQ-Vijayanagar|5</v>
      </c>
    </row>
    <row r="1911" customFormat="false" ht="15" hidden="false" customHeight="false" outlineLevel="0" collapsed="false">
      <c r="A1911" s="59" t="s">
        <v>273</v>
      </c>
      <c r="B1911" s="59" t="s">
        <v>435</v>
      </c>
      <c r="C1911" s="60" t="n">
        <v>344.72</v>
      </c>
      <c r="D1911" s="59" t="n">
        <f aca="false">COUNTIFS($A$2:$A$1931,A1911,$C$2:$C$1931,"&gt;"&amp;C1911)+COUNTIFS($A$2:A1911,A1911,$C$2:C1911,C1911)</f>
        <v>6</v>
      </c>
      <c r="E1911" s="59" t="str">
        <f aca="false">A1911&amp;"|"&amp;D1911</f>
        <v>MYQ-Vijayanagar|6</v>
      </c>
    </row>
    <row r="1912" customFormat="false" ht="15" hidden="false" customHeight="false" outlineLevel="0" collapsed="false">
      <c r="A1912" s="59" t="s">
        <v>273</v>
      </c>
      <c r="B1912" s="59" t="s">
        <v>412</v>
      </c>
      <c r="C1912" s="60" t="n">
        <v>186.98</v>
      </c>
      <c r="D1912" s="59" t="n">
        <f aca="false">COUNTIFS($A$2:$A$1931,A1912,$C$2:$C$1931,"&gt;"&amp;C1912)+COUNTIFS($A$2:A1912,A1912,$C$2:C1912,C1912)</f>
        <v>7</v>
      </c>
      <c r="E1912" s="59" t="str">
        <f aca="false">A1912&amp;"|"&amp;D1912</f>
        <v>MYQ-Vijayanagar|7</v>
      </c>
    </row>
    <row r="1913" customFormat="false" ht="15" hidden="false" customHeight="false" outlineLevel="0" collapsed="false">
      <c r="A1913" s="59" t="s">
        <v>236</v>
      </c>
      <c r="B1913" s="59" t="s">
        <v>410</v>
      </c>
      <c r="C1913" s="60" t="n">
        <v>279.62</v>
      </c>
      <c r="D1913" s="59" t="n">
        <f aca="false">COUNTIFS($A$2:$A$1931,A1913,$C$2:$C$1931,"&gt;"&amp;C1913)+COUNTIFS($A$2:A1913,A1913,$C$2:C1913,C1913)</f>
        <v>1</v>
      </c>
      <c r="E1913" s="59" t="str">
        <f aca="false">A1913&amp;"|"&amp;D1913</f>
        <v>PAL-Kalpathy|1</v>
      </c>
    </row>
    <row r="1914" customFormat="false" ht="15" hidden="false" customHeight="false" outlineLevel="0" collapsed="false">
      <c r="A1914" s="59" t="s">
        <v>236</v>
      </c>
      <c r="B1914" s="59" t="s">
        <v>409</v>
      </c>
      <c r="C1914" s="60" t="n">
        <v>121.96</v>
      </c>
      <c r="D1914" s="59" t="n">
        <f aca="false">COUNTIFS($A$2:$A$1931,A1914,$C$2:$C$1931,"&gt;"&amp;C1914)+COUNTIFS($A$2:A1914,A1914,$C$2:C1914,C1914)</f>
        <v>2</v>
      </c>
      <c r="E1914" s="59" t="str">
        <f aca="false">A1914&amp;"|"&amp;D1914</f>
        <v>PAL-Kalpathy|2</v>
      </c>
    </row>
    <row r="1915" customFormat="false" ht="15" hidden="false" customHeight="false" outlineLevel="0" collapsed="false">
      <c r="A1915" s="59" t="s">
        <v>236</v>
      </c>
      <c r="B1915" s="59" t="s">
        <v>413</v>
      </c>
      <c r="C1915" s="60" t="n">
        <v>32.46</v>
      </c>
      <c r="D1915" s="59" t="n">
        <f aca="false">COUNTIFS($A$2:$A$1931,A1915,$C$2:$C$1931,"&gt;"&amp;C1915)+COUNTIFS($A$2:A1915,A1915,$C$2:C1915,C1915)</f>
        <v>3</v>
      </c>
      <c r="E1915" s="59" t="str">
        <f aca="false">A1915&amp;"|"&amp;D1915</f>
        <v>PAL-Kalpathy|3</v>
      </c>
    </row>
    <row r="1916" customFormat="false" ht="15" hidden="false" customHeight="false" outlineLevel="0" collapsed="false">
      <c r="A1916" s="59" t="s">
        <v>222</v>
      </c>
      <c r="B1916" s="59" t="s">
        <v>417</v>
      </c>
      <c r="C1916" s="60" t="n">
        <v>337.14</v>
      </c>
      <c r="D1916" s="59" t="n">
        <f aca="false">COUNTIFS($A$2:$A$1931,A1916,$C$2:$C$1931,"&gt;"&amp;C1916)+COUNTIFS($A$2:A1916,A1916,$C$2:C1916,C1916)</f>
        <v>1</v>
      </c>
      <c r="E1916" s="59" t="str">
        <f aca="false">A1916&amp;"|"&amp;D1916</f>
        <v>PAL-Pallipuram|1</v>
      </c>
    </row>
    <row r="1917" customFormat="false" ht="15" hidden="false" customHeight="false" outlineLevel="0" collapsed="false">
      <c r="A1917" s="59" t="s">
        <v>222</v>
      </c>
      <c r="B1917" s="59" t="s">
        <v>409</v>
      </c>
      <c r="C1917" s="60" t="n">
        <v>217.16</v>
      </c>
      <c r="D1917" s="59" t="n">
        <f aca="false">COUNTIFS($A$2:$A$1931,A1917,$C$2:$C$1931,"&gt;"&amp;C1917)+COUNTIFS($A$2:A1917,A1917,$C$2:C1917,C1917)</f>
        <v>2</v>
      </c>
      <c r="E1917" s="59" t="str">
        <f aca="false">A1917&amp;"|"&amp;D1917</f>
        <v>PAL-Pallipuram|2</v>
      </c>
    </row>
    <row r="1918" customFormat="false" ht="15" hidden="false" customHeight="false" outlineLevel="0" collapsed="false">
      <c r="A1918" s="59" t="s">
        <v>222</v>
      </c>
      <c r="B1918" s="59" t="s">
        <v>437</v>
      </c>
      <c r="C1918" s="60" t="n">
        <v>192.98</v>
      </c>
      <c r="D1918" s="59" t="n">
        <f aca="false">COUNTIFS($A$2:$A$1931,A1918,$C$2:$C$1931,"&gt;"&amp;C1918)+COUNTIFS($A$2:A1918,A1918,$C$2:C1918,C1918)</f>
        <v>3</v>
      </c>
      <c r="E1918" s="59" t="str">
        <f aca="false">A1918&amp;"|"&amp;D1918</f>
        <v>PAL-Pallipuram|3</v>
      </c>
    </row>
    <row r="1919" customFormat="false" ht="15" hidden="false" customHeight="false" outlineLevel="0" collapsed="false">
      <c r="A1919" s="59" t="s">
        <v>222</v>
      </c>
      <c r="B1919" s="59" t="s">
        <v>412</v>
      </c>
      <c r="C1919" s="60" t="n">
        <v>141.88</v>
      </c>
      <c r="D1919" s="59" t="n">
        <f aca="false">COUNTIFS($A$2:$A$1931,A1919,$C$2:$C$1931,"&gt;"&amp;C1919)+COUNTIFS($A$2:A1919,A1919,$C$2:C1919,C1919)</f>
        <v>4</v>
      </c>
      <c r="E1919" s="59" t="str">
        <f aca="false">A1919&amp;"|"&amp;D1919</f>
        <v>PAL-Pallipuram|4</v>
      </c>
    </row>
    <row r="1920" customFormat="false" ht="15" hidden="false" customHeight="false" outlineLevel="0" collapsed="false">
      <c r="A1920" s="59" t="s">
        <v>222</v>
      </c>
      <c r="B1920" s="59" t="s">
        <v>420</v>
      </c>
      <c r="C1920" s="60" t="n">
        <v>137.03</v>
      </c>
      <c r="D1920" s="59" t="n">
        <f aca="false">COUNTIFS($A$2:$A$1931,A1920,$C$2:$C$1931,"&gt;"&amp;C1920)+COUNTIFS($A$2:A1920,A1920,$C$2:C1920,C1920)</f>
        <v>5</v>
      </c>
      <c r="E1920" s="59" t="str">
        <f aca="false">A1920&amp;"|"&amp;D1920</f>
        <v>PAL-Pallipuram|5</v>
      </c>
    </row>
    <row r="1921" customFormat="false" ht="15" hidden="false" customHeight="false" outlineLevel="0" collapsed="false">
      <c r="A1921" s="59" t="s">
        <v>222</v>
      </c>
      <c r="B1921" s="59" t="s">
        <v>426</v>
      </c>
      <c r="C1921" s="60" t="n">
        <v>51.62</v>
      </c>
      <c r="D1921" s="59" t="n">
        <f aca="false">COUNTIFS($A$2:$A$1931,A1921,$C$2:$C$1931,"&gt;"&amp;C1921)+COUNTIFS($A$2:A1921,A1921,$C$2:C1921,C1921)</f>
        <v>6</v>
      </c>
      <c r="E1921" s="59" t="str">
        <f aca="false">A1921&amp;"|"&amp;D1921</f>
        <v>PAL-Pallipuram|6</v>
      </c>
    </row>
    <row r="1922" customFormat="false" ht="15" hidden="false" customHeight="false" outlineLevel="0" collapsed="false">
      <c r="A1922" s="59" t="s">
        <v>222</v>
      </c>
      <c r="B1922" s="59" t="s">
        <v>416</v>
      </c>
      <c r="C1922" s="60" t="n">
        <v>41</v>
      </c>
      <c r="D1922" s="59" t="n">
        <f aca="false">COUNTIFS($A$2:$A$1931,A1922,$C$2:$C$1931,"&gt;"&amp;C1922)+COUNTIFS($A$2:A1922,A1922,$C$2:C1922,C1922)</f>
        <v>7</v>
      </c>
      <c r="E1922" s="59" t="str">
        <f aca="false">A1922&amp;"|"&amp;D1922</f>
        <v>PAL-Pallipuram|7</v>
      </c>
    </row>
    <row r="1923" customFormat="false" ht="15" hidden="false" customHeight="false" outlineLevel="0" collapsed="false">
      <c r="A1923" s="59" t="s">
        <v>222</v>
      </c>
      <c r="B1923" s="59" t="s">
        <v>413</v>
      </c>
      <c r="C1923" s="60" t="n">
        <v>20.93</v>
      </c>
      <c r="D1923" s="59" t="n">
        <f aca="false">COUNTIFS($A$2:$A$1931,A1923,$C$2:$C$1931,"&gt;"&amp;C1923)+COUNTIFS($A$2:A1923,A1923,$C$2:C1923,C1923)</f>
        <v>8</v>
      </c>
      <c r="E1923" s="59" t="str">
        <f aca="false">A1923&amp;"|"&amp;D1923</f>
        <v>PAL-Pallipuram|8</v>
      </c>
    </row>
    <row r="1924" customFormat="false" ht="15" hidden="false" customHeight="false" outlineLevel="0" collapsed="false">
      <c r="A1924" s="59" t="s">
        <v>246</v>
      </c>
      <c r="B1924" s="59" t="s">
        <v>424</v>
      </c>
      <c r="C1924" s="60" t="n">
        <v>129.33</v>
      </c>
      <c r="D1924" s="59" t="n">
        <f aca="false">COUNTIFS($A$2:$A$1931,A1924,$C$2:$C$1931,"&gt;"&amp;C1924)+COUNTIFS($A$2:A1924,A1924,$C$2:C1924,C1924)</f>
        <v>1</v>
      </c>
      <c r="E1924" s="59" t="str">
        <f aca="false">A1924&amp;"|"&amp;D1924</f>
        <v>PAL-TKV Nagar|1</v>
      </c>
    </row>
    <row r="1925" customFormat="false" ht="15" hidden="false" customHeight="false" outlineLevel="0" collapsed="false">
      <c r="A1925" s="59" t="s">
        <v>246</v>
      </c>
      <c r="B1925" s="59" t="s">
        <v>413</v>
      </c>
      <c r="C1925" s="60" t="n">
        <v>71.17</v>
      </c>
      <c r="D1925" s="59" t="n">
        <f aca="false">COUNTIFS($A$2:$A$1931,A1925,$C$2:$C$1931,"&gt;"&amp;C1925)+COUNTIFS($A$2:A1925,A1925,$C$2:C1925,C1925)</f>
        <v>2</v>
      </c>
      <c r="E1925" s="59" t="str">
        <f aca="false">A1925&amp;"|"&amp;D1925</f>
        <v>PAL-TKV Nagar|2</v>
      </c>
    </row>
    <row r="1926" customFormat="false" ht="15" hidden="false" customHeight="false" outlineLevel="0" collapsed="false">
      <c r="A1926" s="59" t="s">
        <v>166</v>
      </c>
      <c r="B1926" s="59" t="s">
        <v>412</v>
      </c>
      <c r="C1926" s="60" t="n">
        <v>2121.28</v>
      </c>
      <c r="D1926" s="59" t="n">
        <f aca="false">COUNTIFS($A$2:$A$1931,A1926,$C$2:$C$1931,"&gt;"&amp;C1926)+COUNTIFS($A$2:A1926,A1926,$C$2:C1926,C1926)</f>
        <v>1</v>
      </c>
      <c r="E1926" s="59" t="str">
        <f aca="false">A1926&amp;"|"&amp;D1926</f>
        <v>TUM-SS Puram|1</v>
      </c>
    </row>
    <row r="1927" customFormat="false" ht="15" hidden="false" customHeight="false" outlineLevel="0" collapsed="false">
      <c r="A1927" s="59" t="s">
        <v>166</v>
      </c>
      <c r="B1927" s="59" t="s">
        <v>408</v>
      </c>
      <c r="C1927" s="60" t="n">
        <v>1463.41</v>
      </c>
      <c r="D1927" s="59" t="n">
        <f aca="false">COUNTIFS($A$2:$A$1931,A1927,$C$2:$C$1931,"&gt;"&amp;C1927)+COUNTIFS($A$2:A1927,A1927,$C$2:C1927,C1927)</f>
        <v>2</v>
      </c>
      <c r="E1927" s="59" t="str">
        <f aca="false">A1927&amp;"|"&amp;D1927</f>
        <v>TUM-SS Puram|2</v>
      </c>
    </row>
    <row r="1928" customFormat="false" ht="15" hidden="false" customHeight="false" outlineLevel="0" collapsed="false">
      <c r="A1928" s="59" t="s">
        <v>166</v>
      </c>
      <c r="B1928" s="59" t="s">
        <v>431</v>
      </c>
      <c r="C1928" s="60" t="n">
        <v>775.91</v>
      </c>
      <c r="D1928" s="59" t="n">
        <f aca="false">COUNTIFS($A$2:$A$1931,A1928,$C$2:$C$1931,"&gt;"&amp;C1928)+COUNTIFS($A$2:A1928,A1928,$C$2:C1928,C1928)</f>
        <v>3</v>
      </c>
      <c r="E1928" s="59" t="str">
        <f aca="false">A1928&amp;"|"&amp;D1928</f>
        <v>TUM-SS Puram|3</v>
      </c>
    </row>
    <row r="1929" customFormat="false" ht="15" hidden="false" customHeight="false" outlineLevel="0" collapsed="false">
      <c r="A1929" s="59" t="s">
        <v>166</v>
      </c>
      <c r="B1929" s="59" t="s">
        <v>418</v>
      </c>
      <c r="C1929" s="60" t="n">
        <v>755.95</v>
      </c>
      <c r="D1929" s="59" t="n">
        <f aca="false">COUNTIFS($A$2:$A$1931,A1929,$C$2:$C$1931,"&gt;"&amp;C1929)+COUNTIFS($A$2:A1929,A1929,$C$2:C1929,C1929)</f>
        <v>4</v>
      </c>
      <c r="E1929" s="59" t="str">
        <f aca="false">A1929&amp;"|"&amp;D1929</f>
        <v>TUM-SS Puram|4</v>
      </c>
    </row>
    <row r="1930" customFormat="false" ht="15" hidden="false" customHeight="false" outlineLevel="0" collapsed="false">
      <c r="A1930" s="59" t="s">
        <v>166</v>
      </c>
      <c r="B1930" s="59" t="s">
        <v>436</v>
      </c>
      <c r="C1930" s="60" t="n">
        <v>201.14</v>
      </c>
      <c r="D1930" s="59" t="n">
        <f aca="false">COUNTIFS($A$2:$A$1931,A1930,$C$2:$C$1931,"&gt;"&amp;C1930)+COUNTIFS($A$2:A1930,A1930,$C$2:C1930,C1930)</f>
        <v>5</v>
      </c>
      <c r="E1930" s="59" t="str">
        <f aca="false">A1930&amp;"|"&amp;D1930</f>
        <v>TUM-SS Puram|5</v>
      </c>
    </row>
    <row r="1931" customFormat="false" ht="15" hidden="false" customHeight="false" outlineLevel="0" collapsed="false">
      <c r="A1931" s="59" t="s">
        <v>166</v>
      </c>
      <c r="B1931" s="59" t="s">
        <v>424</v>
      </c>
      <c r="C1931" s="60" t="n">
        <v>29.76</v>
      </c>
      <c r="D1931" s="59" t="n">
        <f aca="false">COUNTIFS($A$2:$A$1931,A1931,$C$2:$C$1931,"&gt;"&amp;C1931)+COUNTIFS($A$2:A1931,A1931,$C$2:C1931,C1931)</f>
        <v>6</v>
      </c>
      <c r="E1931" s="59" t="str">
        <f aca="false">A1931&amp;"|"&amp;D1931</f>
        <v>TUM-SS Puram|6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2026-10-08T07:13:47Z</dcterms:created>
  <dc:creator>openpyxl</dc:creator>
  <dc:description/>
  <dc:language>en-US</dc:language>
  <cp:lastModifiedBy/>
  <dcterms:modified xsi:type="dcterms:W3CDTF">2026-10-08T07:13:49Z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